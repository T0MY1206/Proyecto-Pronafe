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10.90.90.21\ui\PRONAFE\2. INSTITUCIONES\Base de datos\"/>
    </mc:Choice>
  </mc:AlternateContent>
  <xr:revisionPtr revIDLastSave="0" documentId="8_{1B3395B5-6783-E542-B449-51C755C55889}" xr6:coauthVersionLast="47" xr6:coauthVersionMax="47" xr10:uidLastSave="{00000000-0000-0000-0000-000000000000}"/>
  <bookViews>
    <workbookView xWindow="-120" yWindow="-120" windowWidth="24240" windowHeight="13140" xr2:uid="{6F6E9434-F34C-4032-86F0-21BA0590A895}"/>
  </bookViews>
  <sheets>
    <sheet name="Institucionales" sheetId="1" r:id="rId1"/>
    <sheet name="Hoja1" sheetId="3" state="hidden" r:id="rId2"/>
    <sheet name="AlumnosYDocentes" sheetId="2" r:id="rId3"/>
    <sheet name="BAJAS" sheetId="4" r:id="rId4"/>
  </sheets>
  <externalReferences>
    <externalReference r:id="rId5"/>
  </externalReferences>
  <definedNames>
    <definedName name="_xlnm._FilterDatabase" localSheetId="2" hidden="1">AlumnosYDocentes!$B$1:$C$2</definedName>
    <definedName name="_xlnm._FilterDatabase" localSheetId="0" hidden="1">Institucionales!$A$2:$U$294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3" i="2" l="1"/>
  <c r="H175" i="2"/>
  <c r="H176" i="2"/>
  <c r="H234" i="2"/>
  <c r="H235" i="2"/>
  <c r="H236" i="2"/>
  <c r="H237" i="2"/>
  <c r="H238" i="2"/>
  <c r="H239" i="2"/>
  <c r="H240" i="2"/>
  <c r="H274" i="2"/>
  <c r="H271" i="2"/>
  <c r="H276"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2" i="2"/>
  <c r="H275" i="2"/>
  <c r="H277" i="2"/>
  <c r="H278" i="2"/>
  <c r="H279" i="2"/>
  <c r="H280" i="2"/>
  <c r="H281" i="2"/>
  <c r="H282" i="2"/>
  <c r="H283" i="2"/>
  <c r="H284" i="2"/>
  <c r="H285" i="2"/>
  <c r="H286" i="2"/>
  <c r="H287" i="2"/>
  <c r="H288" i="2"/>
  <c r="H289" i="2"/>
  <c r="H290" i="2"/>
  <c r="H291" i="2"/>
  <c r="H292" i="2"/>
  <c r="H293" i="2"/>
  <c r="H294" i="2"/>
  <c r="H3" i="2"/>
  <c r="G1" i="2"/>
  <c r="E1" i="2"/>
  <c r="F1" i="2"/>
  <c r="D1" i="2"/>
  <c r="U26" i="4"/>
  <c r="H1" i="2"/>
  <c r="G25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Nestor Cristian Gonzalez Opelt</author>
  </authors>
  <commentList>
    <comment ref="L11" authorId="0" shapeId="0" xr:uid="{26BC6964-28FF-4241-9164-E40113B9261D}">
      <text>
        <r>
          <rPr>
            <b/>
            <sz val="9"/>
            <color indexed="81"/>
            <rFont val="Tahoma"/>
            <family val="2"/>
          </rPr>
          <t>Nestor Cristian Gonzalez Opelt:</t>
        </r>
        <r>
          <rPr>
            <sz val="9"/>
            <color indexed="81"/>
            <rFont val="Tahoma"/>
            <family val="2"/>
          </rPr>
          <t xml:space="preserve">
copiar a la Rectora
</t>
        </r>
      </text>
    </comment>
    <comment ref="C81" authorId="0" shapeId="0" xr:uid="{55284671-3189-4ABC-86EB-C6394ECACBD4}">
      <text>
        <r>
          <rPr>
            <b/>
            <sz val="9"/>
            <color indexed="81"/>
            <rFont val="Tahoma"/>
            <charset val="1"/>
          </rPr>
          <t>Nestor Cristian Gonzalez Opelt:</t>
        </r>
        <r>
          <rPr>
            <sz val="9"/>
            <color indexed="81"/>
            <rFont val="Tahoma"/>
            <charset val="1"/>
          </rPr>
          <t xml:space="preserve">
Agregar al mapa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Nestor Cristian Gonzalez Opelt</author>
    <author>INET</author>
    <author/>
  </authors>
  <commentList>
    <comment ref="B2" authorId="0" shapeId="0" xr:uid="{E288CE14-E830-4D4E-B389-CF2B8D11E142}">
      <text>
        <r>
          <rPr>
            <b/>
            <sz val="9"/>
            <color indexed="81"/>
            <rFont val="Tahoma"/>
            <family val="2"/>
          </rPr>
          <t>Nestor Cristian Gonzalez Opelt:</t>
        </r>
        <r>
          <rPr>
            <sz val="9"/>
            <color indexed="81"/>
            <rFont val="Tahoma"/>
            <family val="2"/>
          </rPr>
          <t xml:space="preserve">
Cese de actividades en marzo 2023</t>
        </r>
      </text>
    </comment>
    <comment ref="B3" authorId="0" shapeId="0" xr:uid="{D3A719AA-F00D-45FC-91A1-423DD5FEC200}">
      <text>
        <r>
          <rPr>
            <b/>
            <sz val="9"/>
            <color indexed="81"/>
            <rFont val="Tahoma"/>
            <family val="2"/>
          </rPr>
          <t>Nestor Cristian Gonzalez Opelt:</t>
        </r>
        <r>
          <rPr>
            <sz val="9"/>
            <color indexed="81"/>
            <rFont val="Tahoma"/>
            <family val="2"/>
          </rPr>
          <t xml:space="preserve">
Cesa sus actividades en marzo 2024. Informado telefonicamente por Anibal Avila.</t>
        </r>
      </text>
    </comment>
    <comment ref="B4" authorId="1" shapeId="0" xr:uid="{E7AF9EA6-BB03-4D3D-A4A1-595CED66AB63}">
      <text>
        <r>
          <rPr>
            <b/>
            <sz val="9"/>
            <color indexed="81"/>
            <rFont val="Tahoma"/>
            <family val="2"/>
          </rPr>
          <t xml:space="preserve">INET: </t>
        </r>
        <r>
          <rPr>
            <sz val="9"/>
            <color indexed="81"/>
            <rFont val="Tahoma"/>
            <family val="2"/>
          </rPr>
          <t>2021 deja de dictar la TSE. Informado por Eventurini 23/06/21</t>
        </r>
      </text>
    </comment>
    <comment ref="B5" authorId="0" shapeId="0" xr:uid="{7189EE4B-50A6-47B1-B53E-0EF6556F73EC}">
      <text>
        <r>
          <rPr>
            <b/>
            <sz val="9"/>
            <color indexed="81"/>
            <rFont val="Tahoma"/>
            <family val="2"/>
          </rPr>
          <t>Nestor Cristian Gonzalez Opelt:</t>
        </r>
        <r>
          <rPr>
            <sz val="9"/>
            <color indexed="81"/>
            <rFont val="Tahoma"/>
            <family val="2"/>
          </rPr>
          <t xml:space="preserve">
No dicta enfermeria en 2024. Informa EVenturini14/05/24</t>
        </r>
      </text>
    </comment>
    <comment ref="B6" authorId="1" shapeId="0" xr:uid="{C46EFD87-A85A-49BC-BB12-60ACFA548EA2}">
      <text>
        <r>
          <rPr>
            <b/>
            <sz val="9"/>
            <color indexed="81"/>
            <rFont val="Tahoma"/>
            <family val="2"/>
          </rPr>
          <t>INET:</t>
        </r>
        <r>
          <rPr>
            <sz val="9"/>
            <color indexed="81"/>
            <rFont val="Tahoma"/>
            <family val="2"/>
          </rPr>
          <t xml:space="preserve">
Se convirtio en Instituto Superior de Formación Docente y Técnica Nº 236. CUE: 062420800 </t>
        </r>
      </text>
    </comment>
    <comment ref="B7" authorId="0" shapeId="0" xr:uid="{F4A06E03-0040-4B65-91A5-20DB67FE3DB5}">
      <text>
        <r>
          <rPr>
            <b/>
            <sz val="9"/>
            <color indexed="81"/>
            <rFont val="Tahoma"/>
            <family val="2"/>
          </rPr>
          <t>Nestor Cristian Gonzalez Opelt:</t>
        </r>
        <r>
          <rPr>
            <sz val="9"/>
            <color indexed="81"/>
            <rFont val="Tahoma"/>
            <family val="2"/>
          </rPr>
          <t xml:space="preserve">
No dicta enfermeria en 2024. Informa EVenturini14/05/24</t>
        </r>
      </text>
    </comment>
    <comment ref="B8" authorId="1" shapeId="0" xr:uid="{78EF19C2-8157-4C64-A951-B17CB2348A67}">
      <text>
        <r>
          <rPr>
            <b/>
            <sz val="9"/>
            <color indexed="81"/>
            <rFont val="Tahoma"/>
            <family val="2"/>
          </rPr>
          <t>INET:</t>
        </r>
        <r>
          <rPr>
            <sz val="9"/>
            <color indexed="81"/>
            <rFont val="Tahoma"/>
            <family val="2"/>
          </rPr>
          <t xml:space="preserve">
No dicta TSE en 2022. Informa CMAglione por nota 29/07/22</t>
        </r>
      </text>
    </comment>
    <comment ref="B9" authorId="1" shapeId="0" xr:uid="{DE1000F2-EF88-4142-A292-5141C964B622}">
      <text>
        <r>
          <rPr>
            <b/>
            <sz val="9"/>
            <color indexed="81"/>
            <rFont val="Tahoma"/>
            <family val="2"/>
          </rPr>
          <t>INET:</t>
        </r>
        <r>
          <rPr>
            <sz val="9"/>
            <color indexed="81"/>
            <rFont val="Tahoma"/>
            <family val="2"/>
          </rPr>
          <t xml:space="preserve">
No dicta TSE en 2022. Informa CMAglione por nota 29/07/22. Vuelve a dictar en 2023
</t>
        </r>
      </text>
    </comment>
    <comment ref="B10" authorId="1" shapeId="0" xr:uid="{17BE5E5F-CDBF-4CFA-A8C5-2EB81937DDC4}">
      <text>
        <r>
          <rPr>
            <b/>
            <sz val="9"/>
            <color indexed="81"/>
            <rFont val="Tahoma"/>
            <family val="2"/>
          </rPr>
          <t>INET:</t>
        </r>
        <r>
          <rPr>
            <sz val="9"/>
            <color indexed="81"/>
            <rFont val="Tahoma"/>
            <family val="2"/>
          </rPr>
          <t xml:space="preserve">
No dicta TSE en 2022. Informa CMAglione por nota 29/07/22</t>
        </r>
      </text>
    </comment>
    <comment ref="B11" authorId="0" shapeId="0" xr:uid="{ACFFDBA1-A5C5-44D9-838B-C59A67DE7091}">
      <text>
        <r>
          <rPr>
            <b/>
            <sz val="9"/>
            <color indexed="81"/>
            <rFont val="Tahoma"/>
            <family val="2"/>
          </rPr>
          <t>Nestor Cristian Gonzalez Opelt:</t>
        </r>
        <r>
          <rPr>
            <sz val="9"/>
            <color indexed="81"/>
            <rFont val="Tahoma"/>
            <family val="2"/>
          </rPr>
          <t xml:space="preserve">
No dicta enfermeria en 2024. Informa EVenturini14/05/24.
7/3/25 Solicitan nueva incorporacion.</t>
        </r>
      </text>
    </comment>
    <comment ref="B12" authorId="2" shapeId="0" xr:uid="{7BC1DC6F-9D4E-4F9C-80A8-9A764DBCB543}">
      <text>
        <r>
          <rPr>
            <sz val="11"/>
            <color rgb="FF000000"/>
            <rFont val="Calibri"/>
            <family val="2"/>
          </rPr>
          <t>======
ncgonzalez    (2020-10-02 15:03:15)
Por resolución Ministerial Nº 1131,las carreras técnicas de nivel superior que se dictan en el Instituto Superior Dr. Ramón J. Carrillo Anexo Villa María, son transferidas al Instituto de Educación Superior del centro de la República "Dr. Ángel Diego Márquez" CUE 140337300. Córdoba, 07 de noviembre de 2019.</t>
        </r>
      </text>
    </comment>
    <comment ref="B13" authorId="2" shapeId="0" xr:uid="{8F1D0087-C866-4571-880B-33D2CB4F407B}">
      <text>
        <r>
          <rPr>
            <sz val="11"/>
            <color rgb="FF000000"/>
            <rFont val="Calibri"/>
            <family val="2"/>
          </rPr>
          <t>======
ID#AAAAIvyVNgY
ncgonzalez    (2020-10-02 15:03:15)
Dejo de dictar la carrera</t>
        </r>
      </text>
    </comment>
    <comment ref="B14" authorId="1" shapeId="0" xr:uid="{52527BF0-A3D3-4460-BA99-E900690AFF8B}">
      <text>
        <r>
          <rPr>
            <b/>
            <sz val="9"/>
            <color indexed="81"/>
            <rFont val="Tahoma"/>
            <family val="2"/>
          </rPr>
          <t>INET:</t>
        </r>
        <r>
          <rPr>
            <sz val="9"/>
            <color indexed="81"/>
            <rFont val="Tahoma"/>
            <family val="2"/>
          </rPr>
          <t xml:space="preserve">
2021 deja de dictar la TSE. Informado por Zamar 15/06/21</t>
        </r>
      </text>
    </comment>
    <comment ref="B15" authorId="0" shapeId="0" xr:uid="{4F2AFE19-A40D-499F-ACD7-00BF1A1EED4A}">
      <text>
        <r>
          <rPr>
            <b/>
            <sz val="9"/>
            <color indexed="81"/>
            <rFont val="Tahoma"/>
            <family val="2"/>
          </rPr>
          <t>Nestor Cristian Gonzalez Opelt:</t>
        </r>
        <r>
          <rPr>
            <sz val="9"/>
            <color indexed="81"/>
            <rFont val="Tahoma"/>
            <family val="2"/>
          </rPr>
          <t xml:space="preserve">
Ya no dicta TSE. Informa por mail CMartinez 27/05/24</t>
        </r>
      </text>
    </comment>
    <comment ref="B16" authorId="2" shapeId="0" xr:uid="{69B094C9-EED3-4F53-9EB3-13CF2D7DCC6D}">
      <text>
        <r>
          <rPr>
            <sz val="11"/>
            <color rgb="FF000000"/>
            <rFont val="Calibri"/>
            <family val="2"/>
          </rPr>
          <t>======
ID#AAAAIvyVNgU
ncgonzalez    (2020-10-02 15:03:15)
Dejo de dictar la carrera</t>
        </r>
      </text>
    </comment>
    <comment ref="B17" authorId="0" shapeId="0" xr:uid="{7E1A975A-0A95-44BA-83E5-DF124783CD04}">
      <text>
        <r>
          <rPr>
            <b/>
            <sz val="9"/>
            <color indexed="81"/>
            <rFont val="Tahoma"/>
            <family val="2"/>
          </rPr>
          <t>Nestor Cristian Gonzalez Opelt:</t>
        </r>
        <r>
          <rPr>
            <sz val="9"/>
            <color indexed="81"/>
            <rFont val="Tahoma"/>
            <family val="2"/>
          </rPr>
          <t xml:space="preserve">
Informado verbalmente por ARougier el 31/05/23</t>
        </r>
      </text>
    </comment>
    <comment ref="B18" authorId="0" shapeId="0" xr:uid="{192FD5D7-530B-4599-A0EE-7E89C4462D3A}">
      <text>
        <r>
          <rPr>
            <b/>
            <sz val="9"/>
            <color indexed="81"/>
            <rFont val="Tahoma"/>
            <family val="2"/>
          </rPr>
          <t>Nestor Cristian Gonzalez Opelt:</t>
        </r>
        <r>
          <rPr>
            <sz val="9"/>
            <color indexed="81"/>
            <rFont val="Tahoma"/>
            <family val="2"/>
          </rPr>
          <t xml:space="preserve">
Informado telefonicamente por Carla Wayar 24/05/24</t>
        </r>
      </text>
    </comment>
    <comment ref="B19" authorId="0" shapeId="0" xr:uid="{655A4031-ACD4-463B-8B27-DD61E60AE626}">
      <text>
        <r>
          <rPr>
            <b/>
            <sz val="9"/>
            <color indexed="81"/>
            <rFont val="Tahoma"/>
            <family val="2"/>
          </rPr>
          <t>Nestor Cristian Gonzalez Opelt:</t>
        </r>
        <r>
          <rPr>
            <sz val="9"/>
            <color indexed="81"/>
            <rFont val="Tahoma"/>
            <family val="2"/>
          </rPr>
          <t xml:space="preserve">
No se autorizo la cohorte 2023. Ver nota </t>
        </r>
      </text>
    </comment>
    <comment ref="B20" authorId="0" shapeId="0" xr:uid="{10209ECE-4B3F-4139-92E1-376521D4FBF7}">
      <text>
        <r>
          <rPr>
            <b/>
            <sz val="9"/>
            <color indexed="81"/>
            <rFont val="Tahoma"/>
            <family val="2"/>
          </rPr>
          <t>Nestor Cristian Gonzalez Opelt:</t>
        </r>
        <r>
          <rPr>
            <sz val="9"/>
            <color indexed="81"/>
            <rFont val="Tahoma"/>
            <family val="2"/>
          </rPr>
          <t xml:space="preserve">
No se autorizo la cohorte 2023. Ver nota </t>
        </r>
      </text>
    </comment>
    <comment ref="B21" authorId="0" shapeId="0" xr:uid="{BBE31E47-B427-408C-AA0B-B8F5757153C8}">
      <text>
        <r>
          <rPr>
            <b/>
            <sz val="9"/>
            <color indexed="81"/>
            <rFont val="Tahoma"/>
            <family val="2"/>
          </rPr>
          <t>Nestor Cristian Gonzalez Opelt:</t>
        </r>
        <r>
          <rPr>
            <sz val="9"/>
            <color indexed="81"/>
            <rFont val="Tahoma"/>
            <family val="2"/>
          </rPr>
          <t xml:space="preserve">
En 2024 no dicta la TSE. Informado por LCuello en mail 27/5/24</t>
        </r>
      </text>
    </comment>
    <comment ref="B22" authorId="0" shapeId="0" xr:uid="{5A68E06B-3F84-452F-9EEB-0AAF5C468ED5}">
      <text>
        <r>
          <rPr>
            <b/>
            <sz val="9"/>
            <color indexed="81"/>
            <rFont val="Tahoma"/>
            <family val="2"/>
          </rPr>
          <t>Nestor Cristian Gonzalez Opelt:</t>
        </r>
        <r>
          <rPr>
            <sz val="9"/>
            <color indexed="81"/>
            <rFont val="Tahoma"/>
            <family val="2"/>
          </rPr>
          <t xml:space="preserve">
No dicta TSE en 2024. Informado por ACMerlo por mail 22/05</t>
        </r>
      </text>
    </comment>
    <comment ref="B23" authorId="2" shapeId="0" xr:uid="{ABF807AB-4E66-4DB5-8803-4045487F99FE}">
      <text>
        <r>
          <rPr>
            <sz val="11"/>
            <color rgb="FF000000"/>
            <rFont val="Calibri"/>
            <family val="2"/>
          </rPr>
          <t>======
ID#AAAAIvyVNgc
ncgonzalez    (2020-10-02 15:03:15)
Dejo de ser Anexo paso a ser ISP 67 CUE 820468200</t>
        </r>
      </text>
    </comment>
    <comment ref="B24" authorId="0" shapeId="0" xr:uid="{F7415F78-7BA7-4915-B8D2-1F8DF3F21CD2}">
      <text>
        <r>
          <rPr>
            <b/>
            <sz val="9"/>
            <color indexed="81"/>
            <rFont val="Tahoma"/>
            <family val="2"/>
          </rPr>
          <t>Nestor Cristian Gonzalez Opelt:</t>
        </r>
        <r>
          <rPr>
            <sz val="9"/>
            <color indexed="81"/>
            <rFont val="Tahoma"/>
            <family val="2"/>
          </rPr>
          <t xml:space="preserve">
Sin alumnos en 2024</t>
        </r>
      </text>
    </comment>
    <comment ref="B25" authorId="0" shapeId="0" xr:uid="{AF4FD5DD-BDF3-4EF1-8FA3-AB6A3895DADB}">
      <text>
        <r>
          <rPr>
            <b/>
            <sz val="9"/>
            <color indexed="81"/>
            <rFont val="Tahoma"/>
            <family val="2"/>
          </rPr>
          <t>Nestor Cristian Gonzalez Opelt:</t>
        </r>
        <r>
          <rPr>
            <sz val="9"/>
            <color indexed="81"/>
            <rFont val="Tahoma"/>
            <family val="2"/>
          </rPr>
          <t xml:space="preserve">
Sin alumnos en 2024</t>
        </r>
      </text>
    </comment>
    <comment ref="B26" authorId="0" shapeId="0" xr:uid="{61B001FC-67BA-4696-90A3-70667A3FD540}">
      <text>
        <r>
          <rPr>
            <b/>
            <sz val="9"/>
            <color indexed="81"/>
            <rFont val="Tahoma"/>
            <family val="2"/>
          </rPr>
          <t>Nestor Cristian Gonzalez Opelt:</t>
        </r>
        <r>
          <rPr>
            <sz val="9"/>
            <color indexed="81"/>
            <rFont val="Tahoma"/>
            <family val="2"/>
          </rPr>
          <t xml:space="preserve">
Informa Zamar por nota 04/06/2025 cese de oferta</t>
        </r>
      </text>
    </comment>
  </commentList>
</comments>
</file>

<file path=xl/sharedStrings.xml><?xml version="1.0" encoding="utf-8"?>
<sst xmlns="http://schemas.openxmlformats.org/spreadsheetml/2006/main" count="9276" uniqueCount="3033">
  <si>
    <t>Instituto Superior Huellas Misioneras</t>
  </si>
  <si>
    <t>Eldorado</t>
  </si>
  <si>
    <t>Av. San Martin 1704 E km 9</t>
  </si>
  <si>
    <t>3751 613087</t>
  </si>
  <si>
    <t>alfredootto1972@gmail.com</t>
  </si>
  <si>
    <t>Ramon Alfredo Otto</t>
  </si>
  <si>
    <t>Rector/a</t>
  </si>
  <si>
    <t>Laura Viviana Furlan</t>
  </si>
  <si>
    <t>Director/a de estudios</t>
  </si>
  <si>
    <t>3515 44-7071</t>
  </si>
  <si>
    <t>furlanlaura@hotmail.com</t>
  </si>
  <si>
    <t>8:30 a 11:10 TM / 15 a 17 TT / 18 a 21 TN</t>
  </si>
  <si>
    <t>Instituto Privado de Educación Superior N° 472 "Instituto Misionero de Estudios Superiores (IMES)</t>
  </si>
  <si>
    <t>BOP Nº106, "Don José Taratuty" - Ernesto Sabato Nº2</t>
  </si>
  <si>
    <t>rectorado@imes.edu.ar</t>
  </si>
  <si>
    <t>Mariano Ramiro Pianovi</t>
  </si>
  <si>
    <t>Dario Walter Barrientos</t>
  </si>
  <si>
    <t>Coordinador/a</t>
  </si>
  <si>
    <t>barrientosdw@gmail.com</t>
  </si>
  <si>
    <t>18 a 22:30</t>
  </si>
  <si>
    <t>rectoria@upresistencia.com</t>
  </si>
  <si>
    <t>Unidad Educativa Privada (U.E.P.) Nº 114 Universidad Popular de Resistencia</t>
  </si>
  <si>
    <t>Resistencia</t>
  </si>
  <si>
    <t>MITRE 199</t>
  </si>
  <si>
    <t>tecnicaturaup@gmail.com</t>
  </si>
  <si>
    <t>Elizabeth Rodriguez</t>
  </si>
  <si>
    <t>Pablo Ariel Matcovich</t>
  </si>
  <si>
    <t>Vicedirector/a</t>
  </si>
  <si>
    <t>educa.rosario@cruzroja.org.ar</t>
  </si>
  <si>
    <t>Instituto de Educación Superior Particular Incorporada (I.S.P.I.) N° 9193 Cruz Roja Argentina - Filial Rosario</t>
  </si>
  <si>
    <t>Laprida 1553</t>
  </si>
  <si>
    <t>341-2974773</t>
  </si>
  <si>
    <t>HÉCTOR DANIEL GALLO</t>
  </si>
  <si>
    <t>Director/a</t>
  </si>
  <si>
    <t>dgallo@cruzroja.org.ar</t>
  </si>
  <si>
    <t>IRUSTA, NATALIA IRENE</t>
  </si>
  <si>
    <t>Jefe/a de área</t>
  </si>
  <si>
    <t>nirusta@cruzroja.org.ar</t>
  </si>
  <si>
    <t>15/21hs.</t>
  </si>
  <si>
    <t>ispifholiveros@ispioliveros.com.ar</t>
  </si>
  <si>
    <t>I.S.P.I N.º 9246 “Fundación Hospital Oliveros”</t>
  </si>
  <si>
    <t>Oliveros</t>
  </si>
  <si>
    <t>Rioja 30</t>
  </si>
  <si>
    <t>Anabel Albelo</t>
  </si>
  <si>
    <t>anabelalbelo@ispioliveros.com.ar</t>
  </si>
  <si>
    <t>7:00am a 13:00pm</t>
  </si>
  <si>
    <t>I.S.P.I N.º 9246 “Fundación Hospital Oliveros” Anexo Rosario</t>
  </si>
  <si>
    <t>Rosario</t>
  </si>
  <si>
    <t>Suipacha 888</t>
  </si>
  <si>
    <t>Nerina Mairal</t>
  </si>
  <si>
    <t>mairalnerina@gmail.com</t>
  </si>
  <si>
    <t>educa.casilda@cruzroja.org.ar</t>
  </si>
  <si>
    <t>Instituto de Educación Superior Particular Incorporada (I.S.P.I.) N° 9203 Cruz Roja Argentina</t>
  </si>
  <si>
    <t>España 1983</t>
  </si>
  <si>
    <t>mzallocco@cruzroja.org.ar</t>
  </si>
  <si>
    <t>Docente</t>
  </si>
  <si>
    <t>03464 680652</t>
  </si>
  <si>
    <t>tereispani@hotmail.com</t>
  </si>
  <si>
    <t>16hs a 22hs</t>
  </si>
  <si>
    <t xml:space="preserve">Escuela Superior de Enfermería N° 1260234 Cruz Roja Argentina Rio Cuarto
</t>
  </si>
  <si>
    <t>Rio Cuarto</t>
  </si>
  <si>
    <t>Kowalk 168</t>
  </si>
  <si>
    <t>secretaria@cruzrojariocuarto.com.ar</t>
  </si>
  <si>
    <t>Jorge Adrián Possio</t>
  </si>
  <si>
    <t>jorgepossio@gmail.com</t>
  </si>
  <si>
    <t>Cursada de 14hs a 22hs turno único</t>
  </si>
  <si>
    <t>fciani@cruzroja.org.ar</t>
  </si>
  <si>
    <t>Escuela Técnica Privada N° 5679 Escuela de Enfermeria Cruz Roja Argentina</t>
  </si>
  <si>
    <t>PASAJE LAS DELICIAS 1112</t>
  </si>
  <si>
    <t>equipodirectivo.a-brown@cruzroja.org.ar</t>
  </si>
  <si>
    <t>FABIANA CIANI</t>
  </si>
  <si>
    <t>PATRICIA GENNARO</t>
  </si>
  <si>
    <t>patriciagenn61@gmail.com</t>
  </si>
  <si>
    <t>Escuela de Enfermería y Especialidades Paramédicas Cruz Roja Argentina Filial Lomas de Zamora</t>
  </si>
  <si>
    <t>Lomas de Zamora</t>
  </si>
  <si>
    <t>Saenz 749</t>
  </si>
  <si>
    <t>educa.lzamora@cruzroja.org.ar</t>
  </si>
  <si>
    <t>FURNO JORGE OMAR</t>
  </si>
  <si>
    <t>jorgefurnocra@yahoo.com.ar</t>
  </si>
  <si>
    <t>BAZOALTO ESTHER CARMEN</t>
  </si>
  <si>
    <t>esthercarmen15@gmail.com</t>
  </si>
  <si>
    <t>czbrun@cruzroja.org.ar</t>
  </si>
  <si>
    <t>Instituto de Educación Superior Particular Incorporada (I.S.P.I.) N° 9195 Cruz Roja Argentina - Anexo</t>
  </si>
  <si>
    <t>Esperanza</t>
  </si>
  <si>
    <t>CASTELLI 1534</t>
  </si>
  <si>
    <t>ispi9195@gmail.com</t>
  </si>
  <si>
    <t>ZBRUN, CLAUDIA NELLI</t>
  </si>
  <si>
    <t>3496-414962</t>
  </si>
  <si>
    <t>ZBRUN CLAUDIA NELLI</t>
  </si>
  <si>
    <t>7.30 a 19.30</t>
  </si>
  <si>
    <t>ccarnascari@cruzroja.org.ar</t>
  </si>
  <si>
    <t xml:space="preserve">Escuela Técnica Privada N° 4996 Esc. de Enf. de la Cruz Roja Arg. F. Vicente Lopez 4996
</t>
  </si>
  <si>
    <t>Remedios Escalada de San Martín 1411</t>
  </si>
  <si>
    <t>11 6973 1458</t>
  </si>
  <si>
    <t>secretaria.vlopez@cruzroja.org.ar</t>
  </si>
  <si>
    <t>Carlos Alberto Carnascari</t>
  </si>
  <si>
    <t>11 5136 9290</t>
  </si>
  <si>
    <t>Cristian Emanuel Cavallaro</t>
  </si>
  <si>
    <t>Secretaria/o</t>
  </si>
  <si>
    <t>11 6669 0761</t>
  </si>
  <si>
    <t>profecava@gmail.com</t>
  </si>
  <si>
    <t>15:00 a 20:00 hs</t>
  </si>
  <si>
    <t>secretaria.iu@fundacionuocra.org</t>
  </si>
  <si>
    <t>Instituto Privado N° A-1450 Instituto UOCRA</t>
  </si>
  <si>
    <t>Humberto Primo 2260</t>
  </si>
  <si>
    <t>Marina Gerolimetti</t>
  </si>
  <si>
    <t>116471-6081</t>
  </si>
  <si>
    <t>mgerolimetti@fundacionuocra.org</t>
  </si>
  <si>
    <t>Néstor Cristian Gonzalez Opelt</t>
  </si>
  <si>
    <t>115757-1987</t>
  </si>
  <si>
    <t>copelt@fundacionuocra.org</t>
  </si>
  <si>
    <t>Lunes a viernes de 14 a 20hs.</t>
  </si>
  <si>
    <t>raquelmariarodri@gmail.com</t>
  </si>
  <si>
    <t>Concordia</t>
  </si>
  <si>
    <t>Entre Rios 238</t>
  </si>
  <si>
    <t>ylerman@insitutotezza.edu.ar</t>
  </si>
  <si>
    <t>Instituto Privado N° A-0691 Instituto del Profesorado en Enfermería Padre Luis Tezza</t>
  </si>
  <si>
    <t>Antonio Machado 628</t>
  </si>
  <si>
    <t>info@institutotezza.edu.ar</t>
  </si>
  <si>
    <t>Marisa Ortiz</t>
  </si>
  <si>
    <t>mortiz@insitutotezza.edu.ar</t>
  </si>
  <si>
    <t>rectoria.saavedra@cruzroja.org.ar</t>
  </si>
  <si>
    <t>Escuela de Enfermería N° A-0732 Especialidades Paramédicas Cruz Roja Argentina Filial Saavedra</t>
  </si>
  <si>
    <t>Quesada 2602</t>
  </si>
  <si>
    <t>Flavia KRAUTH ANTINORI</t>
  </si>
  <si>
    <t>Alicia Mónica Apuzzo</t>
  </si>
  <si>
    <t>academica.saavedra@cruzroja.org.ar</t>
  </si>
  <si>
    <t>Turno mañana: 7:20 a 13:00 - Turno vespertino : 14:20 a 20:00</t>
  </si>
  <si>
    <t>elena.dipietro@csantacatalina.com.ar</t>
  </si>
  <si>
    <t>Instituto Nº A-1538 de Educación en Áreas de la Salud</t>
  </si>
  <si>
    <t>Venezuela 2632/36</t>
  </si>
  <si>
    <t>secretaria.instituto@csantacatalina.com.ar</t>
  </si>
  <si>
    <t>Elena Asunción Di Pietro</t>
  </si>
  <si>
    <t>Turno Mañana: 08-13 hs con extensión horaria/ 15 hs Turno Tarde 15-19:15 hs con extensión horaria/20:40 hs</t>
  </si>
  <si>
    <t xml:space="preserve">Instituto Escuela de Enfermería N° 4887 Cruz Roja Argentina - Filial Lanús - 
</t>
  </si>
  <si>
    <t>Lanús</t>
  </si>
  <si>
    <t>Av. Eva Perón 2502</t>
  </si>
  <si>
    <t>educa.lanus@cruzroja.org.ar</t>
  </si>
  <si>
    <t>Graciela Mabel De Cillis</t>
  </si>
  <si>
    <t>11-6043-7848</t>
  </si>
  <si>
    <t>gdecillis@cruzroja.org.ar</t>
  </si>
  <si>
    <t>Cinthya Córdoba</t>
  </si>
  <si>
    <t>11-6171-0167</t>
  </si>
  <si>
    <t>cruzrojalanusregente@gmail.com</t>
  </si>
  <si>
    <t>vespertino de 15:30hs a 20:40hs</t>
  </si>
  <si>
    <t>vd-rosario@cruzroja.org.ar</t>
  </si>
  <si>
    <t>Escuela Superior de Enfermería Cruz Roja Argentina</t>
  </si>
  <si>
    <t>Villa del Rosario</t>
  </si>
  <si>
    <t>9 de julio 530</t>
  </si>
  <si>
    <t>Lic. Claudia Bertoni</t>
  </si>
  <si>
    <t>03573 15469134</t>
  </si>
  <si>
    <t>claudiabbertoni@gmail.com</t>
  </si>
  <si>
    <t>Lic. Silvia Chiappo</t>
  </si>
  <si>
    <t>54 9 351 3838844</t>
  </si>
  <si>
    <t>areapedagogicaiscra@gmail.com</t>
  </si>
  <si>
    <t>fh_seraofernandez@hotmail.com</t>
  </si>
  <si>
    <t>Instituto Privado N° A-0896 Instituto Amado Olmos Atsa</t>
  </si>
  <si>
    <t>ALBERTI191</t>
  </si>
  <si>
    <t>ISAOD1440@GMAIL.COM</t>
  </si>
  <si>
    <t>FERNANDO H FERNANDEZ</t>
  </si>
  <si>
    <t>07:30 A 12:40 Y DE 15:00 A 20:10</t>
  </si>
  <si>
    <t>ietp.donorione@gmail.com</t>
  </si>
  <si>
    <t>Instituto de Formación Técnica Superior Don Orione</t>
  </si>
  <si>
    <t>Pepirí 1462</t>
  </si>
  <si>
    <t>011 4304-2939</t>
  </si>
  <si>
    <t>Mariana Malla</t>
  </si>
  <si>
    <t>17.30 a 21.30</t>
  </si>
  <si>
    <t>ispi9195crasancristobal@gmail.com</t>
  </si>
  <si>
    <t xml:space="preserve">Instituto de Educación Superior Particular Incorporada (I.S.P.I.) Cruz Roja Argentina - Anexo
</t>
  </si>
  <si>
    <t>MAIPU 894</t>
  </si>
  <si>
    <t>BERTI SANTIAGO GABRIEL</t>
  </si>
  <si>
    <t>santiagogberti@gmail.com</t>
  </si>
  <si>
    <t>08:00-12:30 14:00-22:00</t>
  </si>
  <si>
    <t>educa.gualeguay@cruzroja.org.ar</t>
  </si>
  <si>
    <t>Instituto de Educación Superior N° 79 Cruz Roja - Gualeguay</t>
  </si>
  <si>
    <t>Gualeguay</t>
  </si>
  <si>
    <t>Remedios Escalada de San Martín Nº 5</t>
  </si>
  <si>
    <t>03444-424313</t>
  </si>
  <si>
    <t>Costa Florencia Ramona</t>
  </si>
  <si>
    <t>3444-458768</t>
  </si>
  <si>
    <t>florcostaabrahan@gmail.com</t>
  </si>
  <si>
    <t>7 a 14</t>
  </si>
  <si>
    <t>sec.academica@ismsalud.com.ar</t>
  </si>
  <si>
    <t>Instituto Privado Nº A-1047 Superior Mitre</t>
  </si>
  <si>
    <t>Jerónimo Salguero 92</t>
  </si>
  <si>
    <t>11 9822533/1117</t>
  </si>
  <si>
    <t>gabrielaquirogan@gmail.com</t>
  </si>
  <si>
    <t>educa.corrientes@cruzroja.org.ar</t>
  </si>
  <si>
    <t>Instituto de Educación Superior (I.E.S.) Instituto de Formación y Capacitación Cruz Roja Argentina Filial Corrientes</t>
  </si>
  <si>
    <t>Corrientes</t>
  </si>
  <si>
    <t>Corrientes Capital</t>
  </si>
  <si>
    <t>Mirtha Ditchiar</t>
  </si>
  <si>
    <t>Javier Quiroga</t>
  </si>
  <si>
    <t>javier_quiroga@hotmail.com</t>
  </si>
  <si>
    <t>7.10 a 21.30 hrs horarios continuos</t>
  </si>
  <si>
    <t>centroeducativoirupe@hotmail.com</t>
  </si>
  <si>
    <t>Centro Educativo Irupe</t>
  </si>
  <si>
    <t>Santo Tomé</t>
  </si>
  <si>
    <t>San Martín N° 448</t>
  </si>
  <si>
    <t>3756-439073</t>
  </si>
  <si>
    <t>Lic. LUis Adolfo Silvero</t>
  </si>
  <si>
    <t>3756-539009</t>
  </si>
  <si>
    <t>lsilverocaj@gmail.com</t>
  </si>
  <si>
    <t>Lic. Ana Luján Ayala</t>
  </si>
  <si>
    <t>3756-602696</t>
  </si>
  <si>
    <t>analujana@yahoo.com</t>
  </si>
  <si>
    <t>14.00-20.55 - 7.00-10.00</t>
  </si>
  <si>
    <t>cetedsantafe@gmail.com</t>
  </si>
  <si>
    <t>I.S.P.A. N° 4084 "Centro de Educación Técnica para el Diagnóstico"</t>
  </si>
  <si>
    <t>Santa Fe</t>
  </si>
  <si>
    <t>Hipolito Yrigoyen 2856</t>
  </si>
  <si>
    <t>Lilián Elisabet Gómez</t>
  </si>
  <si>
    <t>lilianjgomez@gmail.com</t>
  </si>
  <si>
    <t>Dante Buri</t>
  </si>
  <si>
    <t>drburi28@gmail.com</t>
  </si>
  <si>
    <t>17 a 23 hs</t>
  </si>
  <si>
    <t>secretariasuperior.gmz@gmail.com</t>
  </si>
  <si>
    <t>Instituto Superior de Formación Docente y Técnica "Gustavo Martínez Zuviria"</t>
  </si>
  <si>
    <t>Las Varillas</t>
  </si>
  <si>
    <t>Pbro. José Tomás Luque 121</t>
  </si>
  <si>
    <t>SILVANA GUADALUPE SANMARTINO</t>
  </si>
  <si>
    <t>silvana_sanmartino@hotmail.com.ar</t>
  </si>
  <si>
    <t>RAMIRO FONCECA</t>
  </si>
  <si>
    <t>foncecaramiro.gmz@gmail.com</t>
  </si>
  <si>
    <t>Lunes a Viernes de 16 a 20:30</t>
  </si>
  <si>
    <t>vherrero@cruzroja.org.ar</t>
  </si>
  <si>
    <t>Instituto Escuela de Enfermería N° 4785 Escuela de Enfermeria de la Cruz Roja Argentina</t>
  </si>
  <si>
    <t>Morón</t>
  </si>
  <si>
    <t>Crisólogo Larralde 939 Morón</t>
  </si>
  <si>
    <t>educa.moron@cruzroja.org.ar</t>
  </si>
  <si>
    <t>Verónica Edith Herrero</t>
  </si>
  <si>
    <t>15-30292953</t>
  </si>
  <si>
    <t>Selva Margarita Silvero</t>
  </si>
  <si>
    <t>enfermeriatm.moron@cruzroja.org.ar</t>
  </si>
  <si>
    <t>8 a 14 hs.</t>
  </si>
  <si>
    <t>Stellaazul0025@gmail.com</t>
  </si>
  <si>
    <t>Salta</t>
  </si>
  <si>
    <t>Pues Zorrillo 253</t>
  </si>
  <si>
    <t>Azucena Estela Aguilar</t>
  </si>
  <si>
    <t>Carmen Garcia</t>
  </si>
  <si>
    <t>institutocarrillosalta@gmail.com</t>
  </si>
  <si>
    <t>19:00 a 23:45</t>
  </si>
  <si>
    <t>fernando.gutierrez@educacionadventista.org.ar</t>
  </si>
  <si>
    <t>Instituto Superior Adventista de Misiones</t>
  </si>
  <si>
    <t>Av. Rusia 410</t>
  </si>
  <si>
    <t>superior@isam.edu.ar</t>
  </si>
  <si>
    <t>Gabriel Boleas</t>
  </si>
  <si>
    <t>+54 9 11 3770-7534</t>
  </si>
  <si>
    <t>gabriel.boleas@educacionadventista.org.ar</t>
  </si>
  <si>
    <t>Fernando Noel Gutierrez Caballero</t>
  </si>
  <si>
    <t>Lunes a jueves de 13:30 a 19:30</t>
  </si>
  <si>
    <t>institutosuperiorclarac@gmail.com</t>
  </si>
  <si>
    <t>Gregorio de Laferrere</t>
  </si>
  <si>
    <t>E. Echeverría 6009</t>
  </si>
  <si>
    <t>Javier de los Santos Duarte Chavez</t>
  </si>
  <si>
    <t>11-6600-2246</t>
  </si>
  <si>
    <t>Virginia Sacconi</t>
  </si>
  <si>
    <t>11-2632-0559</t>
  </si>
  <si>
    <t>Turno Vespertino: 17:20 a 22:00 - Prácticas en contraturno</t>
  </si>
  <si>
    <t xml:space="preserve">Instituto Superior N° 4709 Escuela de Enfermeria Instituto Cruz Roja Argentina
</t>
  </si>
  <si>
    <t>San Isidro</t>
  </si>
  <si>
    <t>Rivadavia 454</t>
  </si>
  <si>
    <t>slgonzalez@cruzroja.org.ar</t>
  </si>
  <si>
    <t>Sandra Lorena González</t>
  </si>
  <si>
    <t>ssilvero@cruzroja.org.ar</t>
  </si>
  <si>
    <t>educa.snicolas@cruzroja.org.ar</t>
  </si>
  <si>
    <t>Instituto Superior N° 4726 Escuela de Enfermería Cruz Roja Arg. F. S. Nicolas P. Ogallar</t>
  </si>
  <si>
    <t>SARMIENTO 32</t>
  </si>
  <si>
    <t>MAYRA COMOLLI</t>
  </si>
  <si>
    <t>0336-154334476</t>
  </si>
  <si>
    <t>mayracomolli@gmail.com</t>
  </si>
  <si>
    <t>MONICA DEHEZA</t>
  </si>
  <si>
    <t>0336-154518306</t>
  </si>
  <si>
    <t>monicadeheza@hotmail.com</t>
  </si>
  <si>
    <t>14 a 20 hs</t>
  </si>
  <si>
    <t>superiorimb@gmail.com</t>
  </si>
  <si>
    <t>Instituto Superior del Profesorado Manuel Belgrano</t>
  </si>
  <si>
    <t>Brinkmann</t>
  </si>
  <si>
    <t>Avda Seeber 317</t>
  </si>
  <si>
    <t>Firmani Julio</t>
  </si>
  <si>
    <t>03562 407147</t>
  </si>
  <si>
    <t>jfirmani@hotmail.com</t>
  </si>
  <si>
    <t>Astrada Javier Jesús</t>
  </si>
  <si>
    <t>03562-416987</t>
  </si>
  <si>
    <t>estudiosparamedicos@hotmail.com</t>
  </si>
  <si>
    <t>Instituto Superior de Formación Técnica (I.S.F.T.) N° 4796 "Instituto Superior de Estudios Paramedicos"</t>
  </si>
  <si>
    <t>REMEDIOS DE ESCALADA 855</t>
  </si>
  <si>
    <t>SEBASTIÁN CAFFERA</t>
  </si>
  <si>
    <t>scaffera@hotmail.com</t>
  </si>
  <si>
    <t>Griselda Patricia Sosa</t>
  </si>
  <si>
    <t>grise_sosa@yahoo.com.ar</t>
  </si>
  <si>
    <t>14:00 a 18:15hs</t>
  </si>
  <si>
    <t>institutossp@gmail.com</t>
  </si>
  <si>
    <t>Instituto de Formación y Capacitación del Sindicato de Salud Pública de la Provincia de Buenos Aires</t>
  </si>
  <si>
    <t>La Plata</t>
  </si>
  <si>
    <t>Diag 77 Nª875</t>
  </si>
  <si>
    <t>Nancy Adriana Facciuto</t>
  </si>
  <si>
    <t>adrianafacciuto@gmail.com</t>
  </si>
  <si>
    <t>Antonio Perafan</t>
  </si>
  <si>
    <t>antonio_ismael_perafan@hotmail.com</t>
  </si>
  <si>
    <t>El horario de cursada es de lunes a viernes de 8 a 13,15hs. las Prácticas Profesionalizantes algunas burbujas en turno mañana otras en turno tarde</t>
  </si>
  <si>
    <t>educa.srafael@cruzroja.org.ar</t>
  </si>
  <si>
    <t>Instituto de Educación Superior (I.E.S.) N° 71 Cruz Roja Argentina Filial San Rafael</t>
  </si>
  <si>
    <t>Godoy Cruz Nº270</t>
  </si>
  <si>
    <t>Cristian Jesús Rodríguez</t>
  </si>
  <si>
    <t>crodriguez@cruzroja.org.ar</t>
  </si>
  <si>
    <t>Turno tarde, de 14 a 18 horas. Turno vespertino, de 18 a 22:20 horas.</t>
  </si>
  <si>
    <t>a1519.s@bue.edu.ar</t>
  </si>
  <si>
    <t>Instituto Superior de Enfermería Artémides Zatti A-1519</t>
  </si>
  <si>
    <t>Junín 1063, Recoleta.</t>
  </si>
  <si>
    <t>11 52364136</t>
  </si>
  <si>
    <t>María de los Ángeles Culquicondor</t>
  </si>
  <si>
    <t>8:00 a 13:00 hs.</t>
  </si>
  <si>
    <t>silmale76@gmail.com</t>
  </si>
  <si>
    <t>Villa Ocampo</t>
  </si>
  <si>
    <t>fray Luis Beltrán 1523</t>
  </si>
  <si>
    <t>03482 466663</t>
  </si>
  <si>
    <t>ispi4026@gmail.com</t>
  </si>
  <si>
    <t>Leiva Silvana Mariela</t>
  </si>
  <si>
    <t>Hugo Insaurralde</t>
  </si>
  <si>
    <t>hugoinsaurralde85@gmail.com</t>
  </si>
  <si>
    <t>18:20 a 23:15</t>
  </si>
  <si>
    <t>hurra@cruzroja.org.ar</t>
  </si>
  <si>
    <t>Instituto de Educación Superior (I.E.S.) N° 14 Cruz Roja Argentina Plaza Huincul</t>
  </si>
  <si>
    <t>Plaza Huincul</t>
  </si>
  <si>
    <t>Av. Cutral Co N° 13</t>
  </si>
  <si>
    <t>299 - 4963185</t>
  </si>
  <si>
    <t>educa.phuincul@cruzroja.org.ar</t>
  </si>
  <si>
    <t>Herminia Ernestina Urra</t>
  </si>
  <si>
    <t>299-4592584</t>
  </si>
  <si>
    <t>Turno mañana 07:30hs a 13:30hs - Turno tarde 13:00hs a 19:00hs</t>
  </si>
  <si>
    <t>secretaria@cruzdelsacrificio.com.ar</t>
  </si>
  <si>
    <t>Instituto Superior Cruz del Sacrificio</t>
  </si>
  <si>
    <t>Córdoba</t>
  </si>
  <si>
    <t>Lima 871</t>
  </si>
  <si>
    <t>secretariaiscds@gmail.com</t>
  </si>
  <si>
    <t>diferenciamiguel@gmail.com</t>
  </si>
  <si>
    <t>Tejerina Mirta</t>
  </si>
  <si>
    <t>15.00 a 20.00hs</t>
  </si>
  <si>
    <t>institutosep@sep.org.ar</t>
  </si>
  <si>
    <t>Instituto "S.E.P San Nicolás" (Sindicato de Empleados Públicos)</t>
  </si>
  <si>
    <t>Av, Maipú 354</t>
  </si>
  <si>
    <t>fabiancastello26@gmail.com</t>
  </si>
  <si>
    <t>Fabian Castello</t>
  </si>
  <si>
    <t>Elda Acevedo</t>
  </si>
  <si>
    <t>3512 111833</t>
  </si>
  <si>
    <t>eacevedo@sep.org.ar</t>
  </si>
  <si>
    <t>gallardojose1970@gmail.com</t>
  </si>
  <si>
    <t>Instituto "S.E.P San Nicolás" (Sindicato de Empleados Públicos) -Anexo Río Cuarto</t>
  </si>
  <si>
    <t>25 de Mayo 772</t>
  </si>
  <si>
    <t>CASTELLO, FABIAN</t>
  </si>
  <si>
    <t>nstitutosep@sep.org.ar</t>
  </si>
  <si>
    <t>JOSE LUIS GALLARDO</t>
  </si>
  <si>
    <t>de 15:00 a 20:00 hs</t>
  </si>
  <si>
    <t>lauragriseldadominguez@gmail.com</t>
  </si>
  <si>
    <t>Instituto "S.E.P San Nicolás" (Sindicato de Empleados Públicos) -Anexo Marcos Juarez</t>
  </si>
  <si>
    <t>LAURA GRISELDA DOMINGUEZ</t>
  </si>
  <si>
    <t>Instituto Superior Madre Teresa de Calcuta</t>
  </si>
  <si>
    <t>calle falucho y Larrea Norte S/N</t>
  </si>
  <si>
    <t>i.m.teresadecalcuta@gmail.com</t>
  </si>
  <si>
    <t>Carla Andrea Gastaldi</t>
  </si>
  <si>
    <t>carlandrea_08@hotmail.com</t>
  </si>
  <si>
    <t>carla andrea gastaldi</t>
  </si>
  <si>
    <t>14:00 a 20:00hs</t>
  </si>
  <si>
    <t>genovevaferreyrabeatriz@gmail.com</t>
  </si>
  <si>
    <t>Instituto "S.E.P San Nicolás" (Sindicato de Empleados Públicos) -Anexo Oliva</t>
  </si>
  <si>
    <t>Oliva</t>
  </si>
  <si>
    <t>Sarmiento 250</t>
  </si>
  <si>
    <t>Genoveva Beatriz Ferreyra</t>
  </si>
  <si>
    <t>15:00 horas a 20:30 horas</t>
  </si>
  <si>
    <t>fastanivelsuperior@gmail.com</t>
  </si>
  <si>
    <t>Instituto Superior FASTA - Inmaculada Concepción</t>
  </si>
  <si>
    <t>Bv. ROQUE SAENZ PEÑA 1151</t>
  </si>
  <si>
    <t>CAROLINA RAMBALDI</t>
  </si>
  <si>
    <t>YANINA CAMPOS</t>
  </si>
  <si>
    <t>11fastaenfermeria@gmail.com</t>
  </si>
  <si>
    <t>TURNO VESPERTINO: 18:00 - 23:00</t>
  </si>
  <si>
    <t>Instituto "S.E.P San Nicolás" (Sindicato de Empleados Públicos) -Anexo Deán Funes</t>
  </si>
  <si>
    <t>TENIENTE MORANDINI 355</t>
  </si>
  <si>
    <t>3521 423205</t>
  </si>
  <si>
    <t>coordenfdeanfunes@sep.org.ar</t>
  </si>
  <si>
    <t>LIC. CASTELLO, FABIAN</t>
  </si>
  <si>
    <t>351 6430818</t>
  </si>
  <si>
    <t>LIC CARIGNANO, PATRICIA</t>
  </si>
  <si>
    <t>3521 401507</t>
  </si>
  <si>
    <t>Lunes a Miercoles 14:30 a 20 hs y Jueves 8 a 12:30 hs</t>
  </si>
  <si>
    <t>Instituto "S.E.P San Nicolás" (Sindicato de Empleados Públicos) -Anexo Colón</t>
  </si>
  <si>
    <t>CÓRDOBA 1050</t>
  </si>
  <si>
    <t>3525 685920</t>
  </si>
  <si>
    <t>coordenfjesusmaria@sep.org.ar</t>
  </si>
  <si>
    <t>FABIAN CASTELLO</t>
  </si>
  <si>
    <t>LAURA ALMADA</t>
  </si>
  <si>
    <t>lunes a viernes 18:40 a 23:30 hs</t>
  </si>
  <si>
    <t>grodriguez@cruzroja.org.ar</t>
  </si>
  <si>
    <t>Dr. Eduardo Paz Chain N° 52</t>
  </si>
  <si>
    <t>educa.salta@cruzroja.org.ar</t>
  </si>
  <si>
    <t>claudiasilvanag75@gmail.com</t>
  </si>
  <si>
    <t>coordenfpunilla@sep.org</t>
  </si>
  <si>
    <t>Instituto "S.E.P San Nicolás" (Sindicato de Empleados Públicos) -Anexo Cosquín</t>
  </si>
  <si>
    <t>Cosquin</t>
  </si>
  <si>
    <t>Pedro Ortiz 571</t>
  </si>
  <si>
    <t>CASTELLO FABIAN RODOLFO</t>
  </si>
  <si>
    <t>Calder Myriam Mabel</t>
  </si>
  <si>
    <t>coordenfpunilla@sep.org.ar</t>
  </si>
  <si>
    <t>14 a 20 hs unicamente turno tarde</t>
  </si>
  <si>
    <t>Instituto "S.E.P San Nicolás" (Sindicato de Empleados Públicos) -Anexo Villa María</t>
  </si>
  <si>
    <t>Catamarca 1268</t>
  </si>
  <si>
    <t>coordenfvillamaria@sep.org.ar</t>
  </si>
  <si>
    <t>Castello fabian</t>
  </si>
  <si>
    <t>Alvarez franco</t>
  </si>
  <si>
    <t>francoalvarez_83@hotmail.com.ar</t>
  </si>
  <si>
    <t>15hs a 21hs</t>
  </si>
  <si>
    <t>isftn6008@hotmail.com</t>
  </si>
  <si>
    <t>Escuela Municipal de Enfermería e Instrumentació</t>
  </si>
  <si>
    <t>Luzuriaga 308</t>
  </si>
  <si>
    <t>Sainz Hector Osvaldo</t>
  </si>
  <si>
    <t>hsainz@fibertel.com.ar</t>
  </si>
  <si>
    <t>Lavalle Silvia Marcela</t>
  </si>
  <si>
    <t>marcelalavalle@gmail.com</t>
  </si>
  <si>
    <t>14.30hs a 20hs</t>
  </si>
  <si>
    <t>Instituto Privado N° A-0895 "Escuela de Enfermería Helena Larroque de Roffo"</t>
  </si>
  <si>
    <t>Av. San. Martin 5481</t>
  </si>
  <si>
    <t>escenfermeriaroffo895@gmail.com</t>
  </si>
  <si>
    <t>Veronica Nancy Vilte</t>
  </si>
  <si>
    <t>+54 9 11 5723-0438</t>
  </si>
  <si>
    <t>veronicavilte82@gmail.com</t>
  </si>
  <si>
    <t>7:30 a 13:50</t>
  </si>
  <si>
    <t>Instituto Superior Nº 8693 Establecimiento Profesional de la Sal</t>
  </si>
  <si>
    <t>Mar del Plata</t>
  </si>
  <si>
    <t>AVDA JUAN B JUSTO 2050</t>
  </si>
  <si>
    <t>mabelnoemicipriani77@gmail.com</t>
  </si>
  <si>
    <t>CIPRIANI MABEL NOEMI</t>
  </si>
  <si>
    <t>SORAGNI PATRICIA</t>
  </si>
  <si>
    <t>patriciasoragni@gmail.com</t>
  </si>
  <si>
    <t>DE 8 A 12 HS Y DE 14 A 19 HS</t>
  </si>
  <si>
    <t>rolli.f@iso.edu.ar</t>
  </si>
  <si>
    <t>Instituto Privado N° A-1385 Instituto Superior Octubre (I.S.O.)</t>
  </si>
  <si>
    <t>Venezuela 356</t>
  </si>
  <si>
    <t>rectorado@iso.edu.ar</t>
  </si>
  <si>
    <t>Leandro Vecino Dri</t>
  </si>
  <si>
    <t>5453546600 interno 5225</t>
  </si>
  <si>
    <t>Florencia Rolli</t>
  </si>
  <si>
    <t>54535466000 interno 5201</t>
  </si>
  <si>
    <t>Turno Mañana 8:20 a 13 Turno Tarde 13 a 17:20</t>
  </si>
  <si>
    <t>NO</t>
  </si>
  <si>
    <t>bienestarestudiantil@iuce.edu.ar</t>
  </si>
  <si>
    <t>I.U.C.E - Instituto de Capacitación y Gestión</t>
  </si>
  <si>
    <t>J. A. ROCA 464 3º PISO</t>
  </si>
  <si>
    <t>0299-4428405</t>
  </si>
  <si>
    <t>FLORENCIA AGUSTINA PEÑA</t>
  </si>
  <si>
    <t>0299-15-5247463</t>
  </si>
  <si>
    <t>fpena@iuce.edu.ar</t>
  </si>
  <si>
    <t>MARÍA LETICIA MASSON</t>
  </si>
  <si>
    <t>0299-15-5240368</t>
  </si>
  <si>
    <t>14:00 a 22:00 hs</t>
  </si>
  <si>
    <t>institutosuperior@jerarquicos.com</t>
  </si>
  <si>
    <t>Instituto de Educación Superior Particular Autorizado (I.S.P.A.) Nº 4086 De Especialización Profesional</t>
  </si>
  <si>
    <t>342 5365401</t>
  </si>
  <si>
    <t>mpallotta@jerarquicos.com</t>
  </si>
  <si>
    <t>dsosa@jerarquicos.com</t>
  </si>
  <si>
    <t>Instituto Escuela de Enfermería N° 4948 Escuela de Enfermeria de la Cruz Roja Argentina</t>
  </si>
  <si>
    <t>Santos Lugares</t>
  </si>
  <si>
    <t>Ernesto Sabato 3670</t>
  </si>
  <si>
    <t>s-lugares@cruzroja.org.ar</t>
  </si>
  <si>
    <t>Di Cullo, Fcundo</t>
  </si>
  <si>
    <t>fdicuollo@cruzroja.org.ar</t>
  </si>
  <si>
    <t>Silvero Selva</t>
  </si>
  <si>
    <t>08 hs a 13hs-15 a 20.20</t>
  </si>
  <si>
    <t>Instituto de Educación Superior N° D- 74 Cruz Roja Argentina -Filial Paraná</t>
  </si>
  <si>
    <t>ANDRES PAZOS 301</t>
  </si>
  <si>
    <t>educa.parana@cruzroja.org.ar</t>
  </si>
  <si>
    <t>MARTIN JOSE MARIA NANI</t>
  </si>
  <si>
    <t>mnani@cruzroja.org.ar</t>
  </si>
  <si>
    <t>FUENTES GODOY MARIO</t>
  </si>
  <si>
    <t>mfuentes@cruzroja.org.ar</t>
  </si>
  <si>
    <t>14.30 a 22.00</t>
  </si>
  <si>
    <t>INSTITUTOSUPERIORISAM@GMAIL.COM</t>
  </si>
  <si>
    <t>MONTIEL 75 - PISO 1</t>
  </si>
  <si>
    <t>MARISA LILIANA BORDA SOTO</t>
  </si>
  <si>
    <t>MARISABORDASOTO@GMAIL.COM</t>
  </si>
  <si>
    <t>ARACELI GONZALES</t>
  </si>
  <si>
    <t>INSTITUTOSUPERIORISAM@GMAIL.COM.AR</t>
  </si>
  <si>
    <t>TURNO MAÑANA DE 08:00 A 12:40 HS</t>
  </si>
  <si>
    <t>administracion@cenv.org</t>
  </si>
  <si>
    <t>Instituto Nº 1507 Centro de Estudios Nueva Vida</t>
  </si>
  <si>
    <t>Avenida Rivadavia 4529</t>
  </si>
  <si>
    <t>Aníbal J. Vassalli</t>
  </si>
  <si>
    <t>011-49826336</t>
  </si>
  <si>
    <t>anibalvassalli@ccnv.org</t>
  </si>
  <si>
    <t>Claudia E. Zalazar</t>
  </si>
  <si>
    <t>claudiazalazar@ccnv.org</t>
  </si>
  <si>
    <t>Horario Vespertino: Miércoles de 18 a 22:40hs, jueves de 18 a 19:20hs y viernes de 18 a 22:40hs.</t>
  </si>
  <si>
    <t>isetmardelplata@gmail.com</t>
  </si>
  <si>
    <t>Bernardo de Yrigoyen 4951</t>
  </si>
  <si>
    <t>Laura Estela Giarrocco</t>
  </si>
  <si>
    <t>lauragiarro@gmail.com</t>
  </si>
  <si>
    <t>Cristina Gloria García</t>
  </si>
  <si>
    <t>crgarcia8@abc.gob.ar</t>
  </si>
  <si>
    <t>18:00 a 23:00</t>
  </si>
  <si>
    <t>fzulian@cruzroja.org.ar</t>
  </si>
  <si>
    <t>Escuela de Enfermería N° A-825 Especialidades Paramédicas Cruz Roja Argentina (Sede Central)</t>
  </si>
  <si>
    <t>Moreno 3363</t>
  </si>
  <si>
    <t>secretaria.central@cruzroja.org.ar</t>
  </si>
  <si>
    <t>María Florencia Zulian</t>
  </si>
  <si>
    <t>011 31042293</t>
  </si>
  <si>
    <t>Narciso Péres</t>
  </si>
  <si>
    <t>011 40895142</t>
  </si>
  <si>
    <t>nperes@cruzroja.org.ar</t>
  </si>
  <si>
    <t>Turno mañana: 8.00 a 13.00 
Turno tarde: 13.20 a 18.40
Turno noche: 17.20 a 22.40</t>
  </si>
  <si>
    <t>fchiappetta@terciariofatimasoldati.edu.ar</t>
  </si>
  <si>
    <t>Instituto de Formación Técnica Superior Nuestra Señora de Fátima</t>
  </si>
  <si>
    <t>Mariano Acosta 2920 - Villa Soldati</t>
  </si>
  <si>
    <t>Fernando José Chiappetta</t>
  </si>
  <si>
    <t>+54 911 5961-8205</t>
  </si>
  <si>
    <t>Luz Marianela Gavilán</t>
  </si>
  <si>
    <t>+54 911 5990 7912</t>
  </si>
  <si>
    <t>lgavilan@terciariofatimasoldati.edu.ar</t>
  </si>
  <si>
    <t>17 a 22hs ( hay prácticas fuera del instituto que comienzan a las 14hs...)</t>
  </si>
  <si>
    <t>Instituto Superior de Enfermería Israelita A-839</t>
  </si>
  <si>
    <t>Coronel Ramon L. Falcon 4080</t>
  </si>
  <si>
    <t>sabrina.gaetan@bue.edu.ar</t>
  </si>
  <si>
    <t>Maria del Carmen Venuti</t>
  </si>
  <si>
    <t>maria.venuti@bue.edu.ar</t>
  </si>
  <si>
    <t>Sabrina Gaetán</t>
  </si>
  <si>
    <t>ggonzalez@cruzroja.org.ar</t>
  </si>
  <si>
    <t>Instituto Superior Particular Incorporado 9195 Cruz Roja Argentina</t>
  </si>
  <si>
    <t>Cruz Roja Argentina 1963</t>
  </si>
  <si>
    <t>0342 4525224</t>
  </si>
  <si>
    <t>s-fe@cruzroja.org.ar</t>
  </si>
  <si>
    <t>Eduardo Gabriel Gonzalez</t>
  </si>
  <si>
    <t>342 4868783</t>
  </si>
  <si>
    <t>Mañana de 08 a 14 hs
Tarde 15 a 21</t>
  </si>
  <si>
    <t>isupmyriamgloss@gmail.com</t>
  </si>
  <si>
    <t>Alberdi 435</t>
  </si>
  <si>
    <t>3888-660361</t>
  </si>
  <si>
    <t>388-5718538</t>
  </si>
  <si>
    <t>vivijuy21@hotmail.com</t>
  </si>
  <si>
    <t>instreinaldabalancini@gmail.com</t>
  </si>
  <si>
    <t>Instituto Superior de Enfermería PT 254 Reinalda Balancini</t>
  </si>
  <si>
    <t>Godoy Cruz</t>
  </si>
  <si>
    <t>Juan de Garay 115</t>
  </si>
  <si>
    <t>Gaston Esteban Gonzalez</t>
  </si>
  <si>
    <t>iselicgastongonzalez@gmail.com</t>
  </si>
  <si>
    <t>Jaquelina Paola Ubeda</t>
  </si>
  <si>
    <t>coordinadorabalanciniubeda@gmail.com</t>
  </si>
  <si>
    <t>8 a13 hs y de 16 a 21 hs.</t>
  </si>
  <si>
    <t>s-fernando@cruzroja.org.ar</t>
  </si>
  <si>
    <t>Instituto Escuela de Enfermería Inst.Escuela de Enfermeria y Espec.Paramedicas Cruz Roja</t>
  </si>
  <si>
    <t>3 de febrero 1275</t>
  </si>
  <si>
    <t>CELIA FABIANA PEREYRA</t>
  </si>
  <si>
    <t>fpereyra@cruzroja.org.ar</t>
  </si>
  <si>
    <t>PAOLA NATALIA GERVAN</t>
  </si>
  <si>
    <t>pgerva@cruzroja.org.ar</t>
  </si>
  <si>
    <t>San Salvador de Jujuy</t>
  </si>
  <si>
    <t>educa.lujan@cruzroja.org.ar</t>
  </si>
  <si>
    <t>Instituto Escuela de Enfermería N° 5003 Escuela de Enf. y Esp. Paramedicas Cruz Roja Argentina Filial Lujan</t>
  </si>
  <si>
    <t>Luján</t>
  </si>
  <si>
    <t>Belgrano 874</t>
  </si>
  <si>
    <t>Acosta, Mercedes Clara</t>
  </si>
  <si>
    <t>011 15 61530430</t>
  </si>
  <si>
    <t>macosta@cruzroja.org.ar</t>
  </si>
  <si>
    <t>institutomyriambeatrizg@gmail.com</t>
  </si>
  <si>
    <t>La Quiaca</t>
  </si>
  <si>
    <t>Paraguay 432</t>
  </si>
  <si>
    <t>chinellatopabloe.idicsa@gmail.com</t>
  </si>
  <si>
    <t>Instituto Privado Nº 172 Instituto de Docencia, Investigación y Capacitación Laboral de la Sanidad</t>
  </si>
  <si>
    <t>Morón 265 Ciudad</t>
  </si>
  <si>
    <t>8 a 14 y 15 a 21</t>
  </si>
  <si>
    <t>Instituto Privado Nº 172 Instituto de Docencia, Investigación y Capacitación Laboral de la Sanidad Anexo San Martin</t>
  </si>
  <si>
    <t>San Martín 
Defensa Civil y 25 de Mayo, La Colonia, Junín</t>
  </si>
  <si>
    <t>reyesmariarosaidicsa@gmail.com</t>
  </si>
  <si>
    <t>14 a 19</t>
  </si>
  <si>
    <t>Instituto Privado Nº 172 Instituto de Docencia, Investigación y Capacitación Laboral de la Sanidad Anexo Lavalle</t>
  </si>
  <si>
    <t>Lavalle 
Emilio Civit 98</t>
  </si>
  <si>
    <t>15 a 21</t>
  </si>
  <si>
    <t>Instituto Privado Nº 172 Instituto de Docencia, Investigación y Capacitación Laboral de la Sanidad Anexo Tupungato</t>
  </si>
  <si>
    <t>Tupungato 
Belgrano Norte 1650</t>
  </si>
  <si>
    <t>Instituto Privado Nº 172 Instituto de Docencia, Investigación y Capacitación Laboral de la Sanidad Anexo General Alvear</t>
  </si>
  <si>
    <t>Alvear
Emilio Civit 28</t>
  </si>
  <si>
    <t>Instituto Privado Nº 172 Instituto de Docencia, Investigación y Capacitación Laboral de la Sanidad Anexo Malargüe</t>
  </si>
  <si>
    <t>Malargüe 
E Aldao y Roca, Malargüe - Mendoza</t>
  </si>
  <si>
    <t>Reyes María 6</t>
  </si>
  <si>
    <t>14 a 20</t>
  </si>
  <si>
    <t>anibalarroyos@gmail.com</t>
  </si>
  <si>
    <t>Instituto Politécnico Nº 1 Instituto Superior de ETP Misiones</t>
  </si>
  <si>
    <t>CARDENALES 6992 ITAEMBE GUAZU</t>
  </si>
  <si>
    <t>politecnico.misiones@gmail.com</t>
  </si>
  <si>
    <t>RAMON ANIBAL ARROYOS</t>
  </si>
  <si>
    <t>SUSANA FRETES</t>
  </si>
  <si>
    <t>susanafretes.578@gmail.com</t>
  </si>
  <si>
    <t>17:30 a 22:45</t>
  </si>
  <si>
    <t>aldoruizsj@gmail.com</t>
  </si>
  <si>
    <t>Instituto de Educación Superior de Formación Docente y Técnica (I.S.F.D.yT.) Nº 20 Senador Néstor Juan Zamaro</t>
  </si>
  <si>
    <t>San Justo</t>
  </si>
  <si>
    <t>Bv. Patria 2702</t>
  </si>
  <si>
    <t>superior20_sanjusto@santafe.edu.ar</t>
  </si>
  <si>
    <t>Belen Strada</t>
  </si>
  <si>
    <t>3434 709508</t>
  </si>
  <si>
    <t>coordinaciontse.nestorzamarosj@gmail.com</t>
  </si>
  <si>
    <t>Turno mañana 8 a 12.50</t>
  </si>
  <si>
    <t>gabylaguzza@gmail.com</t>
  </si>
  <si>
    <t>Escuela Superior de Enfermería M. E. Araya de Colombres</t>
  </si>
  <si>
    <t>Alem 1450 1er piso</t>
  </si>
  <si>
    <t>341 472 1492</t>
  </si>
  <si>
    <t>ese_rosario@santafe.gov.ar</t>
  </si>
  <si>
    <t>María Gabriela La Guzza</t>
  </si>
  <si>
    <t>7a13hs</t>
  </si>
  <si>
    <t>mle.direccion67@gmail.com</t>
  </si>
  <si>
    <t>Instituto Superior de Profesorado N° 67</t>
  </si>
  <si>
    <t>Av 12 de octubre 9300</t>
  </si>
  <si>
    <t>manuelperaltamassi@gmail.com</t>
  </si>
  <si>
    <t>direccionisp2@gmail.com</t>
  </si>
  <si>
    <t>Instituto Superior de Profesorado N° 02 Dr. Joaquín V. González</t>
  </si>
  <si>
    <t>Rafaela</t>
  </si>
  <si>
    <t>Mariano Vera 548</t>
  </si>
  <si>
    <t>3492 432441</t>
  </si>
  <si>
    <t>Secretariaisp2@gmail.com</t>
  </si>
  <si>
    <t>Laura Culzoni</t>
  </si>
  <si>
    <t>Juan Pablo Dalmazzo</t>
  </si>
  <si>
    <t>juanpbl1974@gmail.com</t>
  </si>
  <si>
    <t>7.30 a 13 hs</t>
  </si>
  <si>
    <t>Iset57@gmail.com</t>
  </si>
  <si>
    <t>ISET N° 57</t>
  </si>
  <si>
    <t>Necochea 1339</t>
  </si>
  <si>
    <t>Carlos Alberto Boffa</t>
  </si>
  <si>
    <t>todotinta@gmail.com</t>
  </si>
  <si>
    <t>javierrambaldo@gmail.com</t>
  </si>
  <si>
    <t>17:25 a 22:15</t>
  </si>
  <si>
    <t>uaecdadegomez@hotmail.com</t>
  </si>
  <si>
    <t>Escuela Superior de Enfermería Cañada de Gómez</t>
  </si>
  <si>
    <t>Cañada de Gómez</t>
  </si>
  <si>
    <t>Urquiza 750</t>
  </si>
  <si>
    <t>PEDEMONTE, Sergio Martin</t>
  </si>
  <si>
    <t>s.m.p_77@hotmail.com</t>
  </si>
  <si>
    <t>turno tarde: 14 a 20 hs</t>
  </si>
  <si>
    <t>alegajdosik@gmail.com</t>
  </si>
  <si>
    <t xml:space="preserve">Escuela Superior de Enfermería Rafaela
</t>
  </si>
  <si>
    <t>Bernardo de Irigoyen 1050</t>
  </si>
  <si>
    <t>eserafaela@hotmail.com</t>
  </si>
  <si>
    <t>03492 15207989</t>
  </si>
  <si>
    <t>7 a 13</t>
  </si>
  <si>
    <t>guillermo.haller@ispc.edu.ar</t>
  </si>
  <si>
    <t>Instituto Superior Politécnico de Córdoba</t>
  </si>
  <si>
    <t>Humberto Primo 680, edificio Suquía, 2do piso, oficina 22</t>
  </si>
  <si>
    <t>politecnicocordoba@ispc.edu.ar</t>
  </si>
  <si>
    <t>Guillermo Haller</t>
  </si>
  <si>
    <t>Florencia López</t>
  </si>
  <si>
    <t>3513 45-8301</t>
  </si>
  <si>
    <t>aflorencia.lopez@ispc.edu.ar</t>
  </si>
  <si>
    <t>a partir de las 18:00 hs.</t>
  </si>
  <si>
    <t>isfdyt70rauch@abc.gob.ar</t>
  </si>
  <si>
    <t xml:space="preserve">Instituto de Educación Superior de Formación Docente y Técnica (ISFDyT) N° 70 Manuel Belgrano
</t>
  </si>
  <si>
    <t>Rauch</t>
  </si>
  <si>
    <t>Larrea N° 276</t>
  </si>
  <si>
    <t>María Soledad Vidaurreta</t>
  </si>
  <si>
    <t>02494- 15354355</t>
  </si>
  <si>
    <t>mvidaurreta1@abc.gob.ar</t>
  </si>
  <si>
    <t>02494 -15354355</t>
  </si>
  <si>
    <t>18:00 a 22:00 hs</t>
  </si>
  <si>
    <t>isft194galvarado@abc.gob.ar</t>
  </si>
  <si>
    <t>Miramar</t>
  </si>
  <si>
    <t>Diagonal Fortunato de la Plaza 1620</t>
  </si>
  <si>
    <t>Maria Soledad Coco</t>
  </si>
  <si>
    <t>marcoco@abc.gob.ar</t>
  </si>
  <si>
    <t>Villabona Soledad</t>
  </si>
  <si>
    <t>dvillabona@abc.gob.ar</t>
  </si>
  <si>
    <t>13.30 a 18hs</t>
  </si>
  <si>
    <t>esere88@hotmail.com</t>
  </si>
  <si>
    <t>Escuela Superior de Enfermería Reconquista</t>
  </si>
  <si>
    <t>Reconquista</t>
  </si>
  <si>
    <t>Hipòlito Irigoyen 1580</t>
  </si>
  <si>
    <t>Nancy Helena Villasboas</t>
  </si>
  <si>
    <t>nancy_villasboas@yahoo.com.ar</t>
  </si>
  <si>
    <t>de 7 a 13 y de 13 a 19 hs</t>
  </si>
  <si>
    <t>isftgrodriguez@abc.gob.ar</t>
  </si>
  <si>
    <t>Instituto Superior de Formación Técnica (I.S.F.T.) Nº 188</t>
  </si>
  <si>
    <t>General Rodriguez</t>
  </si>
  <si>
    <t>Pueyrredón 781</t>
  </si>
  <si>
    <t>011-69583484</t>
  </si>
  <si>
    <t>María Esther Sala</t>
  </si>
  <si>
    <t>msala12@abc.gob.ar</t>
  </si>
  <si>
    <t>Castelli Carolina</t>
  </si>
  <si>
    <t>nacastelli@abc.gob.ar</t>
  </si>
  <si>
    <t>Instituto Superior de Formación Técnica (I.S.F.T.) N° 197</t>
  </si>
  <si>
    <t>Avellaneda</t>
  </si>
  <si>
    <t>Av. Belgrano 1191</t>
  </si>
  <si>
    <t>aszer@ibeltran.com.ar</t>
  </si>
  <si>
    <t>Gustavo Agosti</t>
  </si>
  <si>
    <t>direccion197@ibeltran.com.ar</t>
  </si>
  <si>
    <t>Alejandro Szer</t>
  </si>
  <si>
    <t>12:00 a 19:00 hs</t>
  </si>
  <si>
    <t>isfdyt49brandsen@abc.gob.ar</t>
  </si>
  <si>
    <t xml:space="preserve">Instituto Superior de Formación Docente (I.S.F.D.) N° 49
</t>
  </si>
  <si>
    <t>Brandsen</t>
  </si>
  <si>
    <t>Calle 119 esquina 10</t>
  </si>
  <si>
    <t>Vanesa Martin</t>
  </si>
  <si>
    <t>vmartin9@abc.gob.ar</t>
  </si>
  <si>
    <t>isfdyt125rojas@abc.gob.ar</t>
  </si>
  <si>
    <t>Instituto de Educación Superior de Formación Docente y Técnica (I.S.F.D.yT.) N° 125 Nicolás Avellaneda</t>
  </si>
  <si>
    <t>Rojas</t>
  </si>
  <si>
    <t>Lamadrid 262</t>
  </si>
  <si>
    <t>2475-463049</t>
  </si>
  <si>
    <t>Natalia Palmieri</t>
  </si>
  <si>
    <t>2474-663093</t>
  </si>
  <si>
    <t>natpalmieri@abc.gob.ar</t>
  </si>
  <si>
    <t>Daniela Grattone</t>
  </si>
  <si>
    <t>2474-406721</t>
  </si>
  <si>
    <t>mgrattone@abc.gob.ar</t>
  </si>
  <si>
    <t>De lunes a viernes de 18:30 a 22:30 hs.</t>
  </si>
  <si>
    <t>isfdyt211alem@abc.gob.ar</t>
  </si>
  <si>
    <t>Instituto Superior de Formacion Docente y Tecnica N° 211</t>
  </si>
  <si>
    <t>Vedia</t>
  </si>
  <si>
    <t>Av Dunckler N° 555</t>
  </si>
  <si>
    <t>2354 421116</t>
  </si>
  <si>
    <t>Cecilia Baldassare</t>
  </si>
  <si>
    <t>2364 605432</t>
  </si>
  <si>
    <t>cbaldassare@abc.gob.ar</t>
  </si>
  <si>
    <t>María Emilia Carega</t>
  </si>
  <si>
    <t>2364 356806</t>
  </si>
  <si>
    <t>mariaemiliacarega@abc.gob.ar</t>
  </si>
  <si>
    <t>17 a 22</t>
  </si>
  <si>
    <t>neiraflavia20@gmail.com</t>
  </si>
  <si>
    <t>Escuela Superior de Enfermería San Jorge</t>
  </si>
  <si>
    <t>Sarmiento 663</t>
  </si>
  <si>
    <t>ese_sanjorge@santafe.gov.ar</t>
  </si>
  <si>
    <t>Flavia Neira</t>
  </si>
  <si>
    <t>16 a 21 hs.</t>
  </si>
  <si>
    <t>isfd.arienti.fl@entrerios.edu.ar</t>
  </si>
  <si>
    <t>Federal</t>
  </si>
  <si>
    <t>Antelo 625</t>
  </si>
  <si>
    <t>03454 421045</t>
  </si>
  <si>
    <t>Lorena Analia Ava</t>
  </si>
  <si>
    <t>3454 406934</t>
  </si>
  <si>
    <t>ava_553@hotmail.com</t>
  </si>
  <si>
    <t>Carlos Antonio Morales</t>
  </si>
  <si>
    <t>moralescarlosantonio57@gmail.com</t>
  </si>
  <si>
    <t>17.30- 22.10</t>
  </si>
  <si>
    <t>isfdyt57chascomus@abc.gob.ar</t>
  </si>
  <si>
    <t>Chascomús</t>
  </si>
  <si>
    <t>Franklin 166</t>
  </si>
  <si>
    <t>2241- 436710</t>
  </si>
  <si>
    <t>Ana María Wyrley- Birch</t>
  </si>
  <si>
    <t>awyrleybirch@abc.gob.ar</t>
  </si>
  <si>
    <t>Natalia Barrios</t>
  </si>
  <si>
    <t>2241-551907</t>
  </si>
  <si>
    <t>nabarrios5@abc.gob.ar</t>
  </si>
  <si>
    <t>lunes a viernes de 17:30 a 22:00</t>
  </si>
  <si>
    <t>isfdyt237treslomas@abc.gob.ar</t>
  </si>
  <si>
    <t>Instituto Superior de Formacion Docente y Tecnica N° 237</t>
  </si>
  <si>
    <t>Tres Lomas</t>
  </si>
  <si>
    <t>Moreno 117</t>
  </si>
  <si>
    <t>Soledad Elisa Ramis</t>
  </si>
  <si>
    <t>soramis@abc.gob.ar</t>
  </si>
  <si>
    <t>Rosalba Vargas</t>
  </si>
  <si>
    <t>18 a 22:15 hs y 17 a 22:15 hs</t>
  </si>
  <si>
    <t>isfdyt73guamini@abc.gob.ar</t>
  </si>
  <si>
    <t>Instituto Superior de Formación Docente (I.S.F.D.) N° 73 Rosario Vera Peñaloza</t>
  </si>
  <si>
    <t>SAN MARTIN 322</t>
  </si>
  <si>
    <t>YANINA VANESA ARBALLO</t>
  </si>
  <si>
    <t>02923 413162</t>
  </si>
  <si>
    <t>varballo1@abc.gob.ar</t>
  </si>
  <si>
    <t>Maria del Carmen Arias</t>
  </si>
  <si>
    <t>marias6@abc.gob.ar</t>
  </si>
  <si>
    <t>miercoles, jueves y viernes de 14 a 22 hs</t>
  </si>
  <si>
    <t>jgiraud1@abc.gob.ar</t>
  </si>
  <si>
    <t>Instituto Superior de Formación Docente y Técnica N° 164</t>
  </si>
  <si>
    <t>Ameghino</t>
  </si>
  <si>
    <t>Calle 3 Nº 241</t>
  </si>
  <si>
    <t>isfdyt164ameghino@abc.gob.ar</t>
  </si>
  <si>
    <t>Juan Manuel Giraud</t>
  </si>
  <si>
    <t>isfsyt164ameghino@abc.gob.ar</t>
  </si>
  <si>
    <t>18 a 23</t>
  </si>
  <si>
    <t>isfd133pinto@abc.gob.ar</t>
  </si>
  <si>
    <t>Instituto Superior de Formación Docente (I.S.F.D.) N° 133 Otto Pascual La Falce</t>
  </si>
  <si>
    <t>General Pinto</t>
  </si>
  <si>
    <t>Carlos Pellegrini N° 10</t>
  </si>
  <si>
    <t>Jorgelina Sierra</t>
  </si>
  <si>
    <t>jsierra03@abc.gob.ar</t>
  </si>
  <si>
    <t>Soledad Romero</t>
  </si>
  <si>
    <t>soromero9@abc.gob.ar</t>
  </si>
  <si>
    <t>18 a 23hs.</t>
  </si>
  <si>
    <t xml:space="preserve">Instituto de Educación Superior de Formación Docente y Técnica (I.S.F.D.yT.) N° 68
</t>
  </si>
  <si>
    <t>Adolfo Gonbzales Chaves</t>
  </si>
  <si>
    <t>Maipu 684</t>
  </si>
  <si>
    <t>iisfdyt68agchaves@abc.gob.ar</t>
  </si>
  <si>
    <t>Laura Andrea Palavecino</t>
  </si>
  <si>
    <t>lpalavecino9@abc.gob.ar</t>
  </si>
  <si>
    <t>Alejandro Fernandez</t>
  </si>
  <si>
    <t>chavense16@gmail.com</t>
  </si>
  <si>
    <t>isfdyt218roqueperez@abc.gob.ar</t>
  </si>
  <si>
    <t>9 de Julio 1537 y Larraburu</t>
  </si>
  <si>
    <t>Pablo Germán Kalyna</t>
  </si>
  <si>
    <t>pkalyna@abc.gob.ar</t>
  </si>
  <si>
    <t>17:50 a 22:10</t>
  </si>
  <si>
    <t>isft180moreno@abc.gob.ar</t>
  </si>
  <si>
    <t>Instituto Superior de Formación Técnica (I.S.F.T.) N° 180 Localidad Mariano Moreno</t>
  </si>
  <si>
    <t>Moreno</t>
  </si>
  <si>
    <t>Viamonte Nº2615</t>
  </si>
  <si>
    <t>Damián Rubenffein</t>
  </si>
  <si>
    <t>drubenffein@abc.gob.ar</t>
  </si>
  <si>
    <t>Derdoy María</t>
  </si>
  <si>
    <t>mderdoy@abc.gob.ar</t>
  </si>
  <si>
    <t>18:20 a 22:30</t>
  </si>
  <si>
    <t>isfdyt85zarate@abc.gob.ar</t>
  </si>
  <si>
    <t xml:space="preserve">Instituto Superior de Formación Docente (I.S.F.D.) N° 85
</t>
  </si>
  <si>
    <t>Zárate</t>
  </si>
  <si>
    <t>Avenida Anta Nº700</t>
  </si>
  <si>
    <t>Erica Ramírez</t>
  </si>
  <si>
    <t>3487-686998</t>
  </si>
  <si>
    <t>eriramirez@abc.gob.ar</t>
  </si>
  <si>
    <t>Laura Salvatore</t>
  </si>
  <si>
    <t>3487-408994</t>
  </si>
  <si>
    <t>lausalvatore@abc.gob.ar</t>
  </si>
  <si>
    <t>13:00 a 18:00 y de 18:00 a 22:00</t>
  </si>
  <si>
    <t>ies9.026lasheras@gmail.com</t>
  </si>
  <si>
    <t>ALMIRANTE BROWN 2600</t>
  </si>
  <si>
    <t>VALERIA S VILLAFRANCA</t>
  </si>
  <si>
    <t>valevillafranca73@gmail.com</t>
  </si>
  <si>
    <t>MARIA PAULA BUSTOS FUNES</t>
  </si>
  <si>
    <t>bustosfunesmariapaula@yahoo.com</t>
  </si>
  <si>
    <t>19,00 a 22,50</t>
  </si>
  <si>
    <t>isft75tandil@abc.gob.ar</t>
  </si>
  <si>
    <t>Instituto Superior de Formación Técnica (I.S.F.T.) N° 75</t>
  </si>
  <si>
    <t>Tandil</t>
  </si>
  <si>
    <t>Aeronáutica Argentina 2700</t>
  </si>
  <si>
    <t>Keoken Jaime</t>
  </si>
  <si>
    <t>keokenjaime@abc.gob.ar</t>
  </si>
  <si>
    <t>Jorge Pereyra</t>
  </si>
  <si>
    <t>249 154632989</t>
  </si>
  <si>
    <t>jopereyra@abc.gob.ar</t>
  </si>
  <si>
    <t>18 a 22 hs.</t>
  </si>
  <si>
    <t>isft150@abc.gob.ar</t>
  </si>
  <si>
    <t xml:space="preserve">Instituto Superior de Formación Técnica (I.S.F.T.) N° 150 25 de Mayo
</t>
  </si>
  <si>
    <t>Carlos Tejedor</t>
  </si>
  <si>
    <t>Alem 381</t>
  </si>
  <si>
    <t>Clara Maria Meana</t>
  </si>
  <si>
    <t>cmeana@abc.gob.ar</t>
  </si>
  <si>
    <t>Claudia Greevey</t>
  </si>
  <si>
    <t>greeveyc78@gmail.com</t>
  </si>
  <si>
    <t>Lunes a viernes de 18 a 22:30</t>
  </si>
  <si>
    <t>isft173lomasdezamora@abc.gob.ar</t>
  </si>
  <si>
    <t>Instituto Superior de Formacion Docente y Tecnica N° 173</t>
  </si>
  <si>
    <t>Av Hipólito Yrigoyen9428</t>
  </si>
  <si>
    <t>Isleño Carolina Eva</t>
  </si>
  <si>
    <t>cisleno1@abc.gob.ar</t>
  </si>
  <si>
    <t>Lavalle Marcela</t>
  </si>
  <si>
    <t>18:30 a 23:00</t>
  </si>
  <si>
    <t>isfdyt26dolores@abc.gob.ar</t>
  </si>
  <si>
    <t xml:space="preserve">Instituto Superior de Formación Docente (I.S.F.D.) N° 26
</t>
  </si>
  <si>
    <t>Dolores</t>
  </si>
  <si>
    <t>Marquez n° 51</t>
  </si>
  <si>
    <t>Marcelo Laterrade</t>
  </si>
  <si>
    <t>laterrademarcelo@gmail.com</t>
  </si>
  <si>
    <t>Hermida Patricia</t>
  </si>
  <si>
    <t>phermida90@gmail.com</t>
  </si>
  <si>
    <t>lunes 18,20 a 22,30- miercoles 20,30 a 22,30-juueves y viernes 18,20 a 20,20</t>
  </si>
  <si>
    <t>direccion@isaui.edu.ar</t>
  </si>
  <si>
    <t>Instituto Superior Arturo Umberto Illia</t>
  </si>
  <si>
    <t>Villa Carlos Paz</t>
  </si>
  <si>
    <t>Olsacher 99</t>
  </si>
  <si>
    <t>ee0335357@me.cba.gov.ar</t>
  </si>
  <si>
    <t>Maximiliano Ibáñez</t>
  </si>
  <si>
    <t>Maximiliano Ibañez</t>
  </si>
  <si>
    <t>Lunes a viernes 8:30 a 13:30 hs</t>
  </si>
  <si>
    <t>dfts_ifts90_de7@bue.edu.ar</t>
  </si>
  <si>
    <t>Instituto de Formación Técnica Superior (I.F.T.S.) Escuela Superior de Enfermería Cecilia Grierson</t>
  </si>
  <si>
    <t>AMBROSETTI 601</t>
  </si>
  <si>
    <t>11-4981-5506</t>
  </si>
  <si>
    <t>PEREZ SILVIA</t>
  </si>
  <si>
    <t>SILVIA PEREZ</t>
  </si>
  <si>
    <t>11-40736295</t>
  </si>
  <si>
    <t>Escuela de Enfermería N° 90 Cecilia Grierson -Anexo Lugano</t>
  </si>
  <si>
    <t>Pola 4215</t>
  </si>
  <si>
    <t>4601-3127</t>
  </si>
  <si>
    <t>7.30 A 12.30 // 13.30 A 18.30</t>
  </si>
  <si>
    <t>ies9007@gmail.com</t>
  </si>
  <si>
    <t>Instituto de Educación Superior (I.E.S.) N° 9-007 Dr. Salvador Calafat</t>
  </si>
  <si>
    <t>General Alvear</t>
  </si>
  <si>
    <t>Roca 327</t>
  </si>
  <si>
    <t>2625 406292</t>
  </si>
  <si>
    <t>José Mauro Torres</t>
  </si>
  <si>
    <t>maurotorresalvear@gmail.com</t>
  </si>
  <si>
    <t>Viviana Torrez</t>
  </si>
  <si>
    <t>cullanita@hotmail.com</t>
  </si>
  <si>
    <t>Vespertino: 18:50 a 23:30</t>
  </si>
  <si>
    <t>inescergestion1098@gmail.com</t>
  </si>
  <si>
    <t>Villa María</t>
  </si>
  <si>
    <t>Boulevard España 1098</t>
  </si>
  <si>
    <t>Dra. Mónica Pérez Andrada</t>
  </si>
  <si>
    <t>monicaperezandrada@gmail.com</t>
  </si>
  <si>
    <t>Paola Re</t>
  </si>
  <si>
    <t>inescercoordinacion1098@gmail.com</t>
  </si>
  <si>
    <t>15.00 a 20.00</t>
  </si>
  <si>
    <t xml:space="preserve">Instituto de Educación Superior de Formación Docente y Técnica (I.S.F.D.yT.) N° 158 José Manuel Estrada
</t>
  </si>
  <si>
    <t>25 DE MAYO N° 1150</t>
  </si>
  <si>
    <t>isfdyt158crpingles@abc.gob.ar</t>
  </si>
  <si>
    <t>VALERIA AGUIRREZABALA</t>
  </si>
  <si>
    <t>vaguirrezabala@abc.gob.ar</t>
  </si>
  <si>
    <t>Carlos Ceferino Luna</t>
  </si>
  <si>
    <t>caluna7@abc.gob.ar</t>
  </si>
  <si>
    <t>18:00 a 22:30</t>
  </si>
  <si>
    <t>esedireccionsf@gmail.com</t>
  </si>
  <si>
    <t>Escuela Superior de Enfermería Rosa Carmen All</t>
  </si>
  <si>
    <t>Urquiza 3118</t>
  </si>
  <si>
    <t>342 5218838</t>
  </si>
  <si>
    <t>silvanazoloaga@gmail.com</t>
  </si>
  <si>
    <t>Gabriela Oroño</t>
  </si>
  <si>
    <t>coordinacionrosaall@gmail.com</t>
  </si>
  <si>
    <t>Escuela Superior de Enfermería Vera</t>
  </si>
  <si>
    <t>Vera</t>
  </si>
  <si>
    <t>Soldado Gómez 2495</t>
  </si>
  <si>
    <t>escuelaenfermeriavera@santafe.gov.ar</t>
  </si>
  <si>
    <t>carinaandreacorrea85@gmail.com</t>
  </si>
  <si>
    <t>1ro de 13 a 18.20
2do de 13 a 19.40
3ro de 10 a 18</t>
  </si>
  <si>
    <t>isfdyt40trenquelauquen@abc.gob.ar</t>
  </si>
  <si>
    <t>Instituto de Educación Superior de Formación Docente y Técnica (I.S.F.D.yT.) N° 40</t>
  </si>
  <si>
    <t>Trenque Lauquen</t>
  </si>
  <si>
    <t>Quintana 110</t>
  </si>
  <si>
    <t>Carlos Roberto Piñero</t>
  </si>
  <si>
    <t>cpinero@abc.gob.ar</t>
  </si>
  <si>
    <t>Analía Romero</t>
  </si>
  <si>
    <t>analiaromero@abc.gob.ar</t>
  </si>
  <si>
    <t>De 19 hs a 23 hs y Prácticas Profesionalizantes en turno alternado</t>
  </si>
  <si>
    <t>isfdyt236ramallo@abc.gob.ar</t>
  </si>
  <si>
    <t>Instituto Superior de Formación Docente y Técnica Nº 236</t>
  </si>
  <si>
    <t>Villa Ramallo</t>
  </si>
  <si>
    <t>Dr. Bonfiglio 561</t>
  </si>
  <si>
    <t>Nestor Marinangeli</t>
  </si>
  <si>
    <t>nmarinangeli@abc.gob.ar</t>
  </si>
  <si>
    <t>Manuel Cuevas</t>
  </si>
  <si>
    <t>mcuevas8@abc.gob.ar</t>
  </si>
  <si>
    <t>Turno mañana de 8:00 hs. a 12:00 hs. Turno tarde 14:30 hs. a 18:30 hs.</t>
  </si>
  <si>
    <t>alejandracometto40@gmail.com</t>
  </si>
  <si>
    <t>Escuela Normal Superior Dalmacio Vélez Sársfield - Anexo Pozo del Molle</t>
  </si>
  <si>
    <t>Pozo del Molle</t>
  </si>
  <si>
    <t>Belgrano Nº 225</t>
  </si>
  <si>
    <t>pberto75@gmail.com</t>
  </si>
  <si>
    <t>COMETTO, Alejandra</t>
  </si>
  <si>
    <t>isft200@abc.gob.ar</t>
  </si>
  <si>
    <t>Instituto Superior de Formación Técnica (I.S.F.T.) N° 200</t>
  </si>
  <si>
    <t>Villa Gesell</t>
  </si>
  <si>
    <t>Paseo 137 entre av. 6 y Av 7</t>
  </si>
  <si>
    <t>02255-527949</t>
  </si>
  <si>
    <t>dmontero@gesell.com.ar</t>
  </si>
  <si>
    <t>02267-416025</t>
  </si>
  <si>
    <t>amrhynmanuelrobinson@abc.gob.ar</t>
  </si>
  <si>
    <t>Lunes de 18:00 a 22:00</t>
  </si>
  <si>
    <t>r_carrillo_bellville@yahoo.com.ar</t>
  </si>
  <si>
    <t>Instituto Superior Dr. Ramón Carrillo</t>
  </si>
  <si>
    <t>GERONIMO DEL BARCO 640</t>
  </si>
  <si>
    <t>VICTOR GONZALO, BENAVIDES</t>
  </si>
  <si>
    <t>focabenavides@gmail.com</t>
  </si>
  <si>
    <t>Cecilia Aronica</t>
  </si>
  <si>
    <t>ce.aronica@hotmail.com</t>
  </si>
  <si>
    <t>Lunes a viernes de 18:30 a 23:30</t>
  </si>
  <si>
    <t>Instituto de Educación Superior de Formación Docente Profesor Agustín Gómez</t>
  </si>
  <si>
    <t>Paso de los Libres</t>
  </si>
  <si>
    <t>Belgrano 927/933</t>
  </si>
  <si>
    <t>1801415-00@mec.gob.ar</t>
  </si>
  <si>
    <t>Beatriz Tartaglino</t>
  </si>
  <si>
    <t>nonytartaglino@yahoo.com.ar</t>
  </si>
  <si>
    <t>Paula Manfroni</t>
  </si>
  <si>
    <t>paumanfroni@hotmail.com</t>
  </si>
  <si>
    <t>17:50 a 22:50</t>
  </si>
  <si>
    <t>inescapdevilacde@gmail.com</t>
  </si>
  <si>
    <t>Instituto de Educación Superior Arturo Capdevila</t>
  </si>
  <si>
    <t>Sarmiento 1155</t>
  </si>
  <si>
    <t>3549-426774</t>
  </si>
  <si>
    <t>clausob874@hotmail.com</t>
  </si>
  <si>
    <t>Ayelen Villagra Camacho</t>
  </si>
  <si>
    <t>3549-443387</t>
  </si>
  <si>
    <t>ayelenvillagra14@gmail.com</t>
  </si>
  <si>
    <t>Instituto de Educación Superior del Profesorado (I.S.P.) Nº 66</t>
  </si>
  <si>
    <t>Calchaquí</t>
  </si>
  <si>
    <t>Blvd. Belgrano Nº 281</t>
  </si>
  <si>
    <t>paolafabre@hotmail.com</t>
  </si>
  <si>
    <t>Paola Lorena Fabre</t>
  </si>
  <si>
    <t>Camila Bargetto</t>
  </si>
  <si>
    <t>camilabargetto@gmail.com</t>
  </si>
  <si>
    <t>ies.bottegal.pn@entrerios.edu.ar</t>
  </si>
  <si>
    <t>Instituto de Educación Superior P. O Bottegal</t>
  </si>
  <si>
    <t>Hasenkamp</t>
  </si>
  <si>
    <t>Libertad 214</t>
  </si>
  <si>
    <t>Fabián Gomar</t>
  </si>
  <si>
    <t>fabiangomar@gmail.com</t>
  </si>
  <si>
    <t>Adriana Faes</t>
  </si>
  <si>
    <t>adrianafaes@hotmail.com</t>
  </si>
  <si>
    <t>7:30 a 13:00</t>
  </si>
  <si>
    <t>fragaadry0@hotmail.com</t>
  </si>
  <si>
    <t>Instituto Superior Dr. Ramon J. Carrillo anexo Santa Rosa de Rio Primero</t>
  </si>
  <si>
    <t>San Martin 887</t>
  </si>
  <si>
    <t>3574-401702</t>
  </si>
  <si>
    <t>GONZALO BENAVIDEZ</t>
  </si>
  <si>
    <t>3537-442801</t>
  </si>
  <si>
    <t>focobenavides@gmail.com</t>
  </si>
  <si>
    <t>ies.benavento.vc@entrerios.edu.ar</t>
  </si>
  <si>
    <t>Instituto de Educación Superior Gaspar Lucilo Benavento</t>
  </si>
  <si>
    <t>CONGRESO 726</t>
  </si>
  <si>
    <t>Juan Manuel Kraft</t>
  </si>
  <si>
    <t>kraftjuanmanuel@gmail.com</t>
  </si>
  <si>
    <t>Ramírez Norma</t>
  </si>
  <si>
    <t>normaramy@gmail.com</t>
  </si>
  <si>
    <t>18:30 a 23:30 y de 06:00 a 12:30 las prácticas</t>
  </si>
  <si>
    <t>180176500@mec.gob.ar</t>
  </si>
  <si>
    <t>Instituto Superior de Formación Docente de Caa Cati</t>
  </si>
  <si>
    <t>Alberdi 255</t>
  </si>
  <si>
    <t>María Emilce Ercolani</t>
  </si>
  <si>
    <t>emilceercolani@hotmail.com</t>
  </si>
  <si>
    <t>Francisco Esquivel</t>
  </si>
  <si>
    <t>franesquivelcubilla@hotmail.com.ar</t>
  </si>
  <si>
    <t>17:30 a 22:30</t>
  </si>
  <si>
    <t>noe.d0408@gmail.com</t>
  </si>
  <si>
    <t>Escuela Normal Superior N° 4 "Dr. Antonio Sagarna"</t>
  </si>
  <si>
    <t>Nogoya</t>
  </si>
  <si>
    <t>Sarmiento 1056</t>
  </si>
  <si>
    <t>superiorsagarna@gmail.com</t>
  </si>
  <si>
    <t>Riffel, Haydee Edith</t>
  </si>
  <si>
    <t>superior.cge@entrerios.edu.ar</t>
  </si>
  <si>
    <t>Bruera Noelia Alejandra</t>
  </si>
  <si>
    <t>practicas en gabinete de 07 hs a 13hs ( 2 comisiones)
practicas de 1° año de 14 a 18 hs
teorico desde 18,10 a 22,50 hs</t>
  </si>
  <si>
    <t>ies6047cachi@gmail.com</t>
  </si>
  <si>
    <t>Sarmiento s/n</t>
  </si>
  <si>
    <t>Carlos Federico Liendro</t>
  </si>
  <si>
    <t>carfeli7466@gmail.com</t>
  </si>
  <si>
    <t>johana81933@gmail.com</t>
  </si>
  <si>
    <t>martes 21:00 a 23:00, miércoles 19:00 a 21:40, jueves 19:00 a 23:00, viernes 20:20 a 23:00</t>
  </si>
  <si>
    <t>amontangie2@abc.gob.ar</t>
  </si>
  <si>
    <t>Instituto Superior de Formación Técnica (I.S.F.T.) N° 221</t>
  </si>
  <si>
    <t>Montangie, Ana Laura</t>
  </si>
  <si>
    <t>Montangie Ana Laura</t>
  </si>
  <si>
    <t>lunes a viernes de 17 a 22.15 hs</t>
  </si>
  <si>
    <t>Colegio Superior N° 50 General José de San Martín</t>
  </si>
  <si>
    <t>Domingo Ferrari 480</t>
  </si>
  <si>
    <t>nivel_terciario@superior50.com.ar</t>
  </si>
  <si>
    <t>GLORIA SEDDA</t>
  </si>
  <si>
    <t>gloriadaniela26@gmail.com</t>
  </si>
  <si>
    <t>SILVINA GIORDANO</t>
  </si>
  <si>
    <t>silvinac_10@hotmail.com</t>
  </si>
  <si>
    <t>18:30 A 23:10</t>
  </si>
  <si>
    <t>isfdyt138csarmiento@abc.gob.ar</t>
  </si>
  <si>
    <t xml:space="preserve">ISFD yT N° 138 – Escuela Normal Superior “Domingo Fidel Sarmiento”
</t>
  </si>
  <si>
    <t>Avenida Presidente Perón N° 604</t>
  </si>
  <si>
    <t>2474-684527</t>
  </si>
  <si>
    <t>Jorgelina Soledad Ceriani</t>
  </si>
  <si>
    <t>jorceriani@abc.gob.ar</t>
  </si>
  <si>
    <t>Antonela Zarosinski</t>
  </si>
  <si>
    <t>2478-462041</t>
  </si>
  <si>
    <t>antonelazarosinski@abc.gob.ar</t>
  </si>
  <si>
    <t>18:30 a 22:30 hs</t>
  </si>
  <si>
    <t>escueladeenfermeriavt@hotmail.com</t>
  </si>
  <si>
    <t>Escuela Superior de Enfermería Venado Tuerto</t>
  </si>
  <si>
    <t>Venado Tuerto</t>
  </si>
  <si>
    <t>Francia 1315</t>
  </si>
  <si>
    <t>M. Laura Rodriguez</t>
  </si>
  <si>
    <t>lic.laurarod@gmail.com</t>
  </si>
  <si>
    <t>18:40 a 22:30hs de unes a Viernes</t>
  </si>
  <si>
    <t>isfd62dorrego@abc.gob.ar</t>
  </si>
  <si>
    <t>Instituto Superior de Formación Docente (I.S.F.D.) Nº 62 Iris Galisteo</t>
  </si>
  <si>
    <t>Coronel Dorrego</t>
  </si>
  <si>
    <t>Sarmiento 167</t>
  </si>
  <si>
    <t>Avellaneda Patricia</t>
  </si>
  <si>
    <t>pavellaneda@abc.gob.ar</t>
  </si>
  <si>
    <t>Avellaneda PAtricia</t>
  </si>
  <si>
    <t>17:30 a 22:40</t>
  </si>
  <si>
    <t>Instituto Superior de Educación Técnica (I.S.F.T.) N° 201</t>
  </si>
  <si>
    <t>Campana</t>
  </si>
  <si>
    <t>Barleta 2180</t>
  </si>
  <si>
    <t>mabflores2@abc.gob.ar</t>
  </si>
  <si>
    <t>Mabel Gladys Flores</t>
  </si>
  <si>
    <t>José Ramón Barreto</t>
  </si>
  <si>
    <t>jbarreto4@abc.gob.ar</t>
  </si>
  <si>
    <t>lunes y martes de 18 hs. a 22 hs. . Miércoles de 18 a 20 hs.</t>
  </si>
  <si>
    <t>isfd.fn@entrerios.edu.ar</t>
  </si>
  <si>
    <t>Chajarí</t>
  </si>
  <si>
    <t>panozzomarisela@gmail.com</t>
  </si>
  <si>
    <t>Hilda Elizabeth Franco</t>
  </si>
  <si>
    <t>insufosa@neuquen.edu.ar</t>
  </si>
  <si>
    <t>Instituto Superior de Educación en Salud "Lic. Lucrecia Barisich"</t>
  </si>
  <si>
    <t>Neuquen</t>
  </si>
  <si>
    <t>Sarmiento y Don Bosco</t>
  </si>
  <si>
    <t>Wanda Laura Gimena Agrello</t>
  </si>
  <si>
    <t>Cristian D 'Alu</t>
  </si>
  <si>
    <t>Lunes a viernes 18:30 23:30 hs</t>
  </si>
  <si>
    <t>institutojms009@gmail.com</t>
  </si>
  <si>
    <t>Instituto de Educación Superior del Profesorado (I.S.P.) Nº 09 Profesor José María Scalenghe</t>
  </si>
  <si>
    <t>Susana Rodriguez</t>
  </si>
  <si>
    <t>susinrod@yahoo.com.ar</t>
  </si>
  <si>
    <t>Cintia Torres</t>
  </si>
  <si>
    <t>cintiasoledadtorres2018@gmail.com</t>
  </si>
  <si>
    <t>7.30 a 12.10</t>
  </si>
  <si>
    <t>isfdyt146salliquelo@abc.gob.ar</t>
  </si>
  <si>
    <t>Instituto Superior de Formacion Docente y Tecnica N° 146</t>
  </si>
  <si>
    <t>Salliqueló</t>
  </si>
  <si>
    <t>Héroes de Malvinas N° 35</t>
  </si>
  <si>
    <t>Mónica Beatriz Nadal</t>
  </si>
  <si>
    <t>monadal@abc.gob.ar</t>
  </si>
  <si>
    <t>Adriana Santiago</t>
  </si>
  <si>
    <t>asantiago4@abc.gob.ar</t>
  </si>
  <si>
    <t>lunes:18 a 22:10 hs.; martes 18 a 22.10 hs.; miércoles 18 a 22.10 hs.; jueves: 18 a 22.10 hs.; viernes: 13 a 19 hs.</t>
  </si>
  <si>
    <t>superior258.gp.vg@entrerios.edu.ar</t>
  </si>
  <si>
    <t>Villaguay</t>
  </si>
  <si>
    <t>25 de mayo y Rivadavia</t>
  </si>
  <si>
    <t>3455-414360</t>
  </si>
  <si>
    <t>Delia Raquel Noguera</t>
  </si>
  <si>
    <t>3455-442709</t>
  </si>
  <si>
    <t>raquelnoguera@live.com</t>
  </si>
  <si>
    <t>16.00 a 21,50 hs.</t>
  </si>
  <si>
    <t>iessaludpublica@gmail.com</t>
  </si>
  <si>
    <t>Escuela Superior de Salud Pública N° 1453</t>
  </si>
  <si>
    <t>Lisandro de la Torre N° 264</t>
  </si>
  <si>
    <t>Gloria Susana Soto</t>
  </si>
  <si>
    <t>gsoto.enfoco.inet@gmail.com</t>
  </si>
  <si>
    <t>Gustavo Daniel Morales</t>
  </si>
  <si>
    <t>+54 9 362 463-8172</t>
  </si>
  <si>
    <t>gustavomorales1873@hotmail.com</t>
  </si>
  <si>
    <t>08:00 a 18:00 hrs.</t>
  </si>
  <si>
    <t>Instituto de Educación Superior (I. E. S.) N° 1453 Escuela Superior de Salud Pública - Anexo Presidencia R. S. Peña</t>
  </si>
  <si>
    <t>Presidencia Roque Saenz Peña</t>
  </si>
  <si>
    <t>Av. Malvinas Argentinas N° 1350</t>
  </si>
  <si>
    <t>14:00 a 19:30 hrs.</t>
  </si>
  <si>
    <t>Instituto de Educación Superior (I. E. S.) N° 1453 Escuela Superior de Salud Pública - Anexo Pampa del Indio</t>
  </si>
  <si>
    <t>Pampa del Indio</t>
  </si>
  <si>
    <t>Lote 15 Paraje Colonia Mixta</t>
  </si>
  <si>
    <t>14:00 a 21:00 hrs.</t>
  </si>
  <si>
    <t>Instituto de Educación Superior (I. E. S.) N° 1453 Escuela Superior de Salud Pública - Anexo Villa Ángela</t>
  </si>
  <si>
    <t>Villa Angela</t>
  </si>
  <si>
    <t>Formosa y Wenceslaw Espinosa</t>
  </si>
  <si>
    <t>08:00 a 18:00</t>
  </si>
  <si>
    <t>Instituto de Educación Superior (I. E. S.) N° 1453 Escuela Superior de Salud Pública -Anexo Castelli</t>
  </si>
  <si>
    <t>Juan Jose Castelli</t>
  </si>
  <si>
    <t>Avenida Güemes S/N</t>
  </si>
  <si>
    <t>Instituto de Educación Superior (I. E. S.) N° 1453 Escuela Superior de Salud Pública - Anexo Puerto Tirol</t>
  </si>
  <si>
    <t>Puerto Tirol</t>
  </si>
  <si>
    <t>Juan Jose Paso S/N</t>
  </si>
  <si>
    <t>Juan Jose Clavero</t>
  </si>
  <si>
    <t>juanclavero15@gmail.com</t>
  </si>
  <si>
    <t>Instituto de Educación Superior (I. E. S.) N° 1453 Escuela Superior de Salud Pública - Anexo Charata</t>
  </si>
  <si>
    <t>Charata</t>
  </si>
  <si>
    <t>Ruta 86 y Liniers</t>
  </si>
  <si>
    <t>Instituto de Educación Superior (I. E. S.) N° 1453 Escuela Superior de Salud Pública - Anexo Nueva Pompeya</t>
  </si>
  <si>
    <t>Mision Nueva Pompeya</t>
  </si>
  <si>
    <t>Julio A. Roca S/N</t>
  </si>
  <si>
    <t>18:00 a 22:45 hrs.</t>
  </si>
  <si>
    <t>Instituto de Educación Superior (I. E. S.) N° 1453 Escuela Superior de Salud Pública - Anexo Puerto Bermejo</t>
  </si>
  <si>
    <t>Puerto Bermejo</t>
  </si>
  <si>
    <t>9 de octubre e Independencia S/N Manzana 32</t>
  </si>
  <si>
    <t>14:50 a 20:50 hrs.</t>
  </si>
  <si>
    <t>Instituto de Educación Superior (I. E. S.) N° 1453 Escuela Superior de Salud Pública - Anexo Las Garcitas</t>
  </si>
  <si>
    <t>Las Garcitas</t>
  </si>
  <si>
    <t>Avenida Alejandro Costas y Jose Nieto S/N</t>
  </si>
  <si>
    <t>Instituto de Educación Superior (I. E. S.) N° 1453 Escuela Superior de Salud Pública - Anexo General Jose de San Martin</t>
  </si>
  <si>
    <t>Ruta 90 km 76,7 Acceso Norte</t>
  </si>
  <si>
    <t>direccioncastagnino@gmail.com</t>
  </si>
  <si>
    <t>Instituto Superior Clelia Fanny Castagnino</t>
  </si>
  <si>
    <t>Ucacha</t>
  </si>
  <si>
    <t>LA RIOJA166</t>
  </si>
  <si>
    <t>Franco Luis Guepart</t>
  </si>
  <si>
    <t>francoguepart@gmail.com</t>
  </si>
  <si>
    <t>"Instituto de Educación Superior (I.E.S.) N° 9015"</t>
  </si>
  <si>
    <t>La Consulta</t>
  </si>
  <si>
    <t>2622-434713</t>
  </si>
  <si>
    <t>rectoria@iesvu.edu.ar</t>
  </si>
  <si>
    <t>Daniel Antonio GALLARDO</t>
  </si>
  <si>
    <t>Sandra MORENO</t>
  </si>
  <si>
    <t>2622-430741</t>
  </si>
  <si>
    <t>sandra_moreno@iesvu.edu.ar</t>
  </si>
  <si>
    <t>08:00 a 12:30 - 13:30 a 18:00</t>
  </si>
  <si>
    <t>Bandera de Los Andes y Bonfanti</t>
  </si>
  <si>
    <t>2622-628740</t>
  </si>
  <si>
    <t>Barbarita Cristina CARABAJAL</t>
  </si>
  <si>
    <t>261-5521178</t>
  </si>
  <si>
    <t>cristina_carabajal@iesvu.edu.ar</t>
  </si>
  <si>
    <t>19:00 a 23:30</t>
  </si>
  <si>
    <t>Ciudad</t>
  </si>
  <si>
    <t>Calle Mitre 602</t>
  </si>
  <si>
    <t>Patricia BARBARAN - Marta ESCUDERO</t>
  </si>
  <si>
    <t>261-6812260-5696885</t>
  </si>
  <si>
    <t>14:10 a 18:30- 18:40 a 23:00</t>
  </si>
  <si>
    <t>San Rafael</t>
  </si>
  <si>
    <t>Comandante Salas 859 y Alsina</t>
  </si>
  <si>
    <t>Margarita TOLEDO</t>
  </si>
  <si>
    <t>260-4841220</t>
  </si>
  <si>
    <t>isfdyt93sanvicente@abc.gob.ar</t>
  </si>
  <si>
    <t>San Vicente</t>
  </si>
  <si>
    <t>San Martin 101</t>
  </si>
  <si>
    <t>Omar José Spandre</t>
  </si>
  <si>
    <t>2224-550282</t>
  </si>
  <si>
    <t>ospandre@abc.gob.ar</t>
  </si>
  <si>
    <t>Adan Aloe</t>
  </si>
  <si>
    <t>aaloe3@abc.gob.ar</t>
  </si>
  <si>
    <t>de lunes a viernes de 18.30 a 22.40 horas</t>
  </si>
  <si>
    <t>Instituto de Educación Superior (I.E.S.) N° 9-015 Unidad Académica Tunuyán</t>
  </si>
  <si>
    <t>Tunuyán</t>
  </si>
  <si>
    <t>Juan B. Justo 290 Esquina Alen</t>
  </si>
  <si>
    <t>Antonella MUGNECO</t>
  </si>
  <si>
    <t>2622-438267</t>
  </si>
  <si>
    <t>Instituto de Educación Superior (I.E.S.) N° 9-015 Unidad Académica Rivadavia</t>
  </si>
  <si>
    <t>Rivadavia</t>
  </si>
  <si>
    <t>Ameghino s/n (ex estación del ferrocarril)</t>
  </si>
  <si>
    <t>Oscar FARIAS</t>
  </si>
  <si>
    <t>263-4594984</t>
  </si>
  <si>
    <t>oscar_farias@iesvu.edu.ar</t>
  </si>
  <si>
    <t>14:00 a 18:20</t>
  </si>
  <si>
    <t>Instituto de Educación Superior (I.E.S.) N° 9-015 Unidad Académica Luján de Cuyo</t>
  </si>
  <si>
    <t>Besares 294</t>
  </si>
  <si>
    <t>261-6109732</t>
  </si>
  <si>
    <t>stefany_lopezsaucedo@iesvu.edu.ar</t>
  </si>
  <si>
    <t>itecvgb@gmail.com</t>
  </si>
  <si>
    <t>INSTITUTO TECNOLÓGICO FORO DE LOS RÍOS</t>
  </si>
  <si>
    <t>CORRIENTES S/N</t>
  </si>
  <si>
    <t>CRISTINA ADRIANA VASEK</t>
  </si>
  <si>
    <t>vasek.cris@gmail.com</t>
  </si>
  <si>
    <t>DIEGO LOPEZ</t>
  </si>
  <si>
    <t>diegolopez@itecvgb.com.ar</t>
  </si>
  <si>
    <t>de 16 a 22 hs</t>
  </si>
  <si>
    <t>Instituto de Educación Superior (I.E.S.) N° 9-015 Unidad Académica Santa Rosa</t>
  </si>
  <si>
    <t>LOS LOTES, RUTA PCIAL 50-KM 983</t>
  </si>
  <si>
    <t>Carmen ROSAS</t>
  </si>
  <si>
    <t>263-4516683</t>
  </si>
  <si>
    <t>carmen_rosas@iesvu.edu.ar</t>
  </si>
  <si>
    <t>15:30 a 19:50</t>
  </si>
  <si>
    <t>isft214pteperon@abc.gob.ar</t>
  </si>
  <si>
    <t>Guernica</t>
  </si>
  <si>
    <t>L N Alem 1799</t>
  </si>
  <si>
    <t>2224 46-6535</t>
  </si>
  <si>
    <t>Leonardo Broggia</t>
  </si>
  <si>
    <t>Lbroggia@abc.gob.ar</t>
  </si>
  <si>
    <t>Osvaldo Florentin</t>
  </si>
  <si>
    <t>osvflorentin@abc.gob.ar</t>
  </si>
  <si>
    <t>17.30 a 21.40hs de lunes a viernes</t>
  </si>
  <si>
    <t>isft182@abc.gob.ar</t>
  </si>
  <si>
    <t xml:space="preserve">Instituto Superior de Formación Técnica (I.S.F.T.) N° 182
</t>
  </si>
  <si>
    <t>San Miguel</t>
  </si>
  <si>
    <t>Sgto.Lorca y Cabo. Santillan - Barrio de Suboficiales Sargento Cabral</t>
  </si>
  <si>
    <t>María Magdalena Marquez</t>
  </si>
  <si>
    <t>marimarquez9@abc.gob.ar</t>
  </si>
  <si>
    <t>18: 30 a 22:40 hs; prácticas hospitalarias en contraturno, turno mañana y turno tarde</t>
  </si>
  <si>
    <t>enreynoso@abc.gob.ar</t>
  </si>
  <si>
    <t>San Pedro</t>
  </si>
  <si>
    <t>Bottaro 995</t>
  </si>
  <si>
    <t>isft118@abc.gob.ar</t>
  </si>
  <si>
    <t>Enrique Reynoso</t>
  </si>
  <si>
    <t>Daniel Villarruel</t>
  </si>
  <si>
    <t>cvillarruel2@abc.gob.ar</t>
  </si>
  <si>
    <t>isfdyt65sancayetano@abc.gob.ar</t>
  </si>
  <si>
    <t>Instituto de Educación Superior de Formación Docente y Técnica (I.S.F.D.yT.) N° 65</t>
  </si>
  <si>
    <t>SARMIENTO 648</t>
  </si>
  <si>
    <t>MARIANA ADAMINI</t>
  </si>
  <si>
    <t>18.00 A 20:10</t>
  </si>
  <si>
    <t>salfredo@abc.gob.ars</t>
  </si>
  <si>
    <t>San Martín 97</t>
  </si>
  <si>
    <t>instituto91tapalque@abc.gob.ar</t>
  </si>
  <si>
    <t>Plumez Analía Belén</t>
  </si>
  <si>
    <t>anaplumez@abc.gob.ar</t>
  </si>
  <si>
    <t>17.30 A 22 hs</t>
  </si>
  <si>
    <t>isfd6015@gmail.com</t>
  </si>
  <si>
    <t>ISFD 6015</t>
  </si>
  <si>
    <t>Embarcación</t>
  </si>
  <si>
    <t>Hipólito Yrigoyen y San Luis</t>
  </si>
  <si>
    <t>3878 688830</t>
  </si>
  <si>
    <t>Mariela Isabel Paredes</t>
  </si>
  <si>
    <t>mariefono@gmail.com</t>
  </si>
  <si>
    <t>Sara Domínguez</t>
  </si>
  <si>
    <t>dominguezsaraester@gmail.com</t>
  </si>
  <si>
    <t>Tarde</t>
  </si>
  <si>
    <t>dcarluccio@abc.gob.ar</t>
  </si>
  <si>
    <t xml:space="preserve">Instituto Superior de Formacion Docente y Tecnica N° 37
</t>
  </si>
  <si>
    <t>rivadavia 41</t>
  </si>
  <si>
    <t>2924 421420</t>
  </si>
  <si>
    <t>isfdt37puan@abc.gob.ar</t>
  </si>
  <si>
    <t>vanina carluccio</t>
  </si>
  <si>
    <t>2924 407858</t>
  </si>
  <si>
    <t>paula buzzetti</t>
  </si>
  <si>
    <t>buzzettipaula@gmail.com</t>
  </si>
  <si>
    <t>vespertino- 17:45- 22:00</t>
  </si>
  <si>
    <t>calbertino@abc.gob.ar</t>
  </si>
  <si>
    <t>Bragado</t>
  </si>
  <si>
    <t>General Paz 1029</t>
  </si>
  <si>
    <t>Claudia Daniela Albertino</t>
  </si>
  <si>
    <t>aibanez4@abc.gob.ar</t>
  </si>
  <si>
    <t>isfdyt80carloscasares@abc.gob.ar</t>
  </si>
  <si>
    <t>Instituto de Educación Superior de Formación Docente y Técnica (I.S.F.D.yT.) N° 80 Paulo Freire</t>
  </si>
  <si>
    <t>Av. Presidente Perón 28</t>
  </si>
  <si>
    <t>Gabriela Verónica García</t>
  </si>
  <si>
    <t>gabgarcia10@abc.gob.ar</t>
  </si>
  <si>
    <t>Alejandra Roldán</t>
  </si>
  <si>
    <t>aroldan8@abc.gob.ar</t>
  </si>
  <si>
    <t>isft184@abc.gob.ar</t>
  </si>
  <si>
    <t>Pilar</t>
  </si>
  <si>
    <t>Gazal, Patricia Gladys</t>
  </si>
  <si>
    <t>0230 4521931</t>
  </si>
  <si>
    <t>pgazal@abc.gob.ar</t>
  </si>
  <si>
    <t>Clarisa Bartolacci</t>
  </si>
  <si>
    <t>clabartolacci13@abc.gob.ar</t>
  </si>
  <si>
    <t>18 a 22.15 hs</t>
  </si>
  <si>
    <t>enfermeria.villa@itscordoba.edu.ar</t>
  </si>
  <si>
    <t>Instituto Superior Técnico "Córdoba Anexo Villa del Libertador"</t>
  </si>
  <si>
    <t>Cordoba</t>
  </si>
  <si>
    <t>defensa esquina cacheuta</t>
  </si>
  <si>
    <t>MARIA EUGENIA RODRIGUEZ</t>
  </si>
  <si>
    <t>direccion@itscordoba.edu.ar</t>
  </si>
  <si>
    <t>jose alberto ochoa bolatti</t>
  </si>
  <si>
    <t>alberto8ab@gmail.com</t>
  </si>
  <si>
    <t>18:30 a 22:20</t>
  </si>
  <si>
    <t>enfermeria.juarezcelman@itscordoba.edu.ar</t>
  </si>
  <si>
    <t>Instituto Técnico Superior Córdoba Anexo Juárez Celman</t>
  </si>
  <si>
    <t>Los claveles 196</t>
  </si>
  <si>
    <t>351-2988205</t>
  </si>
  <si>
    <t>Rodriguez María Eugenia</t>
  </si>
  <si>
    <t>Jimenez Rodriguez Claudia Alejandra</t>
  </si>
  <si>
    <t>351-6097800</t>
  </si>
  <si>
    <t>isfdyt210laplata@abc.gob.ar</t>
  </si>
  <si>
    <t>Institución Superior de Formación Docente y Técnica N° 210</t>
  </si>
  <si>
    <t>calle 3 N° 382</t>
  </si>
  <si>
    <t>esvillalba1@abc.gob.ar</t>
  </si>
  <si>
    <t>54 9 2216 71-6918</t>
  </si>
  <si>
    <t>isfd.is@entrerios.edu.ar</t>
  </si>
  <si>
    <t>Instituto de Educación Superior de Formación Docente Localidad Villa Paranacito</t>
  </si>
  <si>
    <t>Av. Entre Ríos 222</t>
  </si>
  <si>
    <t>Andrea Fabiana Romero</t>
  </si>
  <si>
    <t>andrefabianar@gmail.com</t>
  </si>
  <si>
    <t>larosamarialuz@gmail.com</t>
  </si>
  <si>
    <t>carblanco1@abc.gob.ar</t>
  </si>
  <si>
    <t>Instituto de Educación Superior de Formación Docente y Técnica (I.S.F.D.yT.) N° 48</t>
  </si>
  <si>
    <t>Coronel Suarez</t>
  </si>
  <si>
    <t>Av. Uriburu 1472 (esq. Alfonsina Storni)</t>
  </si>
  <si>
    <t>2926-431665</t>
  </si>
  <si>
    <t>isfdyt48csuarez@abc.gob.ar</t>
  </si>
  <si>
    <t>Lic. Daniel Adolfo Goñi Pisano</t>
  </si>
  <si>
    <t>2926 497801</t>
  </si>
  <si>
    <t>dangoni@abc.gob.ar</t>
  </si>
  <si>
    <t>CPN Carlos Mauricio Blanco</t>
  </si>
  <si>
    <t>2926 419558</t>
  </si>
  <si>
    <t>Lunes a viernes 14.00/20.00 hs. Prácticas hospitalarias lunes a viernes 8.00/12.00 hs.</t>
  </si>
  <si>
    <t>Instituto de Educación Superior (I.E.S.) N° 74</t>
  </si>
  <si>
    <t>luhisromano_32@hotmail.com</t>
  </si>
  <si>
    <t>bioletitri@gmail.com</t>
  </si>
  <si>
    <t>Instituto de Educación Superior de Formación Docente y Técnica (I.S.F.D.yT.) Nº 165 Domingo A. Teruggi</t>
  </si>
  <si>
    <t>Barreira 50</t>
  </si>
  <si>
    <t>is060165@gmail.com</t>
  </si>
  <si>
    <t>Maria Silvina Barberia</t>
  </si>
  <si>
    <t>mbarberia1@gmail.com</t>
  </si>
  <si>
    <t>Instituto de Educación Superior (I.E.S.) N</t>
  </si>
  <si>
    <t>SAN MARTIN N 145</t>
  </si>
  <si>
    <t>JULIOGUILLERMO664@GMAIL.COM</t>
  </si>
  <si>
    <t>LETICIA TRIBIÑO</t>
  </si>
  <si>
    <t>BIOLETITRI@GMAIL.COM</t>
  </si>
  <si>
    <t>ROMANO LUIS ALBERTO</t>
  </si>
  <si>
    <t>LUISROMANO_32@HOTMAIL.COM</t>
  </si>
  <si>
    <t>LUNES A VIERNES 13:00 A 17:30 SABADO DE 08:00 A 14:00</t>
  </si>
  <si>
    <t>enfcent74famailla@gmail.com</t>
  </si>
  <si>
    <t>Instituto de Educación Superior (I.E.S.) N° 74 Anexo Faimallá</t>
  </si>
  <si>
    <t>pasaje padilla 600</t>
  </si>
  <si>
    <t>Leticia Triviño</t>
  </si>
  <si>
    <t>14 a 18 hs</t>
  </si>
  <si>
    <t>patomendoza48@gmail.com</t>
  </si>
  <si>
    <t>Centro Educativo de Nivel Terciario (C.E.N.T.) N° 74 Anexo Tafi Viejo</t>
  </si>
  <si>
    <t>Presidente peron 553</t>
  </si>
  <si>
    <t>Triviño Leticia</t>
  </si>
  <si>
    <t>381 643-4012</t>
  </si>
  <si>
    <t>cent74atsa@gmail.com</t>
  </si>
  <si>
    <t>19 a 22</t>
  </si>
  <si>
    <t>INSTITUTO DE EDUCACIÓN SUPERIOR Nº11</t>
  </si>
  <si>
    <t>Alvear Nº1151</t>
  </si>
  <si>
    <t>roxyadaro@gmail.com</t>
  </si>
  <si>
    <t>Silvia Roxana Adaro</t>
  </si>
  <si>
    <t>turno Mañana: 8.30 a 13.30 - Turno Tarde: 13.20 a 18.20</t>
  </si>
  <si>
    <t>nancyibanes@gmail.com</t>
  </si>
  <si>
    <t>Instituto de Educación Superior (I.E.S.) N° 74 Anexo La Ramada</t>
  </si>
  <si>
    <t>De 14 a 19 hs.</t>
  </si>
  <si>
    <t>cent.n74.anexo.trancas@gmail.com</t>
  </si>
  <si>
    <t>Instituto de Educación Superior (I.E.S.) N° 74 Anexo Trancas</t>
  </si>
  <si>
    <t>Trancas</t>
  </si>
  <si>
    <t>Av. Hipólito Irigoyen 161</t>
  </si>
  <si>
    <t>María Leticia triviño</t>
  </si>
  <si>
    <t>letytri_1@hotmail.com</t>
  </si>
  <si>
    <t>artenortetigre16@gmail.com</t>
  </si>
  <si>
    <t>Centro Educativo de Nivel Terciario (C.E.N.T.) N° 74 Anexo Leales</t>
  </si>
  <si>
    <t>Juan Luis Nougues 200</t>
  </si>
  <si>
    <t>marcela-sanchez13@hotmail.com</t>
  </si>
  <si>
    <t>luhosromano_32@hotmail.com</t>
  </si>
  <si>
    <t>superior.normalrdcm.fo@entrerios.edu.ar</t>
  </si>
  <si>
    <t>Instituto de Educación Superior de Formación Docente Ramón de la Cruz Moreno</t>
  </si>
  <si>
    <t>San José de Feliciano</t>
  </si>
  <si>
    <t>Rivadavia 165</t>
  </si>
  <si>
    <t>Maria Lorena Garcia</t>
  </si>
  <si>
    <t>mlgarcia1708@hotmail.com</t>
  </si>
  <si>
    <t>Mauro Ricardo Avalos</t>
  </si>
  <si>
    <t>mauro_avalos@outlook.com</t>
  </si>
  <si>
    <t>17:45 a 22:45 hs</t>
  </si>
  <si>
    <t>ies.dm@entrerios.edu.ar</t>
  </si>
  <si>
    <t>Instituto de Educación Superior Diamante</t>
  </si>
  <si>
    <t>Diamante</t>
  </si>
  <si>
    <t>Entre Ríos</t>
  </si>
  <si>
    <t>Carolina Gorostegui</t>
  </si>
  <si>
    <t>carolinaegorostegui33@gmail.com</t>
  </si>
  <si>
    <t>Andrea Basaldúa</t>
  </si>
  <si>
    <t>ctsenfisd@gmail.com</t>
  </si>
  <si>
    <t>de 13.50hs a 20.40hs</t>
  </si>
  <si>
    <t>Instituto de Educación Superior (I.E.S.) N° 74 Anexo Concepción</t>
  </si>
  <si>
    <t>Presidente Roca 371</t>
  </si>
  <si>
    <t>cent74concepcion@gmail.com</t>
  </si>
  <si>
    <t>Luis Alberto Romano</t>
  </si>
  <si>
    <t>isfd60viamonte@abc.gob.ar</t>
  </si>
  <si>
    <t>Instituto Superior de Formación Docente (I.S.F.D.) N° 60</t>
  </si>
  <si>
    <t>Los Toldos</t>
  </si>
  <si>
    <t>Urquizo 553</t>
  </si>
  <si>
    <t>Claudia González</t>
  </si>
  <si>
    <t>clagonzalez22@abc.gob.ar</t>
  </si>
  <si>
    <t>César Horacio París</t>
  </si>
  <si>
    <t>cparis2@abc.gob.ar</t>
  </si>
  <si>
    <t>de Lunes a Viernes, de 18:00 a 22:10 hs</t>
  </si>
  <si>
    <t>moniquinteros@hotmail.com</t>
  </si>
  <si>
    <t>Centro Educativo de Nivel Terciario (C.E.N.T.) N° 74 Anexo Amaicha del Valle</t>
  </si>
  <si>
    <t>Sobre ruta 307</t>
  </si>
  <si>
    <t>luisromano_32@hotmail.com</t>
  </si>
  <si>
    <t>Turno tarde.desde las 13 hasta las 21</t>
  </si>
  <si>
    <t>Instituto Superior de Formacion Docente y Tecnica N° 162</t>
  </si>
  <si>
    <t>Tornquist</t>
  </si>
  <si>
    <t>E. Tornquist 319</t>
  </si>
  <si>
    <t>291-4941150</t>
  </si>
  <si>
    <t>isfdyt162tornquist@abc.gob.ar</t>
  </si>
  <si>
    <t>Guillermo Di Notolo</t>
  </si>
  <si>
    <t>291-5048990</t>
  </si>
  <si>
    <t>guillermocirodn@yahoo.com.ar</t>
  </si>
  <si>
    <t>Andrea Long</t>
  </si>
  <si>
    <t>leucopeplus@gmail.com</t>
  </si>
  <si>
    <t>18.00 hs a 22.00 hs</t>
  </si>
  <si>
    <t>"Escuela Normal Superior Victorino Viale"</t>
  </si>
  <si>
    <t>Viale</t>
  </si>
  <si>
    <t>Corrientes 279</t>
  </si>
  <si>
    <t>superior.normal43.pn@entrerios.edu.ar</t>
  </si>
  <si>
    <t>Heredia Ariel Victor Hugo</t>
  </si>
  <si>
    <t>ari72heredia@gmail.com</t>
  </si>
  <si>
    <t>Cardoso Alexia</t>
  </si>
  <si>
    <t>alexiacardoso115@gmail.com</t>
  </si>
  <si>
    <t>Lunes de 15:55 a 22:50
Martes 16:35 a 22:50
Miercoles 16:35 a 22:50
Jueves 15:55 a 22:50
Viernes 17:15 a 22:50</t>
  </si>
  <si>
    <t>Instituto de Educación Superior (I.E.S.) N° 74 Anexo Alderetes</t>
  </si>
  <si>
    <t>Camino del Carmen S/N</t>
  </si>
  <si>
    <t>urquiarfael@gmail.com</t>
  </si>
  <si>
    <t>cristian.ale.atsa2025@gmail.com</t>
  </si>
  <si>
    <t>Centro Educativo de Nivel Terciario (C.E.N.T.) N° 74 Anexo Lules</t>
  </si>
  <si>
    <t>San Isidro de Lules</t>
  </si>
  <si>
    <t>12 de Octubre y Mariano Moreno
Barrio Nuestra Señora del Pilar</t>
  </si>
  <si>
    <t>bioletitri@gmail.comcom</t>
  </si>
  <si>
    <t>19:00 a 22:00</t>
  </si>
  <si>
    <t>claudiaperalta298@gmail.com</t>
  </si>
  <si>
    <t>Instituto de Educación Superior (I.E.S.) N° 74 Anexo Graneros</t>
  </si>
  <si>
    <t>25 de Mayo S/N</t>
  </si>
  <si>
    <t>18:00 a 22:50 hs</t>
  </si>
  <si>
    <t>Instituto Técnico Superior Córdoba</t>
  </si>
  <si>
    <t>Av. Cardeñosa 2915 Bº La France</t>
  </si>
  <si>
    <t>enfermeria.cardenosa@itscordoba.edu.ar</t>
  </si>
  <si>
    <t>María Eugenia Rodriguez</t>
  </si>
  <si>
    <t>351-5400730</t>
  </si>
  <si>
    <t>Agustín Zamar</t>
  </si>
  <si>
    <t>351-6571416</t>
  </si>
  <si>
    <t>zamaragustin@gmail.com</t>
  </si>
  <si>
    <t>18:30 a 22:10 Hrs</t>
  </si>
  <si>
    <t>luramirez9@abc.gob.ar</t>
  </si>
  <si>
    <t xml:space="preserve">Instituto Superior de Formación Técnica (I.S.F.T.) N° 132 Colegio Nacional General San Martín 
</t>
  </si>
  <si>
    <t>Chacabuco</t>
  </si>
  <si>
    <t>Villegas 460</t>
  </si>
  <si>
    <t>Luis Lujan Ramírez</t>
  </si>
  <si>
    <t>Luis Lujan Ramirez</t>
  </si>
  <si>
    <t>hortiz@abc.gob.ar</t>
  </si>
  <si>
    <t xml:space="preserve">Instituto Superior de Formación Docente (I.S.F.D.) N° 53
</t>
  </si>
  <si>
    <t>Soldi 268</t>
  </si>
  <si>
    <t>instituto53@gmail.com</t>
  </si>
  <si>
    <t>Gladys Fernandez</t>
  </si>
  <si>
    <t>gladysnfernandez@gmail.com</t>
  </si>
  <si>
    <t>Hèctor Donato Ortiz</t>
  </si>
  <si>
    <t>Turno Mañana: 08 a 12 hs.
Turno Tarde : 13 a 17 hs.</t>
  </si>
  <si>
    <t>isfd.leites.lp@entrerios.edu.ar</t>
  </si>
  <si>
    <t>Instituto de Educación Superior de Formación Docente N° 715 Profesor Rogelio Leites</t>
  </si>
  <si>
    <t>Echague y Berutti</t>
  </si>
  <si>
    <t>3437-423908</t>
  </si>
  <si>
    <t>Prof. Flores Flavia</t>
  </si>
  <si>
    <t>3437-403113</t>
  </si>
  <si>
    <t>Lic. Barolin Alejandro</t>
  </si>
  <si>
    <t>3437-608606</t>
  </si>
  <si>
    <t>alejandrobarolin@gmail.com</t>
  </si>
  <si>
    <t>Lunes 19 a 23 hs - Miercoles 19 a 23 hs.</t>
  </si>
  <si>
    <t>Centro Educativo de Nivel Terciario (C.E.N.T.) N° 74 Anexo Los Ralos</t>
  </si>
  <si>
    <t>Los Ralos</t>
  </si>
  <si>
    <t>San Martin S/N</t>
  </si>
  <si>
    <t>atsalosralos@gmail.com</t>
  </si>
  <si>
    <t>Maria Leticia Triviño</t>
  </si>
  <si>
    <t>Eduardo Luis Argañaraz</t>
  </si>
  <si>
    <t>eduardoarganaraz44@gmail.com</t>
  </si>
  <si>
    <t>18:00 a 22:00 hs de Lunes a Viernes</t>
  </si>
  <si>
    <t>camila_latife@hotmail.com</t>
  </si>
  <si>
    <t>Centro Educativo de Nivel Terciario (C.E.N.T.) N° 74 Anexo Simoca</t>
  </si>
  <si>
    <t>Simoca</t>
  </si>
  <si>
    <t>18.30 a 22.30</t>
  </si>
  <si>
    <t>isfdyt59madariaga@abc.gob.ar</t>
  </si>
  <si>
    <t>Instituto de Educación Superior de Formación Docente y Técnica (I.S.F.D.yT.) N° 59 Dr. Carlos Madariaga</t>
  </si>
  <si>
    <t>Madariaga</t>
  </si>
  <si>
    <t>Martínez Ituño 213</t>
  </si>
  <si>
    <t>María Constanza Herrero</t>
  </si>
  <si>
    <t>02267 15638901</t>
  </si>
  <si>
    <t>maherrero8@abc.gob.ar</t>
  </si>
  <si>
    <t>Viviana García</t>
  </si>
  <si>
    <t>02267 15633362</t>
  </si>
  <si>
    <t>viviagarcia3@abc.gob.ar</t>
  </si>
  <si>
    <t>turno tarde 13 a 17.30 hs - vespertimo 17.30 a 22 hs</t>
  </si>
  <si>
    <t>isfd.gh@entrerios.edu.ar</t>
  </si>
  <si>
    <t>Instituto de Educación Superior de Formación Docente María Inés Elizalde</t>
  </si>
  <si>
    <t>Gualeguaychu</t>
  </si>
  <si>
    <t>Gervasio Mendez 676</t>
  </si>
  <si>
    <t>3446 431324</t>
  </si>
  <si>
    <t>angelpastrana77@gmail.com</t>
  </si>
  <si>
    <t>ies10ledesma@gmail.com</t>
  </si>
  <si>
    <t>Instituto de Educación Superior N 10</t>
  </si>
  <si>
    <t>Sergio Rafael Mansilla</t>
  </si>
  <si>
    <t>sergiorafimansilla@gmail.com</t>
  </si>
  <si>
    <t>Martin Adolfo Tejerina</t>
  </si>
  <si>
    <t>martejts@gmail.com</t>
  </si>
  <si>
    <t>helenbalderrama@outlook.com</t>
  </si>
  <si>
    <t>Instituto de Educación Superior (I.E.S.) N° 74 Anexo Delfín Gallo</t>
  </si>
  <si>
    <t>Delfín Gallo</t>
  </si>
  <si>
    <t>Avenida nuestra seńora del Carmen s/n</t>
  </si>
  <si>
    <t>María Leticia Trivińo</t>
  </si>
  <si>
    <t>Luhisromano_32@hotmail.com</t>
  </si>
  <si>
    <t>18:30 a 22:30</t>
  </si>
  <si>
    <t>gsuarez8@abc.gob.ar</t>
  </si>
  <si>
    <t>Instituto de Educación Superior de Formación Docente y Técnica (I.S.F.D.yT.) N° 90</t>
  </si>
  <si>
    <t>Veronica</t>
  </si>
  <si>
    <t>31 entre 28 y 30</t>
  </si>
  <si>
    <t>isfdyt90puntaindio@abc.gob.ar</t>
  </si>
  <si>
    <t>Karina Paola Landa</t>
  </si>
  <si>
    <t>klanda@abc.gob.ar</t>
  </si>
  <si>
    <t>Guillermo Horacio Suárez</t>
  </si>
  <si>
    <t>15 hs a 21 hs</t>
  </si>
  <si>
    <t>Instituto de Educación Superior (I.E.S.) Andalgalá</t>
  </si>
  <si>
    <t>iesbelen@catamarca.edu.ar</t>
  </si>
  <si>
    <t>Instituto de Educación Superior (I.E.S.) Nº 32 Belén</t>
  </si>
  <si>
    <t>Belén</t>
  </si>
  <si>
    <t>General Roca 278</t>
  </si>
  <si>
    <t>3835 461813</t>
  </si>
  <si>
    <t>Nieva Nélida Elisabeth</t>
  </si>
  <si>
    <t>nnelidaelisabeth@gmail.com</t>
  </si>
  <si>
    <t>Emilce del Valle Diaz Rivarola</t>
  </si>
  <si>
    <t>emilcerivarola055@gmail.com</t>
  </si>
  <si>
    <t>crnieva@catamarca.edu.ar</t>
  </si>
  <si>
    <t>Instituto Superior Técnico Industrial "Néstor C. Kirchner"</t>
  </si>
  <si>
    <t>San Fernando del Valle de Catamarca</t>
  </si>
  <si>
    <t>Lope de Vega esquina Ramon Ahumada</t>
  </si>
  <si>
    <t>isti@catamarca.edu.ar</t>
  </si>
  <si>
    <t>Cesar Ruben Nieva</t>
  </si>
  <si>
    <t>crnieva@catamrca.edu.ar</t>
  </si>
  <si>
    <t>14:00 hs a 22:30 hs</t>
  </si>
  <si>
    <t>Curuzú Cuatiá</t>
  </si>
  <si>
    <t>General Ramirez 785</t>
  </si>
  <si>
    <t>3774 419067</t>
  </si>
  <si>
    <t>tere19_20@hotmail.com</t>
  </si>
  <si>
    <t>María Teresita Quiroz</t>
  </si>
  <si>
    <t>Vanina Pucheta</t>
  </si>
  <si>
    <t>vaninapucheta07@hotmail.com</t>
  </si>
  <si>
    <t>turno siesta de 14 a 18 y turno tarde de 18 a 23</t>
  </si>
  <si>
    <t>alumnadopba@gmail.com</t>
  </si>
  <si>
    <t>Instituto Superior de Formación Técnica (I.S.F.T.) N° 6012 Escuela Superior de Formación en Salud</t>
  </si>
  <si>
    <t>Calle 4 Nº 962</t>
  </si>
  <si>
    <t>Mario Rovere</t>
  </si>
  <si>
    <t>2214292700 int. 82607</t>
  </si>
  <si>
    <t>escueladegobiernoff@gmail.com</t>
  </si>
  <si>
    <t>Marcela Rojas</t>
  </si>
  <si>
    <t>2214292700 int 82638</t>
  </si>
  <si>
    <t>programaenfermeria.nc@gmail.com</t>
  </si>
  <si>
    <t>Instituto Superior de Formación Técnica (I.S.F.T.) N° 6012 Escuela Superior de Formación en Salud - Anexo Hospital de Agudos José Penna</t>
  </si>
  <si>
    <t>Bahia Blanca</t>
  </si>
  <si>
    <t>Lainez N° 2401 Villa Amaducci</t>
  </si>
  <si>
    <t>2214292700 Int. 82607</t>
  </si>
  <si>
    <t>2214292700 nt. 82638</t>
  </si>
  <si>
    <t>enfermeria.nc@gmail.com</t>
  </si>
  <si>
    <t>Instituto Superior de Formación Técnica (I.S.F.T.) N° 6012 Escuela Superior de Formación en Salud - Anexo Higa Dr. Diego Paroissien</t>
  </si>
  <si>
    <t>221 4292700 Int. 82607</t>
  </si>
  <si>
    <t>221 4292700 int.82607</t>
  </si>
  <si>
    <t>Instituto Superior de Formacion Tecnica (I.S.F.T) N° 6012 Escuela Superior de Formacion en Salud-Anexo Hospital Sor Maria Ludovica</t>
  </si>
  <si>
    <t>Calle 14 N° 1631</t>
  </si>
  <si>
    <t>221 4292700 Int. 82638</t>
  </si>
  <si>
    <t>8 a 14 hs. / 14 a 20 hs.</t>
  </si>
  <si>
    <t>Instituto Superior de Formación Técnica (I.S.F.T.) N° 6012 Escuela Superior de Formación en Salud Anexo Hospital Pedro Fiorito</t>
  </si>
  <si>
    <t>Av. Belgrano N° 851</t>
  </si>
  <si>
    <t>221 4292700 Int. 82651</t>
  </si>
  <si>
    <t>Instituto Superior de Formación Técnica (I.S.F.T.) N° 6012 Escuela Superior de Formación en Salud- Anexo Hospital Zonal General de Agudos Mi pueblo Florencio Varela</t>
  </si>
  <si>
    <t>Mainini 240 (Ex Progreso)</t>
  </si>
  <si>
    <t>Instituto de Educación Superior de Formación Docente Julio Cortázar</t>
  </si>
  <si>
    <t>martinguelardi@gmail.com</t>
  </si>
  <si>
    <t>Viviana Alejandra Varela</t>
  </si>
  <si>
    <t>varelaviviana.a@gmail.com</t>
  </si>
  <si>
    <t>18:40 a 23:40</t>
  </si>
  <si>
    <t>Instituto Superior de Formación Técnica (I.S.F.T.) N° 6012 Escuela Superior de Formación en Salud - Anexo Hospital General de Agudos Simplemente Evita</t>
  </si>
  <si>
    <t>Dr. Equiza N° 6310</t>
  </si>
  <si>
    <t>Instituto Superior de Formación Técnica (I.S.F.T.) N° 6012 Escuela Superior de Formación en Salud - Anexo Hospital de Agudos Evita</t>
  </si>
  <si>
    <t>Lanus</t>
  </si>
  <si>
    <t>Río de Janeiro N° 1910</t>
  </si>
  <si>
    <t>2214292700 Int. 82638</t>
  </si>
  <si>
    <t>Instituto Superior de Formación Técnica (I.S.F.T.) N° 6012 Escuela Superior de Formación en Salud Anexo Hospital Don Victorio Tetamanti</t>
  </si>
  <si>
    <t>Castelli N° 2450</t>
  </si>
  <si>
    <t>2214292700 INt. 82638</t>
  </si>
  <si>
    <t>Instituto Superior de Formación Técnica (I.S.F.T.) N° 6012 Escuela Superior de Formación en Salud -Anexo Hospital Mariano y Luciano de la Vega</t>
  </si>
  <si>
    <t>Av. Libertador N° 710</t>
  </si>
  <si>
    <t>Instituto Superior de Formación Técnica (I.S.F.T.) N° 6012 Escuela Superior de Formación en Salud - Anexo Hospital Interzonal Gral de Agudos Eva Perón</t>
  </si>
  <si>
    <t>San Martin</t>
  </si>
  <si>
    <t>Ricardo Balbín N° 3200</t>
  </si>
  <si>
    <t>Instituto Superior de Formación Técnica ( I.S.F.T.) Escuela de formación en salud- anexo Hospital HIGA Profesor Dr. Luis Guemes</t>
  </si>
  <si>
    <t>Haedo</t>
  </si>
  <si>
    <t>Av. Rivadavia N° 15000</t>
  </si>
  <si>
    <t>2214292700 Int 82607</t>
  </si>
  <si>
    <t>2214292700 Int. 82637</t>
  </si>
  <si>
    <t>8 a 14 hs. / 14 a 20 hs</t>
  </si>
  <si>
    <t>Instituto Superior de Formación Técnica (I.S.F.T.) N° 6012 Escuela Superior de Formación en Salud - Anexo Hospital ZGA Dr. Carlos Bocalandro</t>
  </si>
  <si>
    <t>Tres de Febrero</t>
  </si>
  <si>
    <t>Ruta 8 Km. 20,5 N° 9100</t>
  </si>
  <si>
    <t>isfdyt87ayacucho@abc.gob.ar</t>
  </si>
  <si>
    <t xml:space="preserve">Instituto Superior de Formación Docente (I.S.F.D.) N° 87 Domingo Faustino Sarmiento
</t>
  </si>
  <si>
    <t>BELGRANO 720</t>
  </si>
  <si>
    <t>RODOLFO DANIEL ALLAMANNO</t>
  </si>
  <si>
    <t>pipimix@hotmail.com</t>
  </si>
  <si>
    <t>CARLOS MARIANO OILLATAGUERRE</t>
  </si>
  <si>
    <t>contadormariano@yahoo.com.ar</t>
  </si>
  <si>
    <t>Lunes a viernes de 18 a 22</t>
  </si>
  <si>
    <t>isfdyt89lacosta@abc.gob.ar</t>
  </si>
  <si>
    <t xml:space="preserve">Instituto de Educación Superior de Formación Docente y Técnica (I.S.F.D.yT.) N° 89 Dr. René Favaloro
</t>
  </si>
  <si>
    <t>Mar de Ajó</t>
  </si>
  <si>
    <t>Entre Ríos 555</t>
  </si>
  <si>
    <t>Analia Degange</t>
  </si>
  <si>
    <t>02257 15618213</t>
  </si>
  <si>
    <t>adegange@abc.gob.ar</t>
  </si>
  <si>
    <t>Jimena Balladares</t>
  </si>
  <si>
    <t>02257 15407211</t>
  </si>
  <si>
    <t>jimenaballadares09@gmail.com</t>
  </si>
  <si>
    <t>Turno tarde de 13.30 a 17.45 - Turno vespertino 18.00 a 22.15</t>
  </si>
  <si>
    <t>edu.whiteman@gmail.com</t>
  </si>
  <si>
    <t>Centro Educativo de Nivel Terciario (C.E.N.T.) N° 35 Prof. Julián J. Godoy</t>
  </si>
  <si>
    <t>Río Grande</t>
  </si>
  <si>
    <t>Mosconi 661</t>
  </si>
  <si>
    <t>secretaria.cent35@gmail.com</t>
  </si>
  <si>
    <t>Eduardo Walter Whiteman</t>
  </si>
  <si>
    <t>Daniel Esteban Rosso</t>
  </si>
  <si>
    <t>estebanrosso@hotmail.com</t>
  </si>
  <si>
    <t>isfdyt124colon@abc.gob.ar</t>
  </si>
  <si>
    <t xml:space="preserve">Instituto de Educación Superior de Formación Docente y Técnica (I.S.F.D.yT.) N° 124 Juan B. Marenzi
</t>
  </si>
  <si>
    <t>Av. de las Palmeras N° 601</t>
  </si>
  <si>
    <t>Federico Pissinis</t>
  </si>
  <si>
    <t>fpissinis@abc.gob.ar</t>
  </si>
  <si>
    <t>Hoses, Diego</t>
  </si>
  <si>
    <t>hosesdiego@gmail.com</t>
  </si>
  <si>
    <t>Instituto de Educación Superior de Formación Docente Mercedes</t>
  </si>
  <si>
    <t>Mercedes</t>
  </si>
  <si>
    <t>José María Gómez y Yatay</t>
  </si>
  <si>
    <t>3773-473256</t>
  </si>
  <si>
    <t>aletriben@yahoo.com.ar</t>
  </si>
  <si>
    <t>ALEJANDRA TRINIDAD BENITEZ</t>
  </si>
  <si>
    <t>MARÍA EVA STUTZ</t>
  </si>
  <si>
    <t>3773-404502</t>
  </si>
  <si>
    <t>mariaeva.stutz@gmail.com</t>
  </si>
  <si>
    <t>Turno mañana de 7.30 a 12.30</t>
  </si>
  <si>
    <t>isfdyt126salto@abc.gob.ar</t>
  </si>
  <si>
    <t xml:space="preserve">Instituto de Educación Superior de Formación Docente y Técnica (I.S.F.D.yT.) N° 126 General José de San Martín
</t>
  </si>
  <si>
    <t>Salto</t>
  </si>
  <si>
    <t>Bernardino Esperanza 413</t>
  </si>
  <si>
    <t>02474-423102</t>
  </si>
  <si>
    <t>Isadora Siu Huayra Casas Dordoni</t>
  </si>
  <si>
    <t>02474-15522215</t>
  </si>
  <si>
    <t>icasasdordoni@abc.gob.ar</t>
  </si>
  <si>
    <t>lunes a viernes 18,15 a 22,30 hs.</t>
  </si>
  <si>
    <t>isft192baradero@abc.gob.ar</t>
  </si>
  <si>
    <t>Instituto Superior de Formación Técnica (I.S.F.T.) N° 192</t>
  </si>
  <si>
    <t>SANTA MARIA DE ORO 971</t>
  </si>
  <si>
    <t>AREBALO NESTOR</t>
  </si>
  <si>
    <t>3329 612462</t>
  </si>
  <si>
    <t>narebalo@abc.gob.ar</t>
  </si>
  <si>
    <t>18:30 a 22:30hs</t>
  </si>
  <si>
    <t>isfdyt44lasheras@abc.gob.ar</t>
  </si>
  <si>
    <t> Instituto de Educación Superior de Formación Docente y Técnica (I.S.F.D.yT.) N° 44</t>
  </si>
  <si>
    <t>JUEZ DUMONT ENTRE AV. VILLAMAYOR E HIPOLITO PORDOMINGO</t>
  </si>
  <si>
    <t>SANDRA MARTINEZ</t>
  </si>
  <si>
    <t>sanmartinez13@abc.gob.ar</t>
  </si>
  <si>
    <t>RUEDA ALEJANDRO</t>
  </si>
  <si>
    <t>clrueda@abc.gob.ar</t>
  </si>
  <si>
    <t>DE 7.20 A 13.30 HS</t>
  </si>
  <si>
    <t>Centro Educativo de Nivel Terciario (C.E.N.T.) N° 11 "Ciudad de Ushuaia"</t>
  </si>
  <si>
    <t>De la Loma 961, Barrio Casas del Sur</t>
  </si>
  <si>
    <t>2901 612831</t>
  </si>
  <si>
    <t>pellegrino_63@yahoo.com.ar</t>
  </si>
  <si>
    <t>Dante Mario Pellegrino</t>
  </si>
  <si>
    <t>Elsa Beatriz Gonzalez</t>
  </si>
  <si>
    <t>2901 54-3444</t>
  </si>
  <si>
    <t>elsabeatrizg@hotmail.com</t>
  </si>
  <si>
    <t>martsalva@gmail.com</t>
  </si>
  <si>
    <t>Esquina</t>
  </si>
  <si>
    <t>Mitre 956</t>
  </si>
  <si>
    <t>+54 9 3585485967</t>
  </si>
  <si>
    <t>Prof. Verónica Lía Sanchez</t>
  </si>
  <si>
    <t>+54 9 3777527228</t>
  </si>
  <si>
    <t>1801413-00@mec.gob.ar</t>
  </si>
  <si>
    <t>Lic. Martin Mario Salvagno Luchessolli</t>
  </si>
  <si>
    <t>De 18:20 hs. a 22:20 hs.</t>
  </si>
  <si>
    <t>carmencitalmiron@gmail.com</t>
  </si>
  <si>
    <t>Castor de León s/n</t>
  </si>
  <si>
    <t>3794-221455</t>
  </si>
  <si>
    <t>marianamacielbozikovic@hotmail.com</t>
  </si>
  <si>
    <t>18:20 a 22:30hs</t>
  </si>
  <si>
    <t>isfdyt215lezama@abc.gob.ar</t>
  </si>
  <si>
    <t>Instituto Superior de Formacion Docente y Tecnica N° 215</t>
  </si>
  <si>
    <t>Lezama</t>
  </si>
  <si>
    <t>Presidente Perón 458</t>
  </si>
  <si>
    <t>Etelvina Zárate</t>
  </si>
  <si>
    <t>anzarate1@abc.gob.ar</t>
  </si>
  <si>
    <t>Favio Garay</t>
  </si>
  <si>
    <t>faviodanielgaray@gmail.com</t>
  </si>
  <si>
    <t>17:30 a 21:30 Hs</t>
  </si>
  <si>
    <t>lagonoeliaelizabeth@gmail.com</t>
  </si>
  <si>
    <t> Instituto de Educación Superior de Formación Docente Santa Lucía</t>
  </si>
  <si>
    <t>Avenida General Paz y Plácido Martinez</t>
  </si>
  <si>
    <t>1801766-00@mec.gob.ar</t>
  </si>
  <si>
    <t>Diego Heine</t>
  </si>
  <si>
    <t>+54 9 3777 41-3809</t>
  </si>
  <si>
    <t>diego_heine@hotmaim.com</t>
  </si>
  <si>
    <t>Noelia Elizabeth Lago</t>
  </si>
  <si>
    <t>18:50 a 23.10</t>
  </si>
  <si>
    <t>INSTITUTO SUPERIOR EN FORMACION, CAPACITACION Y SUPERACION PROFESIONAL "LIC. MYRIAM BEATRIZ GLOSS"</t>
  </si>
  <si>
    <t>PASAJE TRES SARGENTOS ESQUINA SUECIA - B° LOS NARANJOS</t>
  </si>
  <si>
    <t>388- 4222936 - INT.111</t>
  </si>
  <si>
    <t>CLAUDIA VIVIANA DEL ROSARIO LOPEZ</t>
  </si>
  <si>
    <t>vivijuy21@gmail.com</t>
  </si>
  <si>
    <t>8:00 a 12:00 y 16:00 a 21:00</t>
  </si>
  <si>
    <t xml:space="preserve">Instituto de Educación Superior de Formación Docente y Técnica (I.S.F.D.yT.) N° 63 Malvinas Argentinas
</t>
  </si>
  <si>
    <t>Coronel Vidal</t>
  </si>
  <si>
    <t>Ingeniero Beltrami 185</t>
  </si>
  <si>
    <t>2265-432854</t>
  </si>
  <si>
    <t>isfd63marchiquita@abc.gob.ar</t>
  </si>
  <si>
    <t>Leonardo Sebastián Sanabria</t>
  </si>
  <si>
    <t>2265-419157</t>
  </si>
  <si>
    <t>lsanabria9@abc.gob.ar</t>
  </si>
  <si>
    <t>Jose Luis Baier</t>
  </si>
  <si>
    <t>223-5956908</t>
  </si>
  <si>
    <t>jbaier@abc.gob.ar</t>
  </si>
  <si>
    <t>Instituto de Educación Superior (I.E.S.) Sebastián Alejandro Corpacci EXTENSION AULICA MIRAFLORES</t>
  </si>
  <si>
    <t>Ruta provincial n°5 -s/N</t>
  </si>
  <si>
    <t>iescapayan@catamarca.edu.ar</t>
  </si>
  <si>
    <t>Paola Vanesa Rios</t>
  </si>
  <si>
    <t>riosofia0816@gmail.com</t>
  </si>
  <si>
    <t>Bulacios Franco</t>
  </si>
  <si>
    <t>frbulacios@catamarca.edu.ar</t>
  </si>
  <si>
    <t>16:00a 22:00</t>
  </si>
  <si>
    <t>Instituto de Educación Superior (I.E.S.) Sebastián Alejandro Corpacci</t>
  </si>
  <si>
    <t>mitre s/n chumbicha</t>
  </si>
  <si>
    <t>Paola Vanesa RIos</t>
  </si>
  <si>
    <t>riosofia08016@gmail.com</t>
  </si>
  <si>
    <t>Franco Bulacios</t>
  </si>
  <si>
    <t>19:00 a 23:59</t>
  </si>
  <si>
    <t>Instituto de Educación Superior (I.E.S.) Sebastián Alejandro Corpacci ANEXO</t>
  </si>
  <si>
    <t>Huillapima</t>
  </si>
  <si>
    <t>calle publica s/n - Huillapima</t>
  </si>
  <si>
    <t>16:00 a 22:00</t>
  </si>
  <si>
    <t>Instituto de Educación Superior de Formación Docente María Luisa Román de Frechou</t>
  </si>
  <si>
    <t>Saladas</t>
  </si>
  <si>
    <t>Alvear 1491</t>
  </si>
  <si>
    <t>Ivonneacosta1@gmail.com</t>
  </si>
  <si>
    <t>Ivonne Acosta</t>
  </si>
  <si>
    <t>Raul Alberto Galarza</t>
  </si>
  <si>
    <t>raulalbertogalarza16@gmail.com</t>
  </si>
  <si>
    <t>18 a 22:50 hs</t>
  </si>
  <si>
    <t>Instituto de Educación Superior de Formación Docente y Técnica N° 152 Domingo Faustino Sarmiento</t>
  </si>
  <si>
    <t>Las Flores</t>
  </si>
  <si>
    <t>Las Heras 577</t>
  </si>
  <si>
    <t>doldiaz@abc.gob.ar</t>
  </si>
  <si>
    <t>Dolly Diaz</t>
  </si>
  <si>
    <t>isfd152lasflores@abc.gob.ar</t>
  </si>
  <si>
    <t>vesperino- 18 a 22.10 hs</t>
  </si>
  <si>
    <t>Escuela Secundaria y Superior N° 4 Dr. Julio Ossola</t>
  </si>
  <si>
    <t>Rosario del Tala</t>
  </si>
  <si>
    <t>Urquiza 144</t>
  </si>
  <si>
    <t>ess.ossola.tl@entrerios.edu.ar</t>
  </si>
  <si>
    <t>Carina Trapp</t>
  </si>
  <si>
    <t>3445-453726</t>
  </si>
  <si>
    <t>carinamtrap@gmail.com</t>
  </si>
  <si>
    <t>Maria José Echave</t>
  </si>
  <si>
    <t>3445 53-9003</t>
  </si>
  <si>
    <t>coordinaciontecnicaturaossola@gmail.com</t>
  </si>
  <si>
    <t>18.30 a 23.30</t>
  </si>
  <si>
    <t>Andalgalá</t>
  </si>
  <si>
    <t>Av. 2 de Abril prolongación Norte</t>
  </si>
  <si>
    <t>iesandalgala@catamarca.edu.ar</t>
  </si>
  <si>
    <t>Sandra Hebe Haddad</t>
  </si>
  <si>
    <t>shhaddad@catamarca.edu.ar</t>
  </si>
  <si>
    <t>Elsa Beatríz Robles</t>
  </si>
  <si>
    <t>eroblespaz@hotmail.com</t>
  </si>
  <si>
    <t>14:00 a 18:50</t>
  </si>
  <si>
    <t>Av. Alem Nro. 1402</t>
  </si>
  <si>
    <t>Marisela Panozzo</t>
  </si>
  <si>
    <t>lisita_79@yahoo.com.ar</t>
  </si>
  <si>
    <t>17:45 a 22:50</t>
  </si>
  <si>
    <t>IES Gobernador José Cubas</t>
  </si>
  <si>
    <t>Calle Luis de Medina S/N</t>
  </si>
  <si>
    <t>iescubas@catamarca.edu.ar</t>
  </si>
  <si>
    <t>Olga A. Burella</t>
  </si>
  <si>
    <t>383 4613723</t>
  </si>
  <si>
    <t>olgaburella@gmail.com</t>
  </si>
  <si>
    <t>Miranda Facundo Felipe del Carmen</t>
  </si>
  <si>
    <t>383 4527103</t>
  </si>
  <si>
    <t>facu.miranda10@gmail.com</t>
  </si>
  <si>
    <t>19 hs. a 23 hs. de lunes a viernes.-</t>
  </si>
  <si>
    <t>Instituto de Educación Superior (I.E.S.) De Servicio Social Remedios Escalada de San Martín</t>
  </si>
  <si>
    <t>Irigoyen 2145</t>
  </si>
  <si>
    <t>isss.ctes@mec.gob.ar</t>
  </si>
  <si>
    <t>Castillo Cesar Daniel José</t>
  </si>
  <si>
    <t>kastillocesardani@gmail.com</t>
  </si>
  <si>
    <t>Saucedo Marta</t>
  </si>
  <si>
    <t>+54 9 379 467-7043</t>
  </si>
  <si>
    <t>martasauce2@hotmail.com</t>
  </si>
  <si>
    <t>Turno Mañana 7:20 a 13:05Turno Tarde 14:00 a 19:15</t>
  </si>
  <si>
    <t>gestion@issag.edu.ar</t>
  </si>
  <si>
    <t>Instituto Sup. de Ciencias de la Salud y Gestión</t>
  </si>
  <si>
    <t>rodhe 55</t>
  </si>
  <si>
    <t>Diego Ruben Flores</t>
  </si>
  <si>
    <t>flores diego</t>
  </si>
  <si>
    <t>14hs a 22hs</t>
  </si>
  <si>
    <t>Superior de Ciencias de la Salud y Gestión Anexo Villa Regina</t>
  </si>
  <si>
    <t>moreno 940</t>
  </si>
  <si>
    <t>institutovillaregina@gmail.com</t>
  </si>
  <si>
    <t>diego ruben flores</t>
  </si>
  <si>
    <t>Superior de Ciencias de la Salud y Gestión Anexo Cinco Saltos</t>
  </si>
  <si>
    <t>rivadavia 125</t>
  </si>
  <si>
    <t>institutoissagcincosaltos@gmail.com</t>
  </si>
  <si>
    <t>DIEGO FLORES</t>
  </si>
  <si>
    <t>DIEGO RUBEN FLORES</t>
  </si>
  <si>
    <t>14 A 18</t>
  </si>
  <si>
    <t>Superior de Ciencias de la Salud y Gestión Anexo San Antonio Oeste</t>
  </si>
  <si>
    <t>BELGRANO 645</t>
  </si>
  <si>
    <t>18 A 22 Y SABADOS DE 9 A 16</t>
  </si>
  <si>
    <t>Instituto Superior Cruz Roja Argentina Filial Córdoba</t>
  </si>
  <si>
    <t>Juan de Garay 2096</t>
  </si>
  <si>
    <t>snassif@institutocruzrojacordoba.net.ar</t>
  </si>
  <si>
    <t>Sofía Nassif</t>
  </si>
  <si>
    <t>Gisella Aguirre</t>
  </si>
  <si>
    <t>gaguirre@institutocruzrojacordoba.net.ar</t>
  </si>
  <si>
    <t>15.00 - 20.00</t>
  </si>
  <si>
    <t>Superior de Ciencias de la Salud y Gestión Anexo Bariloche</t>
  </si>
  <si>
    <t>pasaje gutierrez 843</t>
  </si>
  <si>
    <t>institutoissagbariloche@gmail.com</t>
  </si>
  <si>
    <t>Instituto de Educación Superior de Formación Docente Juan García de Cossio</t>
  </si>
  <si>
    <t>San Martín 1145</t>
  </si>
  <si>
    <t>3777 543416</t>
  </si>
  <si>
    <t>1801466-00@mec.gob.ar</t>
  </si>
  <si>
    <t>Insaurralde Lilian</t>
  </si>
  <si>
    <t>lilianins@gmail.com</t>
  </si>
  <si>
    <t>Carlos Martin Arce</t>
  </si>
  <si>
    <t>cmarce83@yahoo.com.ar</t>
  </si>
  <si>
    <t>Lunes a viernes de 18.20 a 22.30</t>
  </si>
  <si>
    <t>Escuela Superior de Enfermería Villa Dolores</t>
  </si>
  <si>
    <t>Villa Dolores</t>
  </si>
  <si>
    <t>San Martin 50</t>
  </si>
  <si>
    <t>enfermeriavd91@gmail.com</t>
  </si>
  <si>
    <t>Celia Cristina Moreno</t>
  </si>
  <si>
    <t>celiacristinamoreno2034@gmail.com</t>
  </si>
  <si>
    <t>18:40 a 22:50</t>
  </si>
  <si>
    <t>IES Pomán</t>
  </si>
  <si>
    <t>Saujil Poman</t>
  </si>
  <si>
    <t>Señor del Milagro 642</t>
  </si>
  <si>
    <t>alejandroavellaneda1989@gmail.com</t>
  </si>
  <si>
    <t>Alejandro Avellaneda</t>
  </si>
  <si>
    <t>Nieva Marcos</t>
  </si>
  <si>
    <t>marcos.nieva10@gmail.com</t>
  </si>
  <si>
    <t>07hs a 13:00hs y de 14:00hs a 23:30hs</t>
  </si>
  <si>
    <t>Instituto Superior San Expedito</t>
  </si>
  <si>
    <t>San Salvador De Jujuy
Dr Manuel Belgrano</t>
  </si>
  <si>
    <t>inst.superiorsanexpedito@gmail.com</t>
  </si>
  <si>
    <t>LUCIANA COCA MOLINA</t>
  </si>
  <si>
    <t>3885 00-6672</t>
  </si>
  <si>
    <t>lucocamolina@gmail.com</t>
  </si>
  <si>
    <t>ABIGAIL BETANZOS</t>
  </si>
  <si>
    <t>abigail.betanzos@institutosanexpedito.edu.ar</t>
  </si>
  <si>
    <t>LUNES Y MIERCOLES 8 A 12.20 HS</t>
  </si>
  <si>
    <t>Instituto de Formación Técnica Superior (I.F.T.S.) N° A1493 "Instituto Superior Facultar"</t>
  </si>
  <si>
    <t>Viamonte 2518</t>
  </si>
  <si>
    <t>rector@facultar.org.ar</t>
  </si>
  <si>
    <t>Leandro Guerschberg</t>
  </si>
  <si>
    <t>Yanina v. Ferreyra</t>
  </si>
  <si>
    <t>direcciondeestudios@facultar.org.ar</t>
  </si>
  <si>
    <t>8 a 14:20 y 16:30 a 22:20</t>
  </si>
  <si>
    <t>Instituto de Educación Superior (I.E.S.) N° 9-015 Unidad Académica Capital</t>
  </si>
  <si>
    <t>Instituto Superior "Prof. Gabriela Mistral"</t>
  </si>
  <si>
    <t>Villa Maria</t>
  </si>
  <si>
    <t>Bv. Alvear 68</t>
  </si>
  <si>
    <t>0353-4533708</t>
  </si>
  <si>
    <t>secsuperior@idelr.edu.ar</t>
  </si>
  <si>
    <t>Andrea Bruschini</t>
  </si>
  <si>
    <t>0353-154148613</t>
  </si>
  <si>
    <t>diresuperior@idelr.edu.ar</t>
  </si>
  <si>
    <t>Gabriela Fornero</t>
  </si>
  <si>
    <t>3534 01-8196</t>
  </si>
  <si>
    <t>gabyfornero@hotmail.com</t>
  </si>
  <si>
    <t>Prácticas 7 a 13 h
Aula 14.30 a 20.10 h</t>
  </si>
  <si>
    <t>INSTITUTO SUPERIOR DEL PROFESORADO PROVINCIAL N° 6</t>
  </si>
  <si>
    <t>LAVALLE 856</t>
  </si>
  <si>
    <t>isppn6sgo@gmail.com</t>
  </si>
  <si>
    <t>ANDREA ROLENDIA DIAZ</t>
  </si>
  <si>
    <t>andreavictoriadiaz17@gmail.com</t>
  </si>
  <si>
    <t>SONIA VIVIANA LEIVA</t>
  </si>
  <si>
    <t>385-154858941</t>
  </si>
  <si>
    <t>fjlmm8_4_2@hotmail.com</t>
  </si>
  <si>
    <t>PRACTICA HOSPTALARIA 13:20 A 17:20 CLASES EN LA INSTITUCION 17:30 A 22:30</t>
  </si>
  <si>
    <t>Instituto Privado Nº A-1243 Instituto Superior de Ciencias de la Salud</t>
  </si>
  <si>
    <t>Yerbal 1885</t>
  </si>
  <si>
    <t>4633-7564</t>
  </si>
  <si>
    <t>rectorado@cienciasdelasalud.edu.ar</t>
  </si>
  <si>
    <t>Nicolas Nahuel Caroli</t>
  </si>
  <si>
    <t>Enrique Luciano</t>
  </si>
  <si>
    <t>coordinacionenfermeria11@gmail.com</t>
  </si>
  <si>
    <t>Miercoles de 9:30 a 10:50 y de 11:50 a 15:10 ; jueves de 18 a 20</t>
  </si>
  <si>
    <t>Instituto de Educación Superior (I.E.S.) Recreo</t>
  </si>
  <si>
    <t>Recreo</t>
  </si>
  <si>
    <t>Raul Sabagh 31</t>
  </si>
  <si>
    <t>iesrecreo@catamarca.edu.ar</t>
  </si>
  <si>
    <t>Walter O Soria</t>
  </si>
  <si>
    <t>Dana Yanela Diaz</t>
  </si>
  <si>
    <t>danayanela@live.com.ar</t>
  </si>
  <si>
    <t>18 hs a 23:45 clases - practicas despertinas y vespertinas</t>
  </si>
  <si>
    <t>CUE</t>
  </si>
  <si>
    <t>Nombre de la Institución</t>
  </si>
  <si>
    <t>PROVINCIA</t>
  </si>
  <si>
    <t>DEPARTAMENTO</t>
  </si>
  <si>
    <t>LOCALIDAD</t>
  </si>
  <si>
    <t>CP</t>
  </si>
  <si>
    <t>Ambito de Gestión</t>
  </si>
  <si>
    <t>Tipo de Institución</t>
  </si>
  <si>
    <t>DIRECCION</t>
  </si>
  <si>
    <t>TELEFONO</t>
  </si>
  <si>
    <t>MAIL</t>
  </si>
  <si>
    <t>Autoridad Institucional</t>
  </si>
  <si>
    <t>Cargo</t>
  </si>
  <si>
    <t>TELÉFONO1</t>
  </si>
  <si>
    <t>MAIL1</t>
  </si>
  <si>
    <t>Autoridad de Carrera</t>
  </si>
  <si>
    <t>TELÉFONO2</t>
  </si>
  <si>
    <t>MAIL2</t>
  </si>
  <si>
    <t>Año de ingreso</t>
  </si>
  <si>
    <t>Instituto Privado N° A-914 Metropolitana de Altos Estudios</t>
  </si>
  <si>
    <t>CABA</t>
  </si>
  <si>
    <t>Av. Corrientes 3934</t>
  </si>
  <si>
    <t>0114861-1899</t>
  </si>
  <si>
    <t>mariel.mansilla@emae.edu.ar</t>
  </si>
  <si>
    <t>Mariel Alejandra Mansilla</t>
  </si>
  <si>
    <t>0114063-6850</t>
  </si>
  <si>
    <t>Débora Garis</t>
  </si>
  <si>
    <t>0116902-5416</t>
  </si>
  <si>
    <t>dgaris@emae.edu.ar</t>
  </si>
  <si>
    <t>8 a 13hs/13 a 18hs/17 a 22hs</t>
  </si>
  <si>
    <t>Puerto Iguazú</t>
  </si>
  <si>
    <t>de Lunes a Viernes de 16:30 a 21:30 hs</t>
  </si>
  <si>
    <t>Rosario, Santa Fe</t>
  </si>
  <si>
    <t>Casilda</t>
  </si>
  <si>
    <t>03464-582828</t>
  </si>
  <si>
    <t>Marcela Alejandra Zallocco</t>
  </si>
  <si>
    <t>03464-442214</t>
  </si>
  <si>
    <t>María Teresita Ispani</t>
  </si>
  <si>
    <t>ADROGUÉ- ALMIRANTE BROWN</t>
  </si>
  <si>
    <t>TURNO MAÑANA : 7.30 A 12.30 TURNO TARDE: 13.00 A 18.00</t>
  </si>
  <si>
    <t>7 a 13 hs</t>
  </si>
  <si>
    <t>03496-424668 3496-548451</t>
  </si>
  <si>
    <t>Florida - Vicente lópez</t>
  </si>
  <si>
    <t>Ciudad de Buenos Aires</t>
  </si>
  <si>
    <t>011-4308-2257</t>
  </si>
  <si>
    <t>Instituto de Educación Superior N° 80 Instituto Superior Cruz Roja Argentina Filial Concordia</t>
  </si>
  <si>
    <t>cruzroja80.gp.cd.@entrerios.edu.ar</t>
  </si>
  <si>
    <t>Rodriguez Raquel Maria</t>
  </si>
  <si>
    <t>07 a 13:00 hs.
13:00 a 18 hs.</t>
  </si>
  <si>
    <t>Ciudad Autónoma de Buenos Aires</t>
  </si>
  <si>
    <t>11-4982-1115 / 1215; 11 2697-5566</t>
  </si>
  <si>
    <t>Yamila Lerman</t>
  </si>
  <si>
    <t>Turno mañana: Lunes a viernes de 7:30 a 12:20hs; Turno Intermedio: Lunes a viernes de 13 a 18:30hs y Turno tarde: Lunes a viernes de 15 a 20hs</t>
  </si>
  <si>
    <t>Capital Federal</t>
  </si>
  <si>
    <t>Balvanera</t>
  </si>
  <si>
    <t>(11) 4241-2536</t>
  </si>
  <si>
    <t>03573 15444927</t>
  </si>
  <si>
    <t>Horario Turno Tarde de 15.00 a 21.00 hs - único turno.</t>
  </si>
  <si>
    <t>Isabel Osorio</t>
  </si>
  <si>
    <t>Caba</t>
  </si>
  <si>
    <t>Claudio Salatino</t>
  </si>
  <si>
    <t>SAN CRISTOBAL</t>
  </si>
  <si>
    <t>CIUDAD AUTONOMA DE BUENOS AIRES</t>
  </si>
  <si>
    <t>Gabriela Quiroga Nigro</t>
  </si>
  <si>
    <t>8 a 14 16 a 22</t>
  </si>
  <si>
    <t>Secretaria/o Academica/o</t>
  </si>
  <si>
    <t>Instituto Superior de Formación y Capacitación Dr Ramon Carrillo</t>
  </si>
  <si>
    <t>Leandro N. Alem, Misiones</t>
  </si>
  <si>
    <t>+54 9 3754 50-7373</t>
  </si>
  <si>
    <t>Instituto de Educación Superior MADRE MARIA LUISA CLARAC</t>
  </si>
  <si>
    <t>(011) 46261992</t>
  </si>
  <si>
    <t>Miércoles de 15 a 19 y Jueves de 8 a 12</t>
  </si>
  <si>
    <t>SAN NICOLAS DE LOS ARROYOS</t>
  </si>
  <si>
    <t>0336-4439222</t>
  </si>
  <si>
    <t>03562-455170</t>
  </si>
  <si>
    <t>HURLINGHAM</t>
  </si>
  <si>
    <t>San Rafael (Mendoza)</t>
  </si>
  <si>
    <t>Instituto de Educación Superior Particular Incorporada (I.S.P.I.) N° 4026 "Santisima Virgen Niña"</t>
  </si>
  <si>
    <t>san francisco, cordoba</t>
  </si>
  <si>
    <t>Reynoso Alberto Miguel</t>
  </si>
  <si>
    <t>Rio cuarto</t>
  </si>
  <si>
    <t>SAN FRANCISCO</t>
  </si>
  <si>
    <t>DEAN FUNES</t>
  </si>
  <si>
    <t>JESUS MARIA</t>
  </si>
  <si>
    <t>Instituto Superior N° 8034 Cruz Roja Argentina Filial Salta</t>
  </si>
  <si>
    <t>Salta Capital</t>
  </si>
  <si>
    <t>Gonzalo Jonatan Rodriguez</t>
  </si>
  <si>
    <t>Claudia Silvana Gutierrez</t>
  </si>
  <si>
    <t>T. M: 08:00 A 13:45 HS. / T. T: 14:00 A 21:45 HS.</t>
  </si>
  <si>
    <t>03541-458120</t>
  </si>
  <si>
    <t>NEUQUÉN</t>
  </si>
  <si>
    <t>Pedro Díaz Colodrero 3050</t>
  </si>
  <si>
    <t>Mariana Pallotta</t>
  </si>
  <si>
    <t>Débora Sosa</t>
  </si>
  <si>
    <t>17: 00 a 22:30 horas</t>
  </si>
  <si>
    <t>PARANA</t>
  </si>
  <si>
    <t>Instituto Privado Nº A-1428 Superior Auxiliares de la Medicina</t>
  </si>
  <si>
    <t>Instituto Superior de Formación Técnica (I.S.F.T.) Instituto Superior de Estudios Técnicos</t>
  </si>
  <si>
    <t>caba</t>
  </si>
  <si>
    <t>011 48637739/7227</t>
  </si>
  <si>
    <t>+54 911 59618205 (rector) / (secretaria)+54911 52625754</t>
  </si>
  <si>
    <t>Turno Mañana 7:00 a 12:40 Turno Tarde 12:30 a 18:00h</t>
  </si>
  <si>
    <t>Instituto Superior en Formación, Capacitación y Superación Profesional "Lic. Myriam B. Gloss" Sede San Pedro</t>
  </si>
  <si>
    <t>San Pedro de Jujuy</t>
  </si>
  <si>
    <t>Lic. Claudia Viviana del Rosario López</t>
  </si>
  <si>
    <t>Lic Claudia Viviana del Rosario López</t>
  </si>
  <si>
    <t>Turno mañana 07:10 a 12:50 - Turno tarde de 15:00 a 20:40 hrs</t>
  </si>
  <si>
    <t>san fernando</t>
  </si>
  <si>
    <t>MAÑ 8 A 14 HS TARDE 14 A 21 HS</t>
  </si>
  <si>
    <t>INSTITUTO SUPERIOR EN CIENCIAS DE LA SALUD</t>
  </si>
  <si>
    <t>San Martin )30</t>
  </si>
  <si>
    <t>inscsa@hotmail.com</t>
  </si>
  <si>
    <t>Lic. Oscar N. Tolaba</t>
  </si>
  <si>
    <t>ontolaba@gmail.com</t>
  </si>
  <si>
    <t>Natalia Alejandra Jurado</t>
  </si>
  <si>
    <t>gisel0609@gmail.com</t>
  </si>
  <si>
    <t>lunes a viernes 18,00 a 22.40</t>
  </si>
  <si>
    <t>011 15 57534280</t>
  </si>
  <si>
    <t>Primer Año - Turno Mañana- 8:30- 12:30 Segundo año- Turno Mañana 7:30-11:30 /Tercer año- Turno Mañana 7:30-13</t>
  </si>
  <si>
    <t>Reyes María Rosa</t>
  </si>
  <si>
    <t>Pablo Enzo Chinellato</t>
  </si>
  <si>
    <t>Lavalle</t>
  </si>
  <si>
    <t>Tupungato</t>
  </si>
  <si>
    <t>Malargüe</t>
  </si>
  <si>
    <t>Instituto Superior en Formación Capacitación y Superación Profesional "Lic Myriam B Gloss"</t>
  </si>
  <si>
    <t>López Viviana Claudia</t>
  </si>
  <si>
    <t>Aguirre Salvador Antonio</t>
  </si>
  <si>
    <t>Turno Mañana 07:00 a 12:00 
Turno tarde 15:00 a 20:00</t>
  </si>
  <si>
    <t>SAN SALVADOR DE JUJUY</t>
  </si>
  <si>
    <t>General Roca Rio Negro</t>
  </si>
  <si>
    <t>villa regina</t>
  </si>
  <si>
    <t>5 saltos</t>
  </si>
  <si>
    <t>SAN ANTONIO OESTE</t>
  </si>
  <si>
    <t>MARCOS JUAREZ</t>
  </si>
  <si>
    <t>MENDOZA 1196</t>
  </si>
  <si>
    <t>FABIAN RODOLFO CASTELLO</t>
  </si>
  <si>
    <t>15 hs a 20.20 hs</t>
  </si>
  <si>
    <t>3472-22119</t>
  </si>
  <si>
    <t>0351-1564308/4297276</t>
  </si>
  <si>
    <t>3471-625539</t>
  </si>
  <si>
    <t>bariloche</t>
  </si>
  <si>
    <t>San Salvador De Jujuy</t>
  </si>
  <si>
    <t>Ciudad De Buenos Aires</t>
  </si>
  <si>
    <t>Instituto de Educación Superior (I.E.S.) Dr. Antenor Álvarez -Cruz Roja Argentina</t>
  </si>
  <si>
    <t>Ciudad Capital-Santiago del Estero</t>
  </si>
  <si>
    <t>Absalon Rojas Esquina Jujuy N° 299</t>
  </si>
  <si>
    <t>antenoralvarez2018@hotmail.com</t>
  </si>
  <si>
    <t>Hortensia Mercedes Santillan</t>
  </si>
  <si>
    <t>mechisan07@hotmail.com</t>
  </si>
  <si>
    <t>Maria Lourdes Gacioppo</t>
  </si>
  <si>
    <t>articulacionsgo@gmail.com</t>
  </si>
  <si>
    <t>Nocturna de 18,00 a 22,30 -Vespertina de13,00 a 17,30 (Practicas)</t>
  </si>
  <si>
    <t>POSADAS</t>
  </si>
  <si>
    <t>ALDO MARIA RUIZ</t>
  </si>
  <si>
    <t>Maria Laura Esquivel</t>
  </si>
  <si>
    <t>Manuel Alejandro Peralta</t>
  </si>
  <si>
    <t>0341 4720470</t>
  </si>
  <si>
    <t>Rambaldo Javier</t>
  </si>
  <si>
    <t>03492 453120</t>
  </si>
  <si>
    <t>Alejandra Gajdosik</t>
  </si>
  <si>
    <t>O3492 15207989</t>
  </si>
  <si>
    <t>02494- 15519928</t>
  </si>
  <si>
    <t>Instituto Superior de Formación Técnica (I.S.F.T.) N° 194</t>
  </si>
  <si>
    <t>12 a 18 hs</t>
  </si>
  <si>
    <t>turno vespertino</t>
  </si>
  <si>
    <t>San Jorge</t>
  </si>
  <si>
    <t>Instituto de Educación Superior de Formación Docente Dr. Luis Alberto Esteban Arienti</t>
  </si>
  <si>
    <t>Instituto de Educación Superior de Formación Docente y Técnica (I.S.F.D.yT.) Nº 57</t>
  </si>
  <si>
    <t>GUAMINI</t>
  </si>
  <si>
    <t>Instituto de Educación Superior de Formación Docente y Técnica (I.S.F.D.yT.) Nº 218</t>
  </si>
  <si>
    <t>ROQUE PÉREZ</t>
  </si>
  <si>
    <t>0237-4665724</t>
  </si>
  <si>
    <t>No poseemos</t>
  </si>
  <si>
    <t>Instituto de Educación Superior (I.E.S.) N° 9026 Instituto de Educación Superior</t>
  </si>
  <si>
    <t>LA CIENEGUITA-LAS HERAS</t>
  </si>
  <si>
    <t>0114243-4148</t>
  </si>
  <si>
    <t>03541 431501</t>
  </si>
  <si>
    <t>7.30 a 12.30 hs // de 13 a 18 // 17.30 a 22.30 hs</t>
  </si>
  <si>
    <t>Lugano-CABA</t>
  </si>
  <si>
    <t>IESCER Instituto Superior "Del Centro de la República Dr. Ángel Diego Márquez"</t>
  </si>
  <si>
    <t>0353 461-9141</t>
  </si>
  <si>
    <t>CORONEL PRINGLES</t>
  </si>
  <si>
    <t>0342 4574820</t>
  </si>
  <si>
    <t>Silvana Zoloaga</t>
  </si>
  <si>
    <t>7 a 16 hs</t>
  </si>
  <si>
    <t>03483 40115 int. 242</t>
  </si>
  <si>
    <t>Carina Andrea Correa</t>
  </si>
  <si>
    <t>3483 408288</t>
  </si>
  <si>
    <t>Damian Montero</t>
  </si>
  <si>
    <t>Robinson Amrhyn</t>
  </si>
  <si>
    <t>BELL VILLE</t>
  </si>
  <si>
    <t>BERTOLLO, PAOLA</t>
  </si>
  <si>
    <t>De 18:45 hs. a 23:50 hs</t>
  </si>
  <si>
    <t>Cruz del Eje</t>
  </si>
  <si>
    <t>Claudia Rosanna Sobrero</t>
  </si>
  <si>
    <t>13.20 a 18.40hs</t>
  </si>
  <si>
    <t>18 a 22.50</t>
  </si>
  <si>
    <t>Villa Santa Rosa -Dpto Rio Primero</t>
  </si>
  <si>
    <t>15:00- 21:00</t>
  </si>
  <si>
    <t>VICTORIA</t>
  </si>
  <si>
    <t>NTRA SRA DEL ROSARIO DE CAA CATI</t>
  </si>
  <si>
    <t>Instituto de Educación Superior (I.E.S.) Nº 6047</t>
  </si>
  <si>
    <t>CACHI</t>
  </si>
  <si>
    <t>Johana Antonina Rodríguez</t>
  </si>
  <si>
    <t>RUFINO</t>
  </si>
  <si>
    <t>CAPITAN SARMIENTO (2752), Partido: CAPITAN SARMIENTO, Provincia: BUENOS AIRES</t>
  </si>
  <si>
    <t>Tostado</t>
  </si>
  <si>
    <t>Julio A. Roca y Tucumán</t>
  </si>
  <si>
    <t>Instituto Técnico Superior Villaguay D-258</t>
  </si>
  <si>
    <t>General San Martin</t>
  </si>
  <si>
    <t>Lunes y Viernes 16:00hs a 20:00hs - Martes, Miércoles y Jueves de 17:30hs. a 23:30hs.</t>
  </si>
  <si>
    <t>San Martin 418</t>
  </si>
  <si>
    <t>Instituto de Educación Superior (I.E.S.) N° 9015 Unidad académica Guaymallén</t>
  </si>
  <si>
    <t>Rodeo de la Cruz</t>
  </si>
  <si>
    <t>Instituto de Educación Superior (I.E.S.) N° 9015 Unidad Académica San Rafael</t>
  </si>
  <si>
    <t>Instituto de Educación Superior de Formación Docente y Técnica N° 93</t>
  </si>
  <si>
    <t>Chacras de Coria - Luján de Cuyo</t>
  </si>
  <si>
    <t>STEFANY, LOPEZ SAUCEDO</t>
  </si>
  <si>
    <t>VILLA GENERAL BELGRANO</t>
  </si>
  <si>
    <t>Las Catitas Santa Rosa</t>
  </si>
  <si>
    <t>Instituto Superior de Formación Técnica Nº 214 MARÍA SALEME</t>
  </si>
  <si>
    <t>Instituto de Educación Superior de Formación Docente y Técnica (I.S.F.D.yT.) Nº 118</t>
  </si>
  <si>
    <t>SAN CAYETANO</t>
  </si>
  <si>
    <t xml:space="preserve">Instituto Superior de Formación Docente N° 91 René Favaloro
</t>
  </si>
  <si>
    <t>Tapalqué</t>
  </si>
  <si>
    <t>Sergio Alfredo</t>
  </si>
  <si>
    <t>2281 361665</t>
  </si>
  <si>
    <t>darregueira</t>
  </si>
  <si>
    <t>Instituto Superior de Formación Docente y Técnica (ISFDyT N° 78)</t>
  </si>
  <si>
    <t>Ana Soledad Ibáñez</t>
  </si>
  <si>
    <t>Vespertino</t>
  </si>
  <si>
    <t>Carlos casares</t>
  </si>
  <si>
    <t>Lunes a viernes de 07:00 a 15:00hs</t>
  </si>
  <si>
    <t>Instituto Superior de Formacion Docente y Tecnica N° 184</t>
  </si>
  <si>
    <t>Sanguinetti 521, Pilar</t>
  </si>
  <si>
    <t>Estación Juárez Celman, Dto Colón, Cordoba</t>
  </si>
  <si>
    <t>De lunes a Viernes de 18: 10 a 22: 10 hs.</t>
  </si>
  <si>
    <t>La plata</t>
  </si>
  <si>
    <t>Estefanía Villalba</t>
  </si>
  <si>
    <t>Esefanía Villaba</t>
  </si>
  <si>
    <t>de 14 a 18 hs</t>
  </si>
  <si>
    <t>Villa Paranacito</t>
  </si>
  <si>
    <t>La Rosa, María Luz</t>
  </si>
  <si>
    <t>Sede Villa Paranacito: Turno mañana: 8 a 12. Turno Tarde 13 a 18. Extensión Áulica Ibicuy: 17 a 23.-</t>
  </si>
  <si>
    <t>SAN MIGUELM DE TUCUMAN</t>
  </si>
  <si>
    <t>SUIPACHA 553</t>
  </si>
  <si>
    <t>MARIA LETICIA TRIVIÑO</t>
  </si>
  <si>
    <t>LUIS ALBERTO ROMANO</t>
  </si>
  <si>
    <t>TURNO MAÑANA 7:30 A 14:00 LUNES A VIERNES, TURNO TARDE 14 A 22:00 LUNES A VIERNES Y SABADOS DE 8 A 18 HS.</t>
  </si>
  <si>
    <t>loberia</t>
  </si>
  <si>
    <t>17.30 a 22.30/ 8 a 12 hs turno mañana 1 vez x semana</t>
  </si>
  <si>
    <t>monteros</t>
  </si>
  <si>
    <t>famailla</t>
  </si>
  <si>
    <t>Tafi viejo</t>
  </si>
  <si>
    <t>0381 5996365</t>
  </si>
  <si>
    <t>La Ramada de arriba. Burruyacu</t>
  </si>
  <si>
    <t>Prebistero Fausto Figueroa s/n.</t>
  </si>
  <si>
    <t>Carlos José Condori</t>
  </si>
  <si>
    <t>14 a 20 horas</t>
  </si>
  <si>
    <t>Instituto Superior Dr Guillermo Paterson</t>
  </si>
  <si>
    <t>San Salvador</t>
  </si>
  <si>
    <t>Alvear 1152 2° Piso</t>
  </si>
  <si>
    <t>institutopatersontitulos@gmail.com</t>
  </si>
  <si>
    <t>Marisa Edit Vargas</t>
  </si>
  <si>
    <t>mvargas0770@gmail.com</t>
  </si>
  <si>
    <t>Marisa Vargas</t>
  </si>
  <si>
    <t>8 a 14 horas</t>
  </si>
  <si>
    <t>Santa Rosa de Leales</t>
  </si>
  <si>
    <t>Turno tarde de 14:30 a 19:30</t>
  </si>
  <si>
    <t>Concepción</t>
  </si>
  <si>
    <t>AMAICHA del valle</t>
  </si>
  <si>
    <t>Romano Luis Alberto</t>
  </si>
  <si>
    <t>291-4631897</t>
  </si>
  <si>
    <t>Banda del Río Sali</t>
  </si>
  <si>
    <t>Rafael Alberto Urquia</t>
  </si>
  <si>
    <t>Graneros</t>
  </si>
  <si>
    <t>Lic Triviño María Leticia</t>
  </si>
  <si>
    <t>lunes a viernes de 19 hs a 23 hs.</t>
  </si>
  <si>
    <t>Glew - Partido de Almirante Brown</t>
  </si>
  <si>
    <t>La Paz, Entre Rios</t>
  </si>
  <si>
    <t>Belgrano S/No</t>
  </si>
  <si>
    <t>02267 420175</t>
  </si>
  <si>
    <t>Angel Omar Pastrana Vega</t>
  </si>
  <si>
    <t>3446 400942</t>
  </si>
  <si>
    <t>18 a 23:30 horas.</t>
  </si>
  <si>
    <t>Libertador General San Martín</t>
  </si>
  <si>
    <t>Belisario Roldán s/n</t>
  </si>
  <si>
    <t>IES SEDE: 14:00 a 18:50 - IES EXTENSIÓN HUALFÍN 19:00 A 23:50 - IES EXTENSIÓN LONDRES 19:00 A 23:50</t>
  </si>
  <si>
    <t>Av. Pte. Perón N° 604</t>
  </si>
  <si>
    <t>Instituto de Educación Superior (I.E.S.) Curuzú Cuatiá</t>
  </si>
  <si>
    <t>Isidro Casanova - La Matanza</t>
  </si>
  <si>
    <t>Brig. Juan Manuel de Rosas N° 5975</t>
  </si>
  <si>
    <t>8 a 14 hs. / 14 a 16 hs.</t>
  </si>
  <si>
    <t>Florencio VArela</t>
  </si>
  <si>
    <t>Empedrado</t>
  </si>
  <si>
    <t>Bartolomé Mitre y Cambaceres</t>
  </si>
  <si>
    <t>Otto Guillermo Martín Guelardi</t>
  </si>
  <si>
    <t>Gonzalez Catan - La Matanza</t>
  </si>
  <si>
    <t>AYACUCHO</t>
  </si>
  <si>
    <t>0225 423606</t>
  </si>
  <si>
    <t>02964434030 (Laboral Sede CENT 35) 02964505640 (personal Rector)</t>
  </si>
  <si>
    <t xml:space="preserve">08:00 a 12:20
14:00 a 18:20
19:30 a 23:50
</t>
  </si>
  <si>
    <t>COLON</t>
  </si>
  <si>
    <t>BARADERO</t>
  </si>
  <si>
    <t>3329 488971</t>
  </si>
  <si>
    <t>GENERAL LAS HERAS</t>
  </si>
  <si>
    <t>ALEJANDRO RUEDA</t>
  </si>
  <si>
    <t>USHUAIA</t>
  </si>
  <si>
    <t>Lunes a viernes de 19:00 a 23:30 hs.</t>
  </si>
  <si>
    <t>Instituto de Educación Superior de Formación Docente Dr. J. Alfredo</t>
  </si>
  <si>
    <t>Instituto de Formación Docente y Técnica Itatí</t>
  </si>
  <si>
    <t>Itatí / Corrientes</t>
  </si>
  <si>
    <t>Prof. Ofelia del Carmen</t>
  </si>
  <si>
    <t>Mariana Maciel Bozikovic</t>
  </si>
  <si>
    <t>Snata Lucia</t>
  </si>
  <si>
    <t>Miraflores - Dpto Cayapan</t>
  </si>
  <si>
    <t>chumbicha</t>
  </si>
  <si>
    <t>Isfd Chajarí</t>
  </si>
  <si>
    <t>San Isidro-Valle Viejo</t>
  </si>
  <si>
    <t>------------------</t>
  </si>
  <si>
    <t>SAN ROQUE</t>
  </si>
  <si>
    <t>LA BANDA</t>
  </si>
  <si>
    <t>NO TIENE LA INSTITUCION</t>
  </si>
  <si>
    <t>Santillan, Hortensia Mercedes</t>
  </si>
  <si>
    <t>Maria Lourdes Giacomo</t>
  </si>
  <si>
    <t>articulacionsantiago@gmail.com</t>
  </si>
  <si>
    <t>13,00 a 17,00 (Vespertino) 18,00 a 22,30 (Nocturno)</t>
  </si>
  <si>
    <t>Aclaro que el correo del Instituto es; ( antenoralvarez2018@hotmail.com)</t>
  </si>
  <si>
    <t>Instituto de Educación Superior (I.E.S.) Dr. Ramón Carrillo</t>
  </si>
  <si>
    <t>santiago del estero</t>
  </si>
  <si>
    <t>caminito tio jesus el zanjon s/n</t>
  </si>
  <si>
    <t>ies.dr.ramoncarrillo@gmail.com</t>
  </si>
  <si>
    <t>Lic Delia Martina Basualdo</t>
  </si>
  <si>
    <t>turcabasualdo.1962@gmail.com</t>
  </si>
  <si>
    <t>Lic. Delia Martina Basualdo</t>
  </si>
  <si>
    <t>14:00 horas a 18:00 horas de lunes a viernes</t>
  </si>
  <si>
    <t>es imposible sostener la institución no estamos subvencionados los cargos docentes y los estudiantes no abonan las cuotas mensual a tiempo siempre están atrasado debiendo meses muy difícil la situación económica</t>
  </si>
  <si>
    <t>Marcos Juarez</t>
  </si>
  <si>
    <t>isft197avellaneda@abc.gob.ar</t>
  </si>
  <si>
    <t>isfdyt68agchaves@abc.gob.ar</t>
  </si>
  <si>
    <t>isfdyt158cpringles@abc.gob.ar</t>
  </si>
  <si>
    <t>esevera2022@gmail.com</t>
  </si>
  <si>
    <t>353-4250336</t>
  </si>
  <si>
    <t>BERTORELLO, Paola</t>
  </si>
  <si>
    <t>De 18:45 hs a 23:50 hs.</t>
  </si>
  <si>
    <t>isfdprofesoragustingomez@gmail.com</t>
  </si>
  <si>
    <t>superior66_calchaqui@santafe.edu.ar</t>
  </si>
  <si>
    <t>msuperior50_rufino@santafe.edu.ar</t>
  </si>
  <si>
    <t>isft201campana@abc.gob.ar</t>
  </si>
  <si>
    <t>Instituto de Educación Superior de Formación Docente Chajari</t>
  </si>
  <si>
    <t>Av. Alem Nº 1402</t>
  </si>
  <si>
    <t>Marisela Vanesa Panozzo</t>
  </si>
  <si>
    <t>lisita_70@yahoo.com.ar</t>
  </si>
  <si>
    <t>17:45 a 22:10</t>
  </si>
  <si>
    <t>elogab2017@gmail.com</t>
  </si>
  <si>
    <t>San Francisco Del Chañar</t>
  </si>
  <si>
    <t>sarmiento 385</t>
  </si>
  <si>
    <t>Haller Guillermo</t>
  </si>
  <si>
    <t>Bruno Gabriela Del Carmen</t>
  </si>
  <si>
    <t>18:00 a 22:10</t>
  </si>
  <si>
    <t>secretaria@iesvu.edu.ar</t>
  </si>
  <si>
    <t>Cent74atsa@gmail.com</t>
  </si>
  <si>
    <t>mbarberia1@abc.gob.ar</t>
  </si>
  <si>
    <t>centn74atsamonteros@gmail.com</t>
  </si>
  <si>
    <t>ies11educacion@gmail.com</t>
  </si>
  <si>
    <t>mvargas0770@gmail.comm</t>
  </si>
  <si>
    <t>marcela.sanchez754@gmail.com</t>
  </si>
  <si>
    <t>maria900010jo@gmail.com</t>
  </si>
  <si>
    <t>gdinotolo@abc.gob.ar</t>
  </si>
  <si>
    <t>superior.noemal43.pn@entrerios.edu.ar</t>
  </si>
  <si>
    <t>urquiarafael@gmail.com</t>
  </si>
  <si>
    <t>diegoghione31@gmail.com</t>
  </si>
  <si>
    <t>direccionlegalizyregtitulos@catamarca.edu.ar</t>
  </si>
  <si>
    <t>Andal</t>
  </si>
  <si>
    <t>Aveni</t>
  </si>
  <si>
    <t>Sandra</t>
  </si>
  <si>
    <t>Robles</t>
  </si>
  <si>
    <t>inst.curuzu@educ.ar</t>
  </si>
  <si>
    <t>1801451-00@mec.gob.ar</t>
  </si>
  <si>
    <t>1801414-00@mec.gob.ar</t>
  </si>
  <si>
    <t>ventassilviapoletti@yahoo.com.ar</t>
  </si>
  <si>
    <t>MOCORETA</t>
  </si>
  <si>
    <t>SAN MARTIN 863</t>
  </si>
  <si>
    <t>BENITEZ ALEJANDRA TRINIDAD</t>
  </si>
  <si>
    <t>CARAVALLO CAROLINA BELEN</t>
  </si>
  <si>
    <t>k-rito_2612@hotmail.com</t>
  </si>
  <si>
    <t>NOCHE DE 18.30 A 23.30</t>
  </si>
  <si>
    <t>coordinacionrectoria@cent11.edu.ar</t>
  </si>
  <si>
    <t>Belisario Roldán s/N. Barrio Santa Rosa</t>
  </si>
  <si>
    <t>19.00 a 23.30 horas</t>
  </si>
  <si>
    <t>isfd151lasflores@abc.gob.ar</t>
  </si>
  <si>
    <t>rectoria@ishm.edu.ar</t>
  </si>
  <si>
    <t>pianovimariano@gmail.com</t>
  </si>
  <si>
    <t>registroalumno@cruzrojariocuarto.com.ar</t>
  </si>
  <si>
    <t>educa.lzamora@cruzroja.cruzroja.org.ar</t>
  </si>
  <si>
    <t>cruzrojaf.lanusdireccion@gmail.com</t>
  </si>
  <si>
    <t>s-isidro@cruzroja.org.ar</t>
  </si>
  <si>
    <t>mabecipri46@hotmail.com</t>
  </si>
  <si>
    <t>m.teresadecalcuta@hotmail.com</t>
  </si>
  <si>
    <t>Mendoza 1482</t>
  </si>
  <si>
    <t>abringas@sep.org.ar</t>
  </si>
  <si>
    <t>15:00 A 20:20 HS</t>
  </si>
  <si>
    <t>pattycarignano@hotmail.com</t>
  </si>
  <si>
    <t>almadalaura203@gmail.com</t>
  </si>
  <si>
    <t>coordenfvillamaria@sep.or.ar</t>
  </si>
  <si>
    <t>magalymmarquez@gmail.com</t>
  </si>
  <si>
    <t>Sbarrionuevo@cruzroja.org.ar</t>
  </si>
  <si>
    <t>cruzroja74.gp.pn@entrerios.edu.ar</t>
  </si>
  <si>
    <t>La cuota se compone de: Arancel programático $16.000 - Elementos de Practicas $ 30.000 - Seguro $ 9.000</t>
  </si>
  <si>
    <t>SI</t>
  </si>
  <si>
    <t>Respecto a las extraprogramaticas. Los estudiantes de 1° año pagan 10 cuotas y los estudiantes de 2° año 5 cuotas.</t>
  </si>
  <si>
    <t>escenfisr@yahoo.com.ar</t>
  </si>
  <si>
    <t>-</t>
  </si>
  <si>
    <t>La cantidad de alumnos por curso puede variar bastante, incluso después de haber terminado el cursado, mantienen materias regularizadas para los exámenes finales. Es un proceso bastante dinámico y común en la vida académica.</t>
  </si>
  <si>
    <t>Instituto Superior de Formación Capacitación y Superación Profesional Lic. Myriam B. Gloss</t>
  </si>
  <si>
    <t>Claudia Viviana del Rosario Lopez</t>
  </si>
  <si>
    <t>07:00 a 14:00 15:00 a 21:00</t>
  </si>
  <si>
    <t>Instituto de Educación Superior N° D- 80 Cruz Roja Argentina -Filial Concordia</t>
  </si>
  <si>
    <t>Raquel Maria Rodriguez</t>
  </si>
  <si>
    <t>7 a 13 y de 13:30 a 18</t>
  </si>
  <si>
    <t>Matricula y 10 cuotas</t>
  </si>
  <si>
    <t>Instituto Superior en Formación, Capacitación y Superación Profesional Lic Myriam Beatriz Gloss</t>
  </si>
  <si>
    <t>Claudia Viviana del Rosario López</t>
  </si>
  <si>
    <t>Turno mañana de 07:10 a 12:50 - Turno tarde de 15:00 a 20:40 hrs</t>
  </si>
  <si>
    <t>ninguna</t>
  </si>
  <si>
    <t>nada</t>
  </si>
  <si>
    <t>03472-422119</t>
  </si>
  <si>
    <t>051156430818/429776</t>
  </si>
  <si>
    <t>INSTITUTOSEP@SEP.ORG.AR</t>
  </si>
  <si>
    <t>3472-625539</t>
  </si>
  <si>
    <t>No estamos subsidiados</t>
  </si>
  <si>
    <t>72752.80</t>
  </si>
  <si>
    <t>65732.65</t>
  </si>
  <si>
    <t>11522.20</t>
  </si>
  <si>
    <t>Cada una de las comisiones de enfermería, durante los dos cuatrimestres, tienen 1 hora catedra obligatoria extraprogramáticas, presentada y aprobada ante la DGEGP</t>
  </si>
  <si>
    <t>Cualquier duda , me envian un mje, a mechisan07@hotmail.com.Gracias Saludos Cordiales Mercedes</t>
  </si>
  <si>
    <t>Escuela Superior de Enfermería Rafaela</t>
  </si>
  <si>
    <t>Instituto de Educación Superior de Formación Docente y Técnica (ISFDyT) N° 70 Manuel Belgrano</t>
  </si>
  <si>
    <t>Instituto Superior N° 4709 Escuela de Enfermeria Instituto Cruz Roja Argentina</t>
  </si>
  <si>
    <t>Instituto de Educación Superior de Formación Docente y Técnica (I.S.F.D.yT.) N° 158 José Manuel Estrada</t>
  </si>
  <si>
    <t>ISFD yT N° 138 – Escuela Normal Superior “Domingo Fidel Sarmiento”</t>
  </si>
  <si>
    <t>Instituto de Educación Superior de Formación Docente N° 05</t>
  </si>
  <si>
    <t>Loreto</t>
  </si>
  <si>
    <t>Hipólito Irigoyen 150</t>
  </si>
  <si>
    <t>conduccion.ifd5@gmail.com</t>
  </si>
  <si>
    <t>Teresita Castillo</t>
  </si>
  <si>
    <t>castillotic@gmail.com</t>
  </si>
  <si>
    <t>Fabiana Paez</t>
  </si>
  <si>
    <t>paezfabiana@yahoo.com</t>
  </si>
  <si>
    <t>Docentes</t>
  </si>
  <si>
    <t>Nombre</t>
  </si>
  <si>
    <t>Primero</t>
  </si>
  <si>
    <t>Segundo</t>
  </si>
  <si>
    <t>Tercero</t>
  </si>
  <si>
    <t>Egresados</t>
  </si>
  <si>
    <t>Todos</t>
  </si>
  <si>
    <t>PPs</t>
  </si>
  <si>
    <t>Total</t>
  </si>
  <si>
    <t>institutodibarre@gmail.com</t>
  </si>
  <si>
    <t>Instituto de Educación Superior Particular Incorporada (I.S.P.I.) Nº 4067 D´ibarre</t>
  </si>
  <si>
    <t>Pasaje Corbellini 1136</t>
  </si>
  <si>
    <t>341 3254530</t>
  </si>
  <si>
    <t>Alejandra Verónica Paglialunga</t>
  </si>
  <si>
    <t>341 5664250</t>
  </si>
  <si>
    <t>a.paglialunga@institutodibarre.edu.ar</t>
  </si>
  <si>
    <t>turno tarde, de lunes a viernes de 14 a 20 hs aproximadamente</t>
  </si>
  <si>
    <t>Los estudiantes del 2º y 3º año de la carrera (pases del Instituto Garibaldi) abonaron $80000 como inscripción y abonan $85000 como cuota mensual.</t>
  </si>
  <si>
    <t>coordenfcruzdeleje@sep.org.ar</t>
  </si>
  <si>
    <t xml:space="preserve">Instituto "S.E.P San Nicolás" (Sindicato de Empleados Públicos) -Cruz del Eje
</t>
  </si>
  <si>
    <t>cruz del eje</t>
  </si>
  <si>
    <t>Soldadao Romero 249</t>
  </si>
  <si>
    <t>corzokarinaemilse@gmail.com.ar</t>
  </si>
  <si>
    <t>Karina Emilse Corzo</t>
  </si>
  <si>
    <t>corzokarinaemilse@gmail.com</t>
  </si>
  <si>
    <t>lunes a viernes de 15hs a 20hs</t>
  </si>
  <si>
    <t>infomecatronicamaipu@gmail.com</t>
  </si>
  <si>
    <t>S/N N° 9-023</t>
  </si>
  <si>
    <t>MAIPÚ</t>
  </si>
  <si>
    <t>DIONISIO HERRERO 303</t>
  </si>
  <si>
    <t>MARIA VIRGINIA HERNANDEZ</t>
  </si>
  <si>
    <t>SEDE CENTRAL : 14.30 A 18.40 HS.
ANEXO (RODEO DEL MEDIO) : 19.00 A 23.00 HS.</t>
  </si>
  <si>
    <t>mag2303@hotmail.com</t>
  </si>
  <si>
    <t>Instituto de Educación Superior de Formación Docente N° 09</t>
  </si>
  <si>
    <t>suncho Corral</t>
  </si>
  <si>
    <t>Mariano Moreno s/n</t>
  </si>
  <si>
    <t>Mirta Alejandra Guillin</t>
  </si>
  <si>
    <t>16:00 a 22:45</t>
  </si>
  <si>
    <t>ifdn3anexoforres@gmail.com</t>
  </si>
  <si>
    <t>Instituto de Educación Superior de Formación Docente N° 03- Anexo Forres</t>
  </si>
  <si>
    <t>Forres</t>
  </si>
  <si>
    <t>Av. Libertad y Francisco Bustos</t>
  </si>
  <si>
    <t>Oscar Fernando Carrazco</t>
  </si>
  <si>
    <t>fernandocarrasco2022@gmail.com</t>
  </si>
  <si>
    <t>Norma Elizabeth Diaz</t>
  </si>
  <si>
    <t>eliza.nor.2013@gmail.com</t>
  </si>
  <si>
    <t>8:00 a 12 hrs 
18:30 a 22:05</t>
  </si>
  <si>
    <t>silviabrodriguez28@gmail.com</t>
  </si>
  <si>
    <t>Escuela Normal Superior General Manuel Belgrano</t>
  </si>
  <si>
    <t>Santiago del Estero capital</t>
  </si>
  <si>
    <t>Independencia 751</t>
  </si>
  <si>
    <t>Silvia Beatriz Rodríguez</t>
  </si>
  <si>
    <t>María Soledad Rueda</t>
  </si>
  <si>
    <t>mariasoledadrueda24@gmail.com</t>
  </si>
  <si>
    <t>19 hs a 23.15 hs</t>
  </si>
  <si>
    <t>carrillosimon350@gmail.com</t>
  </si>
  <si>
    <t>Instituto Superior de Formación Docente (I.S.F.D.) Nº 1 Anexo Abra Pampa</t>
  </si>
  <si>
    <t>Abra Pampa</t>
  </si>
  <si>
    <t>Av. Juan domingo Perón S/N</t>
  </si>
  <si>
    <t>Simón Carrillo</t>
  </si>
  <si>
    <t>Natalia Silvina Abalos</t>
  </si>
  <si>
    <t>natisilabalos@gmail.com</t>
  </si>
  <si>
    <t>19:00 a 00:00 hs.</t>
  </si>
  <si>
    <t>Instituto "S.E.P San Nicolás" (Sindicato de Empleados Públicos) -Cruz del Eje</t>
  </si>
  <si>
    <t>Instituto de Educación Superior (I.E.S.) N° 9-023</t>
  </si>
  <si>
    <t>Instituto de Educación Superior de Formación Docente y Técnica (I.S.F.D.yT.) N° 89 Dr. René Favaloro</t>
  </si>
  <si>
    <t>Instituto de Educación Superior de Formación Docente y Técnica (I.S.F.D.yT.) N° 126 General José de San Martín</t>
  </si>
  <si>
    <t>Instituto de Educación Superior de Formación Docente y Técnica (I.S.F.D.yT.) N° 63 Malvinas Argentinas</t>
  </si>
  <si>
    <t>Adolfo Gonzales Chaves</t>
  </si>
  <si>
    <t>Instituto de Educación Superior de Formación Docente y Técnica (I.S.F.D.yT.) N° 68</t>
  </si>
  <si>
    <t>Instituto Superior de Formación Docente (I.S.F.D.) N° 49</t>
  </si>
  <si>
    <t>Instituto Superior de Formación Docente (I.S.F.D.) N° 85</t>
  </si>
  <si>
    <t>Instituto Superior de Formación Técnica (I.S.F.T.) N° 150 25 de Mayo</t>
  </si>
  <si>
    <t>Instituto Superior de Formación Docente (I.S.F.D.) N° 26</t>
  </si>
  <si>
    <t>Instituto Superior de Formación Técnica (I.S.F.T.) N° 182</t>
  </si>
  <si>
    <t>Instituto Superior de Formación Docente N° 91 René Favaloro</t>
  </si>
  <si>
    <t>Instituto Superior de Formacion Docente y Tecnica N° 37</t>
  </si>
  <si>
    <t xml:space="preserve">Instituto Superior de Formación Técnica (I.S.F.T.) N° 132 Colegio Nacional General San Martín </t>
  </si>
  <si>
    <t>Instituto Superior de Formación Docente (I.S.F.D.) N° 53</t>
  </si>
  <si>
    <t>Instituto Superior de Formación Docente (I.S.F.D.) N° 87 Domingo Faustino Sarmiento</t>
  </si>
  <si>
    <t>Instituto de Educación Superior de Formación Docente y Técnica (I.S.F.D.yT.) N° 124 Juan B. Marenzi</t>
  </si>
  <si>
    <t>Escuela Superior de Enfermería N° 1260234 Cruz Roja Argentina Rio Cuarto</t>
  </si>
  <si>
    <t>Escuela Técnica Privada N° 4996 Esc. de Enf. de la Cruz Roja Arg. F. Vicente Lopez 4996</t>
  </si>
  <si>
    <t xml:space="preserve">Instituto Escuela de Enfermería N° 4887 Cruz Roja Argentina - Filial Lanús - </t>
  </si>
  <si>
    <t>Instituto de Educación Superior Particular Incorporada (I.S.P.I.) Cruz Roja Argentina - Anexo</t>
  </si>
  <si>
    <t>Santiago del Estero</t>
  </si>
  <si>
    <t>PCIA</t>
  </si>
  <si>
    <t>DIRECTOR</t>
  </si>
  <si>
    <t>TELÉFONO DIRECTOR</t>
  </si>
  <si>
    <t>MAIL DIRECTOR</t>
  </si>
  <si>
    <t>COORDINADOR CARRERA</t>
  </si>
  <si>
    <t>TELÉFONO Coordinador</t>
  </si>
  <si>
    <t>MAIL Coordinador</t>
  </si>
  <si>
    <t>Turno Cursada Enfermería</t>
  </si>
  <si>
    <t>Requisito para el ingreso</t>
  </si>
  <si>
    <t>Vacantes 1° año</t>
  </si>
  <si>
    <t>Fechas de inscripción a la carrera</t>
  </si>
  <si>
    <t>Prácticas Profesionalizantes 1° año</t>
  </si>
  <si>
    <t>Prácticas Profesionalizantes 2° año</t>
  </si>
  <si>
    <t>Prácticas Profesionalizantes 3° año</t>
  </si>
  <si>
    <t>Año ingreso al Pronafé</t>
  </si>
  <si>
    <t>Dependencia</t>
  </si>
  <si>
    <t>Cantidad de carreras que dictan</t>
  </si>
  <si>
    <t>Cantidad años en curso</t>
  </si>
  <si>
    <t>Aporte $150</t>
  </si>
  <si>
    <t xml:space="preserve"> (150,000 Acreditado)</t>
  </si>
  <si>
    <t xml:space="preserve">SImuladores entregados </t>
  </si>
  <si>
    <t>Mochilas entregadas</t>
  </si>
  <si>
    <t>Becados 2017</t>
  </si>
  <si>
    <t>Becados 2018</t>
  </si>
  <si>
    <t>Matricula (RFIETP)</t>
  </si>
  <si>
    <t>última Actualización</t>
  </si>
  <si>
    <t>1° 2015</t>
  </si>
  <si>
    <t>2° 2015</t>
  </si>
  <si>
    <t>3° 2015</t>
  </si>
  <si>
    <t>Egresados 2015</t>
  </si>
  <si>
    <t>1° 2016</t>
  </si>
  <si>
    <t>2° 2016</t>
  </si>
  <si>
    <t>3° 2016</t>
  </si>
  <si>
    <t>Egresados 2016</t>
  </si>
  <si>
    <t>1° 2017</t>
  </si>
  <si>
    <t>2° 2017</t>
  </si>
  <si>
    <t>3° 2017</t>
  </si>
  <si>
    <t>Egresados 2017</t>
  </si>
  <si>
    <t>1° 2018</t>
  </si>
  <si>
    <t>2° 2018</t>
  </si>
  <si>
    <t>3° 2018</t>
  </si>
  <si>
    <t>Egresados 2018</t>
  </si>
  <si>
    <t>1° 2019</t>
  </si>
  <si>
    <t>2° 2019</t>
  </si>
  <si>
    <t>3° 2019</t>
  </si>
  <si>
    <t>Egresados 2019</t>
  </si>
  <si>
    <t>% teórico egresados 2015</t>
  </si>
  <si>
    <t>% teórico egresados 2016</t>
  </si>
  <si>
    <t>% teórico egresados 2017</t>
  </si>
  <si>
    <t>% teórico egresados 2018</t>
  </si>
  <si>
    <t>2015% teorico promovidos 1-2</t>
  </si>
  <si>
    <t>2015 % teorico promovidos 2-3</t>
  </si>
  <si>
    <t>2016 % teorico promovidos 1-2</t>
  </si>
  <si>
    <t>2016% teorico promovidos 2-3</t>
  </si>
  <si>
    <t>2017 % teorico promovidos 1-2</t>
  </si>
  <si>
    <t>2017 % teorico promovidos 2-3</t>
  </si>
  <si>
    <t>2018 % teorico promovidos 1-2</t>
  </si>
  <si>
    <t>2018 % teorico promovidos 2-3</t>
  </si>
  <si>
    <t>% egreso real</t>
  </si>
  <si>
    <t>Observaciones</t>
  </si>
  <si>
    <t>Instituto Privado Nº A-1420 Bernardo Houssay</t>
  </si>
  <si>
    <t>Privado</t>
  </si>
  <si>
    <t>Institución de ETP</t>
  </si>
  <si>
    <t>Gavilan 75</t>
  </si>
  <si>
    <t>11-36119306</t>
  </si>
  <si>
    <t xml:space="preserve">escuelabhoussay@yahoo.com.ar </t>
  </si>
  <si>
    <t xml:space="preserve">                                      Fernandez Jorge Oscar </t>
  </si>
  <si>
    <t xml:space="preserve">                                        Representante Legal </t>
  </si>
  <si>
    <t xml:space="preserve">fjorgeoscar54@yahoo.com.ar </t>
  </si>
  <si>
    <t>Venegas Arteaga Maribel</t>
  </si>
  <si>
    <t>Rectora</t>
  </si>
  <si>
    <t>11-22542917</t>
  </si>
  <si>
    <t>maribelvenegasarteaga@gmail.com</t>
  </si>
  <si>
    <t>-34.626806563414426, -58.46019354706238</t>
  </si>
  <si>
    <t>Instituto de Formación Técnica Superior (I.F.T.S.) N° A 1508 "Superior de Artes y Ciencias de la Salud"</t>
  </si>
  <si>
    <t>Deheza 2723</t>
  </si>
  <si>
    <t>11-41035487</t>
  </si>
  <si>
    <t xml:space="preserve">secretariapedagogica@arcis.edu.ar </t>
  </si>
  <si>
    <t>Prof.Lic. Antonella Potenzoni</t>
  </si>
  <si>
    <t xml:space="preserve">Retora Nivel Supeior </t>
  </si>
  <si>
    <t>11-2246-8563</t>
  </si>
  <si>
    <t>rectoria@arcis.org.ar</t>
  </si>
  <si>
    <t xml:space="preserve">Pablo Sperzagni </t>
  </si>
  <si>
    <t>Secretario</t>
  </si>
  <si>
    <t>11-6165-9970</t>
  </si>
  <si>
    <t xml:space="preserve">pablosperzagni@arcis.edu.ar </t>
  </si>
  <si>
    <t>Instituto "Saturnino E. Unzue de San José"</t>
  </si>
  <si>
    <t>Buenos Aires</t>
  </si>
  <si>
    <t>Adolfo Alsina</t>
  </si>
  <si>
    <t>Carhué</t>
  </si>
  <si>
    <t>Boulevar Adolfo Alsina N° 820</t>
  </si>
  <si>
    <t>2936-412247</t>
  </si>
  <si>
    <t>sanjosesuperior1@gmail.com</t>
  </si>
  <si>
    <t>Profesora ARIAS ELIANA</t>
  </si>
  <si>
    <t>Directora</t>
  </si>
  <si>
    <t>2914410897-2936412247</t>
  </si>
  <si>
    <t>eliana82arias@gmail.com</t>
  </si>
  <si>
    <t>No hay referente</t>
  </si>
  <si>
    <t>Instituto Superior de Formación Docente (I.S.F.D.) Nº 348</t>
  </si>
  <si>
    <t>Huanguelén</t>
  </si>
  <si>
    <t>Estatal</t>
  </si>
  <si>
    <t>Otro Nivel y/o Modalidad</t>
  </si>
  <si>
    <t>Calle 9 Nº 339</t>
  </si>
  <si>
    <t>2933-432977</t>
  </si>
  <si>
    <t>evtaddei@abc.gob.ar</t>
  </si>
  <si>
    <t>Evangelina Taddei</t>
  </si>
  <si>
    <t>Regente</t>
  </si>
  <si>
    <t>2923-657024</t>
  </si>
  <si>
    <t>Instituto de Educación Superior de Formación Docente y Técnica (I.S.F.D.yT.) N° 38 Extensión</t>
  </si>
  <si>
    <t>Ramallo</t>
  </si>
  <si>
    <t>Institución de Otro Nivel y/o Modalidad</t>
  </si>
  <si>
    <t>3407-89152</t>
  </si>
  <si>
    <t>Director</t>
  </si>
  <si>
    <t>Claudia Ferreyra</t>
  </si>
  <si>
    <t>Coordinadora</t>
  </si>
  <si>
    <t>336-4-645655</t>
  </si>
  <si>
    <t>caudiaferre@hotmail.com</t>
  </si>
  <si>
    <t>Instituto de Educación Superior de Formación Docente y Técnica (I.S.F.D.yT.) Nº 71 Profesor Ceferino Artigas</t>
  </si>
  <si>
    <t>Pellegrini</t>
  </si>
  <si>
    <t>Belgrano135</t>
  </si>
  <si>
    <t>2392-460007</t>
  </si>
  <si>
    <t>isfd71pellegrini@gmail.com</t>
  </si>
  <si>
    <t>Maria Alejandra Arbia</t>
  </si>
  <si>
    <t>maarbia@gmail.com</t>
  </si>
  <si>
    <t>lic Alejandra Arbia</t>
  </si>
  <si>
    <t>Instituto Superior de Formacion Docente y Tecnica N° 92</t>
  </si>
  <si>
    <t>Laprida</t>
  </si>
  <si>
    <t>Carlos Pellegrini 1178</t>
  </si>
  <si>
    <t>2285 419480-419480</t>
  </si>
  <si>
    <t>isfdyt92laprida@abc.gob.ar</t>
  </si>
  <si>
    <t>Estefanía Madrid</t>
  </si>
  <si>
    <t>2284 609263-419480</t>
  </si>
  <si>
    <t>emadrid@abc.gob.ar</t>
  </si>
  <si>
    <t>-37.54328788848487, -60.80163969852033</t>
  </si>
  <si>
    <t xml:space="preserve"> Instituto de Educación Superior de Formación Docente y Técnica N° 152 Domingo Faustino Sarmiento</t>
  </si>
  <si>
    <t>Las Heras 575</t>
  </si>
  <si>
    <t>-2244 473093</t>
  </si>
  <si>
    <t>Alberto Ariel Torres</t>
  </si>
  <si>
    <t>albetorres@abc.gob.ar</t>
  </si>
  <si>
    <t>Silvio Juliani</t>
  </si>
  <si>
    <t>Profesor</t>
  </si>
  <si>
    <t>-2244 429277</t>
  </si>
  <si>
    <t>juliani.silvio@gmail.com</t>
  </si>
  <si>
    <t>-36.01536003942308, -59.1015397912657</t>
  </si>
  <si>
    <t>Instituto de Educación Superior de Formación Docente y Técnica N° 212</t>
  </si>
  <si>
    <t>General Paz</t>
  </si>
  <si>
    <t>Ranchos</t>
  </si>
  <si>
    <t>Centurión 3220</t>
  </si>
  <si>
    <t>2241-481021</t>
  </si>
  <si>
    <t>is041057@gmail.com</t>
  </si>
  <si>
    <t>María Romina Bozzano</t>
  </si>
  <si>
    <t>robozzano@yahoo.com</t>
  </si>
  <si>
    <t>Anabel Castro</t>
  </si>
  <si>
    <t>Profesora</t>
  </si>
  <si>
    <t>2241-470955</t>
  </si>
  <si>
    <t>anabelakastro@gmail.com</t>
  </si>
  <si>
    <t>-35.514258551435496, -58.31920337552628</t>
  </si>
  <si>
    <t xml:space="preserve">Instituto de Educación Superior de Formación Docente y Técnica (I.S.F.D.yT.) Nº 218 </t>
  </si>
  <si>
    <t>Roque Pérez</t>
  </si>
  <si>
    <t>Roque Perez</t>
  </si>
  <si>
    <t>9 de Julio N° 1537</t>
  </si>
  <si>
    <t>2227-525315</t>
  </si>
  <si>
    <t>TORRES, PATRICIA NOEMI</t>
  </si>
  <si>
    <t>DIRECTORA</t>
  </si>
  <si>
    <t>2227-475774</t>
  </si>
  <si>
    <t>patrtorres3@abc.gob.ar</t>
  </si>
  <si>
    <t>Instituto Superior Dr. Ramón J. Carrillo -Anexo Villa María</t>
  </si>
  <si>
    <t>General San Martín</t>
  </si>
  <si>
    <t>Mariano Moreno N° 264</t>
  </si>
  <si>
    <t>0353-4619034</t>
  </si>
  <si>
    <t>carrilloanexovillamaria@gmail.com</t>
  </si>
  <si>
    <t>Liliana María Lapelle</t>
  </si>
  <si>
    <t>llapelle@yahoo.com.ar</t>
  </si>
  <si>
    <t>Fabiana Noemí González</t>
  </si>
  <si>
    <t>0353 4180110</t>
  </si>
  <si>
    <t>fabiana.gonzalez4@gmail.com</t>
  </si>
  <si>
    <t>Nocturno</t>
  </si>
  <si>
    <t>Curso Nivelatorio</t>
  </si>
  <si>
    <t>Sin límite</t>
  </si>
  <si>
    <t>Nov-Marz</t>
  </si>
  <si>
    <t>Ministerio Educación</t>
  </si>
  <si>
    <t>Instituto Superior Técnico "Anexo Villa Huidobro"</t>
  </si>
  <si>
    <t>General Roca</t>
  </si>
  <si>
    <t>Villa Huidobro</t>
  </si>
  <si>
    <t>Pampa y Av. Libertador San Martín</t>
  </si>
  <si>
    <t>(0351) 4342718/22</t>
  </si>
  <si>
    <t>inspeccion.superioretp@cba.gov.ar</t>
  </si>
  <si>
    <t>Roberto René Borello</t>
  </si>
  <si>
    <t>roberto.borello@cba.gov.ar</t>
  </si>
  <si>
    <t xml:space="preserve"> Hospital Muncipal “Arnaldo Garofalo” (Elsa Venturini 571)/ Hogar Provincial de Ancianos “Evita” (Guemes S/n)</t>
  </si>
  <si>
    <t>1 (3°)</t>
  </si>
  <si>
    <t>Faltan Datos</t>
  </si>
  <si>
    <t>S/D</t>
  </si>
  <si>
    <t>Instituto Superior Técnico "Córdoba Anexo Los Pinos"</t>
  </si>
  <si>
    <t>Capital</t>
  </si>
  <si>
    <t>PADRE LUIS MONTI N° 3687 - B° LOS PINOS</t>
  </si>
  <si>
    <t>351-4897942</t>
  </si>
  <si>
    <t>itscordoba2015@gmail.com</t>
  </si>
  <si>
    <t>MARÍA LAURA GIRARDI</t>
  </si>
  <si>
    <t>ROSAICELA IVON AGUILERA BASTIDAS</t>
  </si>
  <si>
    <t>Coordinadora del Área de Salud</t>
  </si>
  <si>
    <t>351-2049691</t>
  </si>
  <si>
    <t>aguilerabivon@hotmail.com</t>
  </si>
  <si>
    <t>180141501</t>
  </si>
  <si>
    <t>Instituto de Educación Superior de Formación Docente "Profesor Agustín Gómez- Anexo Yapeyú"</t>
  </si>
  <si>
    <t>San Martín</t>
  </si>
  <si>
    <t>Yapeyú</t>
  </si>
  <si>
    <t>Obispo Romero S/N°</t>
  </si>
  <si>
    <t>3794-356850</t>
  </si>
  <si>
    <t>isfdyapeyucorrientes@gmail.com</t>
  </si>
  <si>
    <t>Vanesa Marilin Fagundez</t>
  </si>
  <si>
    <t>Coordinadora de Subsede</t>
  </si>
  <si>
    <t>favane06@gmail.com</t>
  </si>
  <si>
    <t>Instituto de Educación Superior de Formación Docente Caá Catí</t>
  </si>
  <si>
    <t>Corrientes N° 316</t>
  </si>
  <si>
    <t>(0379) 154636366</t>
  </si>
  <si>
    <t>subsedeloretoisfdcaacati@gmail.com</t>
  </si>
  <si>
    <t>Luis Emilio Cáceres Vecchietti</t>
  </si>
  <si>
    <t>03795 328993</t>
  </si>
  <si>
    <t>luisc_milo@yahoo.com.ar</t>
  </si>
  <si>
    <t>2 (1°y2°)</t>
  </si>
  <si>
    <t>Instituto Técnico Superior "Urdinarrain"</t>
  </si>
  <si>
    <t>Gualeguaychú</t>
  </si>
  <si>
    <t>Urdinarrain</t>
  </si>
  <si>
    <t>Bv. Hipólito Yrigoyen 240</t>
  </si>
  <si>
    <t>3446-481346</t>
  </si>
  <si>
    <t>terciariourdi@educ.ar</t>
  </si>
  <si>
    <t>Carina Aguilar</t>
  </si>
  <si>
    <t>-……</t>
  </si>
  <si>
    <t>-32.687310758299674, -58.88573298753859</t>
  </si>
  <si>
    <t>380058200</t>
  </si>
  <si>
    <t>Instituto de Educación Superior Dr.Guillermo Cleland Paterson</t>
  </si>
  <si>
    <t>Jujuy</t>
  </si>
  <si>
    <t>Dr. Manuel Belgrano</t>
  </si>
  <si>
    <t>Alvear 1152</t>
  </si>
  <si>
    <t>388-4221297</t>
  </si>
  <si>
    <t>Rector</t>
  </si>
  <si>
    <t>388-5019258</t>
  </si>
  <si>
    <t xml:space="preserve">mvargas0770@gmail.com </t>
  </si>
  <si>
    <t>Instituto Superior en Ciencias de la Salud</t>
  </si>
  <si>
    <t xml:space="preserve">San Martin 930 </t>
  </si>
  <si>
    <t>388-4887133</t>
  </si>
  <si>
    <t xml:space="preserve">inscsa@hotmail.com </t>
  </si>
  <si>
    <t>Lic Oscar N. Tolaba</t>
  </si>
  <si>
    <t>387-4827107</t>
  </si>
  <si>
    <t>Instituto Superior San Gregorio</t>
  </si>
  <si>
    <t>SAN PEDRO DE JUJUY</t>
  </si>
  <si>
    <t xml:space="preserve">PEDRO GOYENA </t>
  </si>
  <si>
    <t>3888-15657713</t>
  </si>
  <si>
    <t>institutosuperiorsangregorio@gmail.com</t>
  </si>
  <si>
    <t xml:space="preserve">lovisolo nelida natalia </t>
  </si>
  <si>
    <t>rectora</t>
  </si>
  <si>
    <t>3888-657713</t>
  </si>
  <si>
    <t>lovisolonelida@gmail.com</t>
  </si>
  <si>
    <t xml:space="preserve">cabeza oscar jesus </t>
  </si>
  <si>
    <t xml:space="preserve">coordinador </t>
  </si>
  <si>
    <t>387-5885283</t>
  </si>
  <si>
    <t>oscarjesuscabeza@gmail.com</t>
  </si>
  <si>
    <t>500124005</t>
  </si>
  <si>
    <t xml:space="preserve">Instituto de Educación Superior (I.E.S.) N° 9-015 Unidad Académica Maipú  </t>
  </si>
  <si>
    <t>Mendoza</t>
  </si>
  <si>
    <t>Maipú</t>
  </si>
  <si>
    <t>Coquimbito</t>
  </si>
  <si>
    <t>Roca Oeste S/N</t>
  </si>
  <si>
    <t>////</t>
  </si>
  <si>
    <t>///</t>
  </si>
  <si>
    <t>620100307</t>
  </si>
  <si>
    <t>Superior de Ciencias de la Salud y Gestión Anexo Viedma</t>
  </si>
  <si>
    <t>Rio Negro</t>
  </si>
  <si>
    <t>Viedma</t>
  </si>
  <si>
    <t>Tucuman 23</t>
  </si>
  <si>
    <t>2920-421517</t>
  </si>
  <si>
    <t>issagviedma@gmail.com</t>
  </si>
  <si>
    <t>Diego Rubén Flores</t>
  </si>
  <si>
    <t>Nelson Silva</t>
  </si>
  <si>
    <t>Coordinador</t>
  </si>
  <si>
    <t>-2984883429</t>
  </si>
  <si>
    <t>enfermeriaissagc@gmail.com</t>
  </si>
  <si>
    <t>Instituto de Educación Superior del Profesorado (I.S.P.) N° 60 San Carlos - Anexo B° Yapeyú</t>
  </si>
  <si>
    <t>La Capital</t>
  </si>
  <si>
    <t>Sarmiento N° 579</t>
  </si>
  <si>
    <t>03404-421813/ 0342 482-7200</t>
  </si>
  <si>
    <t>superior60_sancarloscentro@santafe.edu.ar; anexoisp60@gmail.com</t>
  </si>
  <si>
    <t>Diego Martín Farias</t>
  </si>
  <si>
    <t>0342 6985714</t>
  </si>
  <si>
    <t>diegofarias251303@gmail.com</t>
  </si>
  <si>
    <t>Miriam Mariela Maidana</t>
  </si>
  <si>
    <t>Diurno</t>
  </si>
  <si>
    <t>Feb</t>
  </si>
  <si>
    <t>140544100</t>
  </si>
  <si>
    <t>CÓRDOBA</t>
  </si>
  <si>
    <t>LA POSTA 3840</t>
  </si>
  <si>
    <t>Maria Eugenia Rodriguez</t>
  </si>
  <si>
    <t>meugeniarodriguez@hotmail.com</t>
  </si>
  <si>
    <t>meugerodriguez@hotmail.com</t>
  </si>
  <si>
    <t>140535004</t>
  </si>
  <si>
    <t>Instituto Superior Técnico "Anexo Dependiente de Inspecciòn- Malvinas Argentinas"</t>
  </si>
  <si>
    <t>Colón</t>
  </si>
  <si>
    <t>Malvinas Argentinas</t>
  </si>
  <si>
    <t>Hermanos de La Salle 651</t>
  </si>
  <si>
    <t>licsartori@gmail.com</t>
  </si>
  <si>
    <t>Eugenia Rodriguez</t>
  </si>
  <si>
    <t>Vanesa sartori</t>
  </si>
  <si>
    <t>Instituto Superior "Bernardo Houssay anexo Monte Buey"</t>
  </si>
  <si>
    <t>MONTE BUEY</t>
  </si>
  <si>
    <t>MARIANO MORENO N°480
barrio, CENTRO</t>
  </si>
  <si>
    <t>luisina.caffaratti@institutohoussay.edu.ar</t>
  </si>
  <si>
    <t>VICO MARIELA</t>
  </si>
  <si>
    <t>mariela.vico@institutohoussay.edu.ar</t>
  </si>
  <si>
    <t xml:space="preserve">Instituto Superior en Formación, Capacitación y Superación Profesional "Lic. Myriam B. Gloss" </t>
  </si>
  <si>
    <t>Loberia</t>
  </si>
  <si>
    <t>Carlos Casares</t>
  </si>
  <si>
    <t>Hurlingham</t>
  </si>
  <si>
    <t>General Las Heras</t>
  </si>
  <si>
    <t>San Fernando</t>
  </si>
  <si>
    <t>Darregueira</t>
  </si>
  <si>
    <t>Coronel Pringles</t>
  </si>
  <si>
    <t>Ayacucho</t>
  </si>
  <si>
    <t>Colon</t>
  </si>
  <si>
    <t>Guamini</t>
  </si>
  <si>
    <t>San Cayetano</t>
  </si>
  <si>
    <t>Baradero</t>
  </si>
  <si>
    <t>Florencio Varela</t>
  </si>
  <si>
    <t>Chumbicha</t>
  </si>
  <si>
    <t>Bell Ville</t>
  </si>
  <si>
    <t>San Francisco</t>
  </si>
  <si>
    <t>Jesus Maria</t>
  </si>
  <si>
    <t>Dean Funes</t>
  </si>
  <si>
    <t>Villa General Belgrano</t>
  </si>
  <si>
    <t>San Roque</t>
  </si>
  <si>
    <t>Parana</t>
  </si>
  <si>
    <t>Victoria</t>
  </si>
  <si>
    <t>La Cieneguita</t>
  </si>
  <si>
    <t>Posadas</t>
  </si>
  <si>
    <t>Neuquén</t>
  </si>
  <si>
    <t>Bariloche</t>
  </si>
  <si>
    <t>Villa Regina</t>
  </si>
  <si>
    <t>San Antonio Oeste</t>
  </si>
  <si>
    <t>Cachi</t>
  </si>
  <si>
    <t>San Cristobal</t>
  </si>
  <si>
    <t>Rufino</t>
  </si>
  <si>
    <t>La Banda</t>
  </si>
  <si>
    <t>Suncho Corral</t>
  </si>
  <si>
    <t>Monteros</t>
  </si>
  <si>
    <t>Famailla</t>
  </si>
  <si>
    <t>Tafi Viejo</t>
  </si>
  <si>
    <t>Ushuaia</t>
  </si>
  <si>
    <t>Ntra Sra del Rosario de Caa Cati</t>
  </si>
  <si>
    <t>Rodeo de La Cruz</t>
  </si>
  <si>
    <t>Amaicha del Valle</t>
  </si>
  <si>
    <t>San Nicolas de los Arroyos</t>
  </si>
  <si>
    <t>Capitan Sarmiento</t>
  </si>
  <si>
    <t>Glew</t>
  </si>
  <si>
    <t>Florida</t>
  </si>
  <si>
    <t>Adrogué</t>
  </si>
  <si>
    <t>Isidro Casanova</t>
  </si>
  <si>
    <t>Gonzalez Catan</t>
  </si>
  <si>
    <t>Miraflores</t>
  </si>
  <si>
    <t>Saujil</t>
  </si>
  <si>
    <t>Villa Santa Rosa</t>
  </si>
  <si>
    <t>Estación Juárez Celman</t>
  </si>
  <si>
    <t>Itatí</t>
  </si>
  <si>
    <t>La Paz</t>
  </si>
  <si>
    <t>Chacras de Coria</t>
  </si>
  <si>
    <t>Las Catitas</t>
  </si>
  <si>
    <t>Leandro N. Alem</t>
  </si>
  <si>
    <t>Cinco Saltos</t>
  </si>
  <si>
    <t>San Miguel de Tucuman</t>
  </si>
  <si>
    <t>La Ramada de Arriba</t>
  </si>
  <si>
    <t>Catamarca</t>
  </si>
  <si>
    <t>Chaco</t>
  </si>
  <si>
    <t>Misiones</t>
  </si>
  <si>
    <t>Instituto de Educación Superior de Formación Docente Nº 6015</t>
  </si>
  <si>
    <t>Tucumán</t>
  </si>
  <si>
    <t>Tierra del Fuego</t>
  </si>
  <si>
    <t>institutosuperiorgottau@gmail.com</t>
  </si>
  <si>
    <t>Instituto de Educación Superior (I.E.S.) Instituto Superior Monseñor Jorge Gottau</t>
  </si>
  <si>
    <t>Moreno (sur) 746</t>
  </si>
  <si>
    <t>385 6007889</t>
  </si>
  <si>
    <t>María Laura Yedro</t>
  </si>
  <si>
    <t>385 593-3353</t>
  </si>
  <si>
    <t>mehoyos@instituto-gottau.edu.ar</t>
  </si>
  <si>
    <t>Rita Beatriz Chavez</t>
  </si>
  <si>
    <t>385 4138374</t>
  </si>
  <si>
    <t>chavezrita176@gmail.com</t>
  </si>
  <si>
    <t>Escuela de Enfermería y Especialidades Paramédicas Cruz Roja Argentina - Filial Lomas de Zamora</t>
  </si>
  <si>
    <t>A. Saenz 749</t>
  </si>
  <si>
    <t>Furnó Jorge O</t>
  </si>
  <si>
    <t>Bazoalto Esther Carmen</t>
  </si>
  <si>
    <t>Lunes a Viernes de 7:30 a 13:30 hs</t>
  </si>
  <si>
    <t>General Pueyrredon</t>
  </si>
  <si>
    <t>Punta Indio</t>
  </si>
  <si>
    <t>General Viamonte</t>
  </si>
  <si>
    <t>Gral. Juan Madariaga</t>
  </si>
  <si>
    <t xml:space="preserve">General Las Heras </t>
  </si>
  <si>
    <t>Puan</t>
  </si>
  <si>
    <t>La Costa</t>
  </si>
  <si>
    <t>Capitán Sarmiento</t>
  </si>
  <si>
    <t>Mar Chiquita</t>
  </si>
  <si>
    <t>La Matanza</t>
  </si>
  <si>
    <t>Almirante Brown</t>
  </si>
  <si>
    <t>Vicente López</t>
  </si>
  <si>
    <t>Salliquelo</t>
  </si>
  <si>
    <t>General Alvarado</t>
  </si>
  <si>
    <t>Bahía Blanca</t>
  </si>
  <si>
    <t>Florentino Ameghino</t>
  </si>
  <si>
    <t xml:space="preserve">  La Plata</t>
  </si>
  <si>
    <t>Presidente Péron</t>
  </si>
  <si>
    <t xml:space="preserve">La Paz </t>
  </si>
  <si>
    <t xml:space="preserve">Andalgalá </t>
  </si>
  <si>
    <t>Capayán</t>
  </si>
  <si>
    <t>Pomán</t>
  </si>
  <si>
    <t>Valle Viejo</t>
  </si>
  <si>
    <t>Punilla</t>
  </si>
  <si>
    <t>Unión</t>
  </si>
  <si>
    <t>Rio Primero</t>
  </si>
  <si>
    <t>Río II</t>
  </si>
  <si>
    <t>Juárez Celman</t>
  </si>
  <si>
    <t>San Javier</t>
  </si>
  <si>
    <t>Rio Segundo</t>
  </si>
  <si>
    <t>Tercero Arriba</t>
  </si>
  <si>
    <t>Ischilín</t>
  </si>
  <si>
    <t>Calamuchita</t>
  </si>
  <si>
    <t>Sobremonte</t>
  </si>
  <si>
    <t xml:space="preserve">Curuzú Cuatiá </t>
  </si>
  <si>
    <t>Comandante Fernández</t>
  </si>
  <si>
    <t>Libertador General de San Martín</t>
  </si>
  <si>
    <t>Mayor Jorge Luis Fontana</t>
  </si>
  <si>
    <t>General Güemes</t>
  </si>
  <si>
    <t>Libertad</t>
  </si>
  <si>
    <t>Bermejo</t>
  </si>
  <si>
    <t>Sargento Cabral</t>
  </si>
  <si>
    <t>Paraná</t>
  </si>
  <si>
    <t>Islas del Ibicuy</t>
  </si>
  <si>
    <t xml:space="preserve">Feliciano </t>
  </si>
  <si>
    <t>Tala</t>
  </si>
  <si>
    <t>Nogoyá</t>
  </si>
  <si>
    <t>Ledesma</t>
  </si>
  <si>
    <t>Cochinoca</t>
  </si>
  <si>
    <t>Yavi</t>
  </si>
  <si>
    <t>San Carlos</t>
  </si>
  <si>
    <t>Guaymallén</t>
  </si>
  <si>
    <t>Luján de Cuyo</t>
  </si>
  <si>
    <t>Santa Rosa</t>
  </si>
  <si>
    <t>Las Heras</t>
  </si>
  <si>
    <t xml:space="preserve">Leando N. Alem </t>
  </si>
  <si>
    <t xml:space="preserve">Confluencia </t>
  </si>
  <si>
    <t>San Antonio</t>
  </si>
  <si>
    <t>General José de San Martín</t>
  </si>
  <si>
    <t>Iriondo</t>
  </si>
  <si>
    <t>Gral. Obligado</t>
  </si>
  <si>
    <t>Las Colonias</t>
  </si>
  <si>
    <t>San Cristóbal</t>
  </si>
  <si>
    <t>Nueve de julio</t>
  </si>
  <si>
    <t>General López</t>
  </si>
  <si>
    <t>Castellanos</t>
  </si>
  <si>
    <t>Caseros</t>
  </si>
  <si>
    <t>General Obligado</t>
  </si>
  <si>
    <t>Banda</t>
  </si>
  <si>
    <t>Juan Felipe Ibarra</t>
  </si>
  <si>
    <t>Chicligasta</t>
  </si>
  <si>
    <t xml:space="preserve">Monteros </t>
  </si>
  <si>
    <t>Cruz Alta</t>
  </si>
  <si>
    <t xml:space="preserve">Burruyacú </t>
  </si>
  <si>
    <t xml:space="preserve">Cruz Alta </t>
  </si>
  <si>
    <t>Tafí del Valle</t>
  </si>
  <si>
    <t>Leales</t>
  </si>
  <si>
    <t>Lules</t>
  </si>
  <si>
    <t xml:space="preserve">Rio Grande </t>
  </si>
  <si>
    <t>Juan Francisco Borges</t>
  </si>
  <si>
    <t>Federación</t>
  </si>
  <si>
    <t>INSTITUTO DE EDUCACIÓN SUPERIOR Nº 11</t>
  </si>
  <si>
    <t>Instituto de Educación Superior N° 10</t>
  </si>
  <si>
    <t>Base de datos 2025</t>
  </si>
  <si>
    <t>3777 41-3809</t>
  </si>
  <si>
    <t xml:space="preserve"> 11 3770-7534</t>
  </si>
  <si>
    <t>0299-5247463</t>
  </si>
  <si>
    <t>isfdc1gottau@hotmail.com</t>
  </si>
  <si>
    <t>Instituto de Educación Superior de Formación Docente N° 01 ISFDC MJ Gottau</t>
  </si>
  <si>
    <t>añatuya</t>
  </si>
  <si>
    <t>JOSE M. ESTRADA S/N</t>
  </si>
  <si>
    <t>navarro_mercedes01@hotmail.com</t>
  </si>
  <si>
    <t>DALIA BEATRIZ CUART</t>
  </si>
  <si>
    <t>bettinacuart@hotmail.com</t>
  </si>
  <si>
    <t>MARIA MERCEDES NAVARRO POGONZA</t>
  </si>
  <si>
    <t>navarro_mercedes01@otmail.com</t>
  </si>
  <si>
    <t>Lunes a viernes 18:30-23:40 HR</t>
  </si>
  <si>
    <t>normalfrias@gmail.com</t>
  </si>
  <si>
    <t>Escuela Normal Superior República del Ecuador</t>
  </si>
  <si>
    <t>FRIAS</t>
  </si>
  <si>
    <t>Catamarca 490</t>
  </si>
  <si>
    <t>Laura Mónica Rojas</t>
  </si>
  <si>
    <t>monicanormalsuperior@gmail.com</t>
  </si>
  <si>
    <t>Cinthia Aricel Vildoza</t>
  </si>
  <si>
    <t>cinthiaaricel@gmail.com</t>
  </si>
  <si>
    <t>Autoridad de carrera: Lunes, Miércoles y Jueves, de 19:00 a 22:30; Martes de 19:00 a 23:50 - Horario de carrera: Lunes a Viernes, de 19:00 a 23:50</t>
  </si>
  <si>
    <t>Añatuya</t>
  </si>
  <si>
    <t>Frias</t>
  </si>
  <si>
    <t>General Taboada</t>
  </si>
  <si>
    <t>Choya</t>
  </si>
  <si>
    <t>stellaazul0025@gmail.com</t>
  </si>
  <si>
    <t>Inst. Sup. de Formación y Capacitacion Doctor Ramón Carrillo - Anexo Tartagal</t>
  </si>
  <si>
    <t>salta</t>
  </si>
  <si>
    <t>Coronel Vid nª 32</t>
  </si>
  <si>
    <t>Azucena Aguilar</t>
  </si>
  <si>
    <t>Maria Delicia Alvarez</t>
  </si>
  <si>
    <t>mariadelicialvarez427@gmail.com</t>
  </si>
  <si>
    <t>17 hs a 22 hs</t>
  </si>
  <si>
    <t>Inst. Sup. de Formación y Capacitación Doctor Ramón Carrillo - Anexo Rosario de Lerma</t>
  </si>
  <si>
    <t>Rosario de Lerma</t>
  </si>
  <si>
    <t>Vicente Torino Nª4394</t>
  </si>
  <si>
    <t>rios.felixf56@gmail.com</t>
  </si>
  <si>
    <t>Felix Rios</t>
  </si>
  <si>
    <t>19hs a 23:30 hs</t>
  </si>
  <si>
    <t>Inst. Sup. de Formación y Capacitación Doctor Ramón Carrillo - Anexo Oran</t>
  </si>
  <si>
    <t>Oran</t>
  </si>
  <si>
    <t>Belgrano Nª 31</t>
  </si>
  <si>
    <t>Victoria Romero</t>
  </si>
  <si>
    <t>institutocarrillooran@gmail.com</t>
  </si>
  <si>
    <t>17:00 hs a 22:00 hs</t>
  </si>
  <si>
    <t>Inst. Sup. de Formación y Capacitación Doctor Ramón Carrillo - Anexo Gral. Güemes</t>
  </si>
  <si>
    <t>Anta</t>
  </si>
  <si>
    <t>1 de Mayo 843</t>
  </si>
  <si>
    <t>Noemi Paz</t>
  </si>
  <si>
    <t>institutocarrillo@gmail.com</t>
  </si>
  <si>
    <t>19:00 a 23:45 hs</t>
  </si>
  <si>
    <t>Corrientes 1224</t>
  </si>
  <si>
    <t>Miran Temer</t>
  </si>
  <si>
    <t>19:00 hs a 23:45</t>
  </si>
  <si>
    <t>Inst. Sup. de Formación y Capacitación Doctor Ramón Carrillo - Anexo Joaquín V. González</t>
  </si>
  <si>
    <t>1ª de Mayo Nª 843</t>
  </si>
  <si>
    <t>19:00 hs a 23:30 hs</t>
  </si>
  <si>
    <t>Inst. Sup. de Formación y Capacitación Doctor Ramón Carrillo - Anexo El Carril</t>
  </si>
  <si>
    <t>chicoana</t>
  </si>
  <si>
    <t>usandivaras 4752</t>
  </si>
  <si>
    <t>Franco Tapia</t>
  </si>
  <si>
    <t>19:00 a 23:30 hs</t>
  </si>
  <si>
    <t>Inst. Sup. de Formación y Capacitación Doctor Ramón Carrillo - Anexo Rosario de la Frontera</t>
  </si>
  <si>
    <t>Rosario de la Frontera</t>
  </si>
  <si>
    <t>9 de Julio esquina Tucuman</t>
  </si>
  <si>
    <t>Mirta Orellana</t>
  </si>
  <si>
    <t>18:00 hs a 23:00 hs</t>
  </si>
  <si>
    <t>Tartagal</t>
  </si>
  <si>
    <t>Chicoana</t>
  </si>
  <si>
    <t>San Ramon de la Nueva Oran</t>
  </si>
  <si>
    <t>Coronel Vid N° 32</t>
  </si>
  <si>
    <t>Vicente Torino N° 4394</t>
  </si>
  <si>
    <t>Belgrano N° 31</t>
  </si>
  <si>
    <t>Joaquin V. Gonzalez</t>
  </si>
  <si>
    <t>El Carril</t>
  </si>
  <si>
    <t>Sarmeinto entre San Rafael y 1° de mayo</t>
  </si>
  <si>
    <t>#</t>
  </si>
  <si>
    <t>Chubut</t>
  </si>
  <si>
    <t>saragianardo@hotmail.com</t>
  </si>
  <si>
    <t>Inst. de Docencia, Investigación y Capacitación Laboral de la Sanidad Nº 1818</t>
  </si>
  <si>
    <t>Trelew</t>
  </si>
  <si>
    <t>Marconi 171 -Trelew (direccion Administrativa)</t>
  </si>
  <si>
    <t>Martha Bravo</t>
  </si>
  <si>
    <t>marthitabravo@gmail.com</t>
  </si>
  <si>
    <t>Sara Gianardo</t>
  </si>
  <si>
    <t>17,30 a 22hs</t>
  </si>
  <si>
    <t>Comodoro Rivadavia</t>
  </si>
  <si>
    <t>Aristobulo del Valle 1527- Comodoro Rivadavia</t>
  </si>
  <si>
    <t>297 4195595 - 2975371048</t>
  </si>
  <si>
    <t>Martha Beatriz Bravo</t>
  </si>
  <si>
    <t>Antonia Valdez</t>
  </si>
  <si>
    <t>17.30 a 22</t>
  </si>
  <si>
    <t>Rawson</t>
  </si>
  <si>
    <t>Escalante</t>
  </si>
  <si>
    <t>Escuela Municipal de Enfermería e Instrumentación Quirúrgica María Eva Duarte de Perón</t>
  </si>
  <si>
    <t>Instituto Superior Nº 8693 Establecimiento Profesional de la Salud</t>
  </si>
  <si>
    <t>Instituto de Educación Superior de Formación Docente Dr. J. Alfredo Ferreira</t>
  </si>
  <si>
    <t>Mariano Acosta 2920</t>
  </si>
  <si>
    <t>ylerman@institutotezza.edu.ar</t>
  </si>
  <si>
    <t xml:space="preserve">Instituto Superior de Formación Técnica (I.S.F.T.) Nº 6389 Escuela Municipal de Enfermería Evita </t>
  </si>
  <si>
    <t>República de Portugal 2828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</si>
</sst>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Aptos Narrow"/>
      <family val="2"/>
      <scheme val="minor"/>
    </font>
    <font>
      <sz val="10"/>
      <name val="Arial"/>
      <family val="2"/>
    </font>
    <font>
      <sz val="11"/>
      <name val="Arial"/>
      <family val="2"/>
    </font>
    <font>
      <sz val="11"/>
      <name val="Aptos Narrow"/>
      <family val="2"/>
      <scheme val="minor"/>
    </font>
    <font>
      <u/>
      <sz val="11"/>
      <color theme="10"/>
      <name val="Aptos Narrow"/>
      <family val="2"/>
      <scheme val="minor"/>
    </font>
    <font>
      <sz val="11"/>
      <color rgb="FFFF0000"/>
      <name val="Aptos Narrow"/>
      <family val="2"/>
      <scheme val="minor"/>
    </font>
    <font>
      <b/>
      <sz val="11"/>
      <color theme="1"/>
      <name val="Aptos Narrow"/>
      <family val="2"/>
      <scheme val="minor"/>
    </font>
    <font>
      <sz val="11"/>
      <color rgb="FF000000"/>
      <name val="Arial"/>
      <family val="2"/>
    </font>
    <font>
      <sz val="11"/>
      <color rgb="FF000000"/>
      <name val="Calibri"/>
      <family val="2"/>
    </font>
    <font>
      <b/>
      <sz val="11"/>
      <color rgb="FF000000"/>
      <name val="Arial"/>
      <family val="2"/>
    </font>
    <font>
      <b/>
      <sz val="11"/>
      <color rgb="FF000000"/>
      <name val="Calibri"/>
      <family val="2"/>
    </font>
    <font>
      <b/>
      <sz val="12"/>
      <color rgb="FF000000"/>
      <name val="Calibri"/>
      <family val="2"/>
    </font>
    <font>
      <sz val="10"/>
      <color rgb="FF000000"/>
      <name val="Arial"/>
      <family val="2"/>
    </font>
    <font>
      <u/>
      <sz val="10"/>
      <color rgb="FF0563C1"/>
      <name val="Arial"/>
      <family val="2"/>
    </font>
    <font>
      <sz val="11"/>
      <color theme="1"/>
      <name val="Calibri"/>
      <family val="2"/>
    </font>
    <font>
      <u/>
      <sz val="10"/>
      <color rgb="FF0000FF"/>
      <name val="Arial"/>
      <family val="2"/>
    </font>
    <font>
      <u/>
      <sz val="11"/>
      <color rgb="FF0563C1"/>
      <name val="Calibri"/>
      <family val="2"/>
    </font>
    <font>
      <b/>
      <sz val="9"/>
      <color indexed="81"/>
      <name val="Tahoma"/>
      <family val="2"/>
    </font>
    <font>
      <sz val="9"/>
      <color indexed="81"/>
      <name val="Tahoma"/>
      <family val="2"/>
    </font>
    <font>
      <b/>
      <sz val="11"/>
      <color rgb="FFFF0000"/>
      <name val="Aptos Narrow"/>
      <family val="2"/>
      <scheme val="minor"/>
    </font>
    <font>
      <sz val="10"/>
      <color rgb="FF000000"/>
      <name val="Aptos Narrow"/>
      <family val="2"/>
      <scheme val="minor"/>
    </font>
    <font>
      <sz val="8"/>
      <name val="Aptos Narrow"/>
      <family val="2"/>
      <scheme val="minor"/>
    </font>
    <font>
      <b/>
      <sz val="20"/>
      <color theme="1"/>
      <name val="Aptos Narrow"/>
      <family val="2"/>
      <scheme val="minor"/>
    </font>
    <font>
      <b/>
      <sz val="11"/>
      <name val="Arial"/>
      <family val="2"/>
    </font>
    <font>
      <sz val="9"/>
      <color indexed="81"/>
      <name val="Tahoma"/>
      <charset val="1"/>
    </font>
    <font>
      <b/>
      <sz val="9"/>
      <color indexed="81"/>
      <name val="Tahoma"/>
      <charset val="1"/>
    </font>
  </fonts>
  <fills count="14">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rgb="FF8EAADB"/>
        <bgColor rgb="FF8EAADB"/>
      </patternFill>
    </fill>
    <fill>
      <patternFill patternType="solid">
        <fgColor rgb="FFC8C8C8"/>
        <bgColor rgb="FFC8C8C8"/>
      </patternFill>
    </fill>
    <fill>
      <patternFill patternType="solid">
        <fgColor rgb="FFFFE598"/>
        <bgColor rgb="FFFFE598"/>
      </patternFill>
    </fill>
    <fill>
      <patternFill patternType="solid">
        <fgColor rgb="FFC5E0B3"/>
        <bgColor rgb="FFC5E0B3"/>
      </patternFill>
    </fill>
    <fill>
      <patternFill patternType="solid">
        <fgColor rgb="FFBDD6EE"/>
        <bgColor rgb="FFBDD6EE"/>
      </patternFill>
    </fill>
    <fill>
      <patternFill patternType="solid">
        <fgColor rgb="FFEAD1DC"/>
        <bgColor rgb="FFEAD1DC"/>
      </patternFill>
    </fill>
    <fill>
      <patternFill patternType="solid">
        <fgColor rgb="FFFFC000"/>
        <bgColor rgb="FFFFC000"/>
      </patternFill>
    </fill>
    <fill>
      <patternFill patternType="solid">
        <fgColor rgb="FFFFFF00"/>
        <bgColor rgb="FFFFFF00"/>
      </patternFill>
    </fill>
    <fill>
      <patternFill patternType="solid">
        <fgColor rgb="FF62EAFC"/>
        <bgColor rgb="FF62EAFC"/>
      </patternFill>
    </fill>
    <fill>
      <patternFill patternType="solid">
        <fgColor rgb="FFFFFFFF"/>
        <bgColor rgb="FFFFFFFF"/>
      </patternFill>
    </fill>
  </fills>
  <borders count="7">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6">
    <xf numFmtId="0" fontId="0" fillId="0" borderId="0"/>
    <xf numFmtId="0" fontId="4" fillId="0" borderId="0" applyNumberFormat="0" applyFill="0" applyBorder="0" applyAlignment="0" applyProtection="0"/>
    <xf numFmtId="0" fontId="8" fillId="0" borderId="0"/>
    <xf numFmtId="9" fontId="8" fillId="0" borderId="0" applyFont="0" applyFill="0" applyBorder="0" applyAlignment="0" applyProtection="0"/>
    <xf numFmtId="0" fontId="8" fillId="0" borderId="0"/>
    <xf numFmtId="0" fontId="20" fillId="0" borderId="0"/>
  </cellStyleXfs>
  <cellXfs count="111">
    <xf numFmtId="0" fontId="0" fillId="0" borderId="0" xfId="0"/>
    <xf numFmtId="0" fontId="1" fillId="0" borderId="0" xfId="0" applyFont="1" applyAlignment="1">
      <alignment vertical="center"/>
    </xf>
    <xf numFmtId="0" fontId="1" fillId="0" borderId="0" xfId="0" quotePrefix="1" applyFont="1" applyAlignment="1">
      <alignment vertical="center"/>
    </xf>
    <xf numFmtId="3" fontId="1" fillId="0" borderId="0" xfId="0" applyNumberFormat="1" applyFont="1" applyAlignment="1">
      <alignment vertical="center"/>
    </xf>
    <xf numFmtId="0" fontId="4" fillId="0" borderId="0" xfId="1" applyAlignment="1">
      <alignment vertical="center"/>
    </xf>
    <xf numFmtId="3" fontId="0" fillId="0" borderId="0" xfId="0" applyNumberFormat="1"/>
    <xf numFmtId="22" fontId="0" fillId="0" borderId="0" xfId="0" applyNumberFormat="1"/>
    <xf numFmtId="0" fontId="0" fillId="0" borderId="0" xfId="0" applyAlignment="1">
      <alignment wrapText="1"/>
    </xf>
    <xf numFmtId="2" fontId="7" fillId="2" borderId="2" xfId="2" applyNumberFormat="1" applyFont="1" applyFill="1" applyBorder="1" applyAlignment="1">
      <alignment horizontal="center" vertical="center" wrapText="1"/>
    </xf>
    <xf numFmtId="0" fontId="9" fillId="2" borderId="2" xfId="2" applyFont="1" applyFill="1" applyBorder="1" applyAlignment="1">
      <alignment horizontal="center" vertical="center" wrapText="1"/>
    </xf>
    <xf numFmtId="49" fontId="9" fillId="2" borderId="2" xfId="2" applyNumberFormat="1" applyFont="1" applyFill="1" applyBorder="1" applyAlignment="1">
      <alignment horizontal="center" vertical="center" wrapText="1"/>
    </xf>
    <xf numFmtId="0" fontId="10" fillId="2" borderId="2" xfId="2" applyFont="1" applyFill="1" applyBorder="1" applyAlignment="1">
      <alignment horizontal="center" vertical="center" wrapText="1"/>
    </xf>
    <xf numFmtId="2" fontId="9" fillId="2" borderId="2" xfId="2" applyNumberFormat="1" applyFont="1" applyFill="1" applyBorder="1" applyAlignment="1">
      <alignment horizontal="center" vertical="center" wrapText="1"/>
    </xf>
    <xf numFmtId="0" fontId="10" fillId="4" borderId="2" xfId="2" applyFont="1" applyFill="1" applyBorder="1" applyAlignment="1">
      <alignment horizontal="center" vertical="center" wrapText="1"/>
    </xf>
    <xf numFmtId="0" fontId="10" fillId="5" borderId="2" xfId="2" applyFont="1" applyFill="1" applyBorder="1" applyAlignment="1">
      <alignment horizontal="center" vertical="center" wrapText="1"/>
    </xf>
    <xf numFmtId="0" fontId="10" fillId="6" borderId="2" xfId="2" applyFont="1" applyFill="1" applyBorder="1" applyAlignment="1">
      <alignment horizontal="center" vertical="center" wrapText="1"/>
    </xf>
    <xf numFmtId="0" fontId="10" fillId="7" borderId="2" xfId="2" applyFont="1" applyFill="1" applyBorder="1" applyAlignment="1">
      <alignment horizontal="center" vertical="center" wrapText="1"/>
    </xf>
    <xf numFmtId="0" fontId="10" fillId="7" borderId="3" xfId="2" applyFont="1" applyFill="1" applyBorder="1" applyAlignment="1">
      <alignment horizontal="center" vertical="center" wrapText="1"/>
    </xf>
    <xf numFmtId="0" fontId="10" fillId="8" borderId="2" xfId="2" applyFont="1" applyFill="1" applyBorder="1" applyAlignment="1">
      <alignment horizontal="center" vertical="center" wrapText="1"/>
    </xf>
    <xf numFmtId="0" fontId="10" fillId="9" borderId="3" xfId="2" applyFont="1" applyFill="1" applyBorder="1" applyAlignment="1">
      <alignment horizontal="center" vertical="center" wrapText="1"/>
    </xf>
    <xf numFmtId="0" fontId="10" fillId="7" borderId="4" xfId="2" applyFont="1" applyFill="1" applyBorder="1" applyAlignment="1">
      <alignment horizontal="center" vertical="center" wrapText="1"/>
    </xf>
    <xf numFmtId="0" fontId="10" fillId="10" borderId="4" xfId="2" applyFont="1" applyFill="1" applyBorder="1" applyAlignment="1">
      <alignment horizontal="center" vertical="center" wrapText="1"/>
    </xf>
    <xf numFmtId="0" fontId="11" fillId="11" borderId="4" xfId="2" applyFont="1" applyFill="1" applyBorder="1" applyAlignment="1">
      <alignment horizontal="center" vertical="center"/>
    </xf>
    <xf numFmtId="0" fontId="8" fillId="0" borderId="0" xfId="2"/>
    <xf numFmtId="0" fontId="14" fillId="0" borderId="0" xfId="2" applyFont="1"/>
    <xf numFmtId="0" fontId="14" fillId="9" borderId="0" xfId="2" applyFont="1" applyFill="1"/>
    <xf numFmtId="164" fontId="8" fillId="0" borderId="0" xfId="2" applyNumberFormat="1"/>
    <xf numFmtId="0" fontId="7" fillId="0" borderId="0" xfId="2" applyFont="1" applyAlignment="1">
      <alignment vertical="center"/>
    </xf>
    <xf numFmtId="0" fontId="8" fillId="0" borderId="0" xfId="2" applyAlignment="1">
      <alignment vertical="center"/>
    </xf>
    <xf numFmtId="0" fontId="0" fillId="0" borderId="0" xfId="0" applyAlignment="1">
      <alignment vertical="center" wrapText="1"/>
    </xf>
    <xf numFmtId="0" fontId="0" fillId="0" borderId="0" xfId="0" applyAlignment="1">
      <alignment vertical="center"/>
    </xf>
    <xf numFmtId="49" fontId="12" fillId="0" borderId="0" xfId="2" applyNumberFormat="1" applyFont="1" applyAlignment="1">
      <alignment horizontal="center" vertical="center" wrapText="1"/>
    </xf>
    <xf numFmtId="0" fontId="0" fillId="0" borderId="4" xfId="0" applyBorder="1" applyAlignment="1">
      <alignment vertical="center" wrapText="1"/>
    </xf>
    <xf numFmtId="0" fontId="12" fillId="0" borderId="0" xfId="2" applyFont="1" applyAlignment="1">
      <alignment horizontal="left" vertical="center" wrapText="1"/>
    </xf>
    <xf numFmtId="0" fontId="0" fillId="0" borderId="6" xfId="0" applyBorder="1" applyAlignment="1">
      <alignment vertical="center" wrapText="1"/>
    </xf>
    <xf numFmtId="0" fontId="12" fillId="0" borderId="0" xfId="2" applyFont="1" applyAlignment="1">
      <alignment horizontal="center" vertical="center" wrapText="1"/>
    </xf>
    <xf numFmtId="0" fontId="12" fillId="0" borderId="0" xfId="2" applyFont="1" applyAlignment="1">
      <alignment horizontal="center" vertical="center"/>
    </xf>
    <xf numFmtId="0" fontId="15" fillId="0" borderId="0" xfId="2" applyFont="1" applyAlignment="1">
      <alignment horizontal="center" vertical="center"/>
    </xf>
    <xf numFmtId="0" fontId="12" fillId="13" borderId="0" xfId="2" applyFont="1" applyFill="1" applyAlignment="1">
      <alignment horizontal="center" vertical="center"/>
    </xf>
    <xf numFmtId="0" fontId="0" fillId="0" borderId="5" xfId="0" applyBorder="1" applyAlignment="1">
      <alignment vertical="center" wrapText="1"/>
    </xf>
    <xf numFmtId="49" fontId="12" fillId="0" borderId="0" xfId="2" applyNumberFormat="1" applyFont="1" applyAlignment="1">
      <alignment horizontal="left" vertical="center" wrapText="1"/>
    </xf>
    <xf numFmtId="0" fontId="16" fillId="0" borderId="0" xfId="2" applyFont="1" applyAlignment="1">
      <alignment horizontal="center" vertical="center" wrapText="1"/>
    </xf>
    <xf numFmtId="0" fontId="8" fillId="0" borderId="0" xfId="2" applyAlignment="1">
      <alignment vertical="center" wrapText="1"/>
    </xf>
    <xf numFmtId="0" fontId="8" fillId="0" borderId="0" xfId="4" applyAlignment="1">
      <alignment vertical="center"/>
    </xf>
    <xf numFmtId="0" fontId="14" fillId="0" borderId="0" xfId="4" applyFont="1"/>
    <xf numFmtId="0" fontId="14" fillId="9" borderId="0" xfId="4" applyFont="1" applyFill="1"/>
    <xf numFmtId="164" fontId="8" fillId="0" borderId="0" xfId="4" applyNumberFormat="1"/>
    <xf numFmtId="0" fontId="7" fillId="0" borderId="0" xfId="4" applyFont="1" applyAlignment="1">
      <alignment vertical="center"/>
    </xf>
    <xf numFmtId="0" fontId="8" fillId="0" borderId="0" xfId="4"/>
    <xf numFmtId="2" fontId="8" fillId="0" borderId="0" xfId="4" applyNumberFormat="1"/>
    <xf numFmtId="49" fontId="0" fillId="0" borderId="0" xfId="0" applyNumberFormat="1" applyAlignment="1">
      <alignment vertical="center"/>
    </xf>
    <xf numFmtId="0" fontId="0" fillId="0" borderId="4" xfId="0" applyBorder="1" applyAlignment="1">
      <alignment vertical="center"/>
    </xf>
    <xf numFmtId="0" fontId="13" fillId="0" borderId="0" xfId="2" applyFont="1" applyAlignment="1">
      <alignment horizontal="center" vertical="center" wrapText="1"/>
    </xf>
    <xf numFmtId="0" fontId="0" fillId="0" borderId="5" xfId="0" applyBorder="1" applyAlignment="1">
      <alignment vertical="center"/>
    </xf>
    <xf numFmtId="0" fontId="8" fillId="0" borderId="0" xfId="2" applyAlignment="1">
      <alignment horizontal="left" vertical="center"/>
    </xf>
    <xf numFmtId="1" fontId="0" fillId="0" borderId="0" xfId="0" applyNumberFormat="1" applyAlignment="1">
      <alignment horizontal="right" vertical="center" wrapText="1"/>
    </xf>
    <xf numFmtId="49" fontId="0" fillId="0" borderId="0" xfId="0" applyNumberFormat="1" applyAlignment="1">
      <alignment horizontal="right" vertical="center" wrapText="1"/>
    </xf>
    <xf numFmtId="49" fontId="12" fillId="0" borderId="0" xfId="4" applyNumberFormat="1" applyFont="1" applyAlignment="1">
      <alignment horizontal="center" vertical="center" wrapText="1"/>
    </xf>
    <xf numFmtId="0" fontId="12" fillId="0" borderId="0" xfId="4" applyFont="1" applyAlignment="1">
      <alignment horizontal="left" vertical="center" wrapText="1"/>
    </xf>
    <xf numFmtId="0" fontId="12" fillId="0" borderId="0" xfId="4" applyFont="1" applyAlignment="1">
      <alignment horizontal="center" vertical="center"/>
    </xf>
    <xf numFmtId="0" fontId="12" fillId="0" borderId="0" xfId="4" applyFont="1" applyAlignment="1">
      <alignment horizontal="center" vertical="center" wrapText="1"/>
    </xf>
    <xf numFmtId="0" fontId="0" fillId="0" borderId="6" xfId="0" applyBorder="1" applyAlignment="1">
      <alignment vertical="center"/>
    </xf>
    <xf numFmtId="0" fontId="13" fillId="0" borderId="0" xfId="4" applyFont="1" applyAlignment="1">
      <alignment horizontal="center" vertical="center" wrapText="1"/>
    </xf>
    <xf numFmtId="0" fontId="8" fillId="0" borderId="0" xfId="4" applyAlignment="1">
      <alignment horizontal="left" vertical="center"/>
    </xf>
    <xf numFmtId="0" fontId="16" fillId="0" borderId="0" xfId="4" applyFont="1" applyAlignment="1">
      <alignment vertical="center"/>
    </xf>
    <xf numFmtId="0" fontId="8" fillId="0" borderId="0" xfId="4" applyAlignment="1">
      <alignment vertical="center" wrapText="1"/>
    </xf>
    <xf numFmtId="0" fontId="9" fillId="2" borderId="1" xfId="2" applyFont="1" applyFill="1" applyBorder="1" applyAlignment="1">
      <alignment horizontal="right" vertical="center" wrapText="1"/>
    </xf>
    <xf numFmtId="1" fontId="0" fillId="0" borderId="4" xfId="0" applyNumberFormat="1" applyBorder="1" applyAlignment="1">
      <alignment horizontal="right" vertical="center" wrapText="1"/>
    </xf>
    <xf numFmtId="49" fontId="0" fillId="0" borderId="4" xfId="0" applyNumberFormat="1" applyBorder="1" applyAlignment="1">
      <alignment horizontal="right" vertical="center"/>
    </xf>
    <xf numFmtId="49" fontId="0" fillId="0" borderId="4" xfId="0" applyNumberFormat="1" applyBorder="1" applyAlignment="1">
      <alignment horizontal="right" vertical="center" wrapText="1"/>
    </xf>
    <xf numFmtId="49" fontId="12" fillId="12" borderId="0" xfId="4" applyNumberFormat="1" applyFont="1" applyFill="1" applyAlignment="1">
      <alignment horizontal="right" vertical="center" wrapText="1"/>
    </xf>
    <xf numFmtId="49" fontId="12" fillId="0" borderId="0" xfId="2" applyNumberFormat="1" applyFont="1" applyAlignment="1">
      <alignment horizontal="right" vertical="center" wrapText="1"/>
    </xf>
    <xf numFmtId="0" fontId="12" fillId="12" borderId="0" xfId="2" applyFont="1" applyFill="1" applyAlignment="1">
      <alignment horizontal="right" vertical="center" wrapText="1"/>
    </xf>
    <xf numFmtId="1" fontId="0" fillId="0" borderId="0" xfId="0" applyNumberFormat="1" applyAlignment="1">
      <alignment horizontal="right" vertical="center"/>
    </xf>
    <xf numFmtId="0" fontId="8" fillId="0" borderId="0" xfId="2" applyAlignment="1">
      <alignment horizontal="right"/>
    </xf>
    <xf numFmtId="0" fontId="6" fillId="3" borderId="0" xfId="0" applyFont="1" applyFill="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right" vertical="center" wrapText="1"/>
    </xf>
    <xf numFmtId="0" fontId="6" fillId="3" borderId="0" xfId="0" applyFont="1" applyFill="1" applyAlignment="1">
      <alignment horizontal="right" vertical="center" wrapText="1"/>
    </xf>
    <xf numFmtId="0" fontId="3" fillId="0" borderId="0" xfId="0" applyFont="1" applyAlignment="1">
      <alignment horizontal="right" vertical="center" wrapText="1"/>
    </xf>
    <xf numFmtId="49" fontId="12" fillId="0" borderId="4" xfId="4" applyNumberFormat="1" applyFont="1" applyBorder="1" applyAlignment="1">
      <alignment horizontal="right" vertical="center" wrapText="1"/>
    </xf>
    <xf numFmtId="0" fontId="8" fillId="0" borderId="4" xfId="2" applyBorder="1" applyAlignment="1">
      <alignment horizontal="right"/>
    </xf>
    <xf numFmtId="0" fontId="12" fillId="0" borderId="4" xfId="4" applyFont="1" applyBorder="1" applyAlignment="1">
      <alignment horizontal="left" vertical="center" wrapText="1"/>
    </xf>
    <xf numFmtId="0" fontId="8" fillId="0" borderId="4" xfId="2" applyBorder="1"/>
    <xf numFmtId="0" fontId="12" fillId="0" borderId="6" xfId="4" applyFont="1" applyBorder="1" applyAlignment="1">
      <alignment horizontal="center" vertical="center"/>
    </xf>
    <xf numFmtId="0" fontId="8" fillId="0" borderId="6" xfId="2" applyBorder="1"/>
    <xf numFmtId="0" fontId="15" fillId="0" borderId="6" xfId="4" applyFont="1" applyBorder="1" applyAlignment="1">
      <alignment horizontal="center" vertical="center"/>
    </xf>
    <xf numFmtId="0" fontId="12" fillId="13" borderId="6" xfId="4" applyFont="1" applyFill="1" applyBorder="1" applyAlignment="1">
      <alignment horizontal="center" vertical="center"/>
    </xf>
    <xf numFmtId="49" fontId="12" fillId="0" borderId="5" xfId="4" applyNumberFormat="1" applyFont="1" applyBorder="1" applyAlignment="1">
      <alignment horizontal="left" vertical="center" wrapText="1"/>
    </xf>
    <xf numFmtId="0" fontId="8" fillId="0" borderId="5" xfId="2" applyBorder="1"/>
    <xf numFmtId="0" fontId="8" fillId="0" borderId="5" xfId="4" applyBorder="1" applyAlignment="1">
      <alignment vertical="center"/>
    </xf>
    <xf numFmtId="0" fontId="16" fillId="0" borderId="4" xfId="4" applyFont="1" applyBorder="1" applyAlignment="1">
      <alignment horizontal="center" vertical="center" wrapText="1"/>
    </xf>
    <xf numFmtId="0" fontId="8" fillId="0" borderId="4" xfId="4" applyBorder="1" applyAlignment="1">
      <alignment vertical="center"/>
    </xf>
    <xf numFmtId="0" fontId="8" fillId="0" borderId="4" xfId="4" applyBorder="1" applyAlignment="1">
      <alignment vertical="center" wrapText="1"/>
    </xf>
    <xf numFmtId="0" fontId="7" fillId="0" borderId="4" xfId="4" applyFont="1" applyBorder="1" applyAlignment="1">
      <alignment vertical="center"/>
    </xf>
    <xf numFmtId="0" fontId="12" fillId="0" borderId="4" xfId="4" applyFont="1" applyBorder="1" applyAlignment="1">
      <alignment horizontal="center" vertical="center" wrapText="1"/>
    </xf>
    <xf numFmtId="0" fontId="12" fillId="0" borderId="4" xfId="4" applyFont="1" applyBorder="1" applyAlignment="1">
      <alignment horizontal="center" vertical="center"/>
    </xf>
    <xf numFmtId="0" fontId="3" fillId="0" borderId="0" xfId="0" applyFont="1" applyAlignment="1">
      <alignment vertical="center"/>
    </xf>
    <xf numFmtId="0" fontId="5" fillId="0" borderId="0" xfId="0" applyFont="1"/>
    <xf numFmtId="0" fontId="19" fillId="3" borderId="0" xfId="0" applyFont="1" applyFill="1" applyAlignment="1">
      <alignment horizontal="center" vertical="center" wrapText="1"/>
    </xf>
    <xf numFmtId="0" fontId="2" fillId="0" borderId="0" xfId="0" applyFont="1" applyAlignment="1">
      <alignment vertical="center" wrapText="1"/>
    </xf>
    <xf numFmtId="0" fontId="22" fillId="0" borderId="0" xfId="0" applyFont="1" applyAlignment="1">
      <alignment horizontal="center"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horizontal="center" vertical="center" wrapText="1"/>
    </xf>
    <xf numFmtId="0" fontId="1" fillId="0" borderId="0" xfId="0" applyFont="1" applyAlignment="1">
      <alignment horizontal="center" vertical="center"/>
    </xf>
    <xf numFmtId="0" fontId="2" fillId="0" borderId="0" xfId="0" applyFont="1" applyAlignment="1">
      <alignment vertical="center"/>
    </xf>
    <xf numFmtId="0" fontId="23" fillId="0" borderId="0" xfId="0" applyFont="1" applyAlignment="1">
      <alignment horizontal="center" vertical="center"/>
    </xf>
    <xf numFmtId="0" fontId="2" fillId="0" borderId="0" xfId="0" applyFont="1" applyAlignment="1">
      <alignment horizontal="center" vertical="center"/>
    </xf>
    <xf numFmtId="3" fontId="0" fillId="0" borderId="0" xfId="0" applyNumberFormat="1" applyAlignment="1">
      <alignment vertical="center"/>
    </xf>
    <xf numFmtId="0" fontId="0" fillId="0" borderId="0" xfId="4" applyFont="1" applyAlignment="1">
      <alignment horizontal="right" vertical="center"/>
    </xf>
    <xf numFmtId="0" fontId="6" fillId="0" borderId="0" xfId="0" applyFont="1" applyAlignment="1">
      <alignment horizontal="center"/>
    </xf>
  </cellXfs>
  <cellStyles count="6">
    <cellStyle name="Hipervínculo" xfId="1" builtinId="8"/>
    <cellStyle name="Normal" xfId="0" builtinId="0"/>
    <cellStyle name="Normal 2" xfId="2" xr:uid="{B1647A9D-43E7-4912-9BD2-294092386153}"/>
    <cellStyle name="Normal 2 2" xfId="4" xr:uid="{67D167BD-E479-4EA1-BC85-06F8D2E79C84}"/>
    <cellStyle name="Normal 3" xfId="5" xr:uid="{BB9304EF-930F-43B5-846B-CC9A529FFADE}"/>
    <cellStyle name="Porcentaje 2" xfId="3" xr:uid="{5ACA660E-D7D8-4E0E-A4ED-03F2D7F9B8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externalLink" Target="externalLinks/externalLink1.xml" /><Relationship Id="rId4" Type="http://schemas.openxmlformats.org/officeDocument/2006/relationships/worksheet" Target="worksheets/sheet4.xml" /><Relationship Id="rId9" Type="http://schemas.openxmlformats.org/officeDocument/2006/relationships/calcChain" Target="calcChain.xml" /></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10.90.90.21/ui/PRONAFE/2.%20INSTITUCIONES/Base%20de%20datos/Bases%20viejas%20y%20respaldo/Base%20Institutos%20V2.2.xlsx" TargetMode="External" /><Relationship Id="rId1" Type="http://schemas.openxmlformats.org/officeDocument/2006/relationships/externalLinkPath" Target="Bases%20viejas%20y%20respaldo/Base%20Institutos%20V2.2.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itucionales"/>
      <sheetName val="AlumnosYDocentes"/>
      <sheetName val="Comentarios"/>
      <sheetName val="Insti_x_Provincias"/>
      <sheetName val="Control Faltas"/>
      <sheetName val="BAJAS"/>
      <sheetName val="Simuladores Entregados"/>
      <sheetName val="Hoja1"/>
    </sheetNames>
    <sheetDataSet>
      <sheetData sheetId="0">
        <row r="4">
          <cell r="B4">
            <v>20017500</v>
          </cell>
          <cell r="C4" t="str">
            <v>Instituto Privado N° A-914 Metropolitana de Altos Estudios</v>
          </cell>
          <cell r="D4" t="str">
            <v>CABA</v>
          </cell>
          <cell r="E4" t="str">
            <v>CABA</v>
          </cell>
          <cell r="F4" t="str">
            <v>CABA</v>
          </cell>
          <cell r="G4">
            <v>1194</v>
          </cell>
          <cell r="H4" t="str">
            <v>Privado</v>
          </cell>
          <cell r="I4" t="str">
            <v>Institución de ETP</v>
          </cell>
          <cell r="J4" t="str">
            <v>Av. Corrientes 3934</v>
          </cell>
          <cell r="K4" t="str">
            <v>11-4861-1899</v>
          </cell>
          <cell r="L4" t="str">
            <v>informes@emae.edu.ar</v>
          </cell>
          <cell r="M4" t="str">
            <v>Agustín Podestá</v>
          </cell>
          <cell r="N4" t="str">
            <v>Rector</v>
          </cell>
          <cell r="O4" t="str">
            <v>11-4861-1899</v>
          </cell>
          <cell r="P4" t="str">
            <v>apodesta@emae.edu.ar</v>
          </cell>
          <cell r="Q4" t="str">
            <v>Osvaldo Vivas</v>
          </cell>
          <cell r="R4" t="str">
            <v>Director de estudios</v>
          </cell>
          <cell r="S4" t="str">
            <v>11-49394498</v>
          </cell>
          <cell r="T4" t="str">
            <v>ovivas@emae.edu.ar</v>
          </cell>
          <cell r="U4">
            <v>2018</v>
          </cell>
          <cell r="V4" t="str">
            <v>-34.60316474896129, -58.42003427637213</v>
          </cell>
        </row>
        <row r="5">
          <cell r="B5">
            <v>20024000</v>
          </cell>
          <cell r="C5" t="str">
            <v>Instituto Superior de Enfermería Israelita A-839</v>
          </cell>
          <cell r="D5" t="str">
            <v>CABA</v>
          </cell>
          <cell r="E5" t="str">
            <v>CABA</v>
          </cell>
          <cell r="F5" t="str">
            <v>CABA</v>
          </cell>
          <cell r="G5">
            <v>1407</v>
          </cell>
          <cell r="H5" t="str">
            <v>Privado</v>
          </cell>
          <cell r="I5" t="str">
            <v>Institución de ETP</v>
          </cell>
          <cell r="J5" t="str">
            <v>Cnel. Ramón L. Falcón 4080</v>
          </cell>
          <cell r="K5" t="str">
            <v>4-6361737</v>
          </cell>
          <cell r="L5" t="str">
            <v>escenfisr@yahoo.com.ar</v>
          </cell>
          <cell r="M5" t="str">
            <v xml:space="preserve">Venuti, Maria del Carmen </v>
          </cell>
          <cell r="N5" t="str">
            <v>Rectora</v>
          </cell>
          <cell r="O5" t="str">
            <v>11-6361737</v>
          </cell>
          <cell r="P5" t="str">
            <v>mariavenu@yahoo.com.ar</v>
          </cell>
          <cell r="Q5" t="str">
            <v xml:space="preserve">PAPASEIT, Mariela Sofia </v>
          </cell>
          <cell r="R5" t="str">
            <v>Directora de Estudio</v>
          </cell>
          <cell r="S5" t="str">
            <v>11-65026310</v>
          </cell>
          <cell r="T5" t="str">
            <v>marielapapaseit@gmail.com</v>
          </cell>
          <cell r="U5">
            <v>2019</v>
          </cell>
          <cell r="V5" t="str">
            <v>-34.635706128567236, -58.48396297636916</v>
          </cell>
        </row>
        <row r="6">
          <cell r="B6">
            <v>20036600</v>
          </cell>
          <cell r="C6" t="str">
            <v>Instituto de Formación Técnica Superior (I.F.T.S.) Escuela Superior de Enfermería Cecilia Grierson</v>
          </cell>
          <cell r="D6" t="str">
            <v>CABA</v>
          </cell>
          <cell r="E6" t="str">
            <v>CABA</v>
          </cell>
          <cell r="F6" t="str">
            <v>CABA</v>
          </cell>
          <cell r="G6">
            <v>1405</v>
          </cell>
          <cell r="H6" t="str">
            <v>Estatal</v>
          </cell>
          <cell r="I6" t="str">
            <v>Institución de ETP</v>
          </cell>
          <cell r="J6" t="str">
            <v>Ambrosetti 601</v>
          </cell>
          <cell r="K6" t="str">
            <v>11-4982-2309</v>
          </cell>
          <cell r="L6" t="str">
            <v>dfts_ifts90_de7@bue.edu.ar</v>
          </cell>
          <cell r="M6" t="str">
            <v>Silvana Karina Moreira</v>
          </cell>
          <cell r="N6" t="str">
            <v>Rectora</v>
          </cell>
          <cell r="O6" t="str">
            <v>11-4982-2309</v>
          </cell>
          <cell r="P6" t="str">
            <v>silvanak.moreira@bue.edu.ar</v>
          </cell>
          <cell r="Q6">
            <v>0</v>
          </cell>
          <cell r="R6">
            <v>0</v>
          </cell>
          <cell r="S6" t="str">
            <v>-</v>
          </cell>
          <cell r="T6">
            <v>0</v>
          </cell>
          <cell r="U6">
            <v>2016</v>
          </cell>
          <cell r="V6" t="str">
            <v>-34.61156, -58.43782</v>
          </cell>
        </row>
        <row r="7">
          <cell r="B7">
            <v>20036601</v>
          </cell>
          <cell r="C7" t="str">
            <v>Escuela de Enfermería N° 90 Cecilia Grierson -Anexo Lugano</v>
          </cell>
          <cell r="D7" t="str">
            <v>CABA</v>
          </cell>
          <cell r="E7" t="str">
            <v>CABA</v>
          </cell>
          <cell r="F7" t="str">
            <v>CABA</v>
          </cell>
          <cell r="G7">
            <v>1439</v>
          </cell>
          <cell r="H7" t="str">
            <v>Estatal</v>
          </cell>
          <cell r="I7" t="str">
            <v>Institución de ETP</v>
          </cell>
          <cell r="J7" t="str">
            <v>Barros Pazos 5250</v>
          </cell>
          <cell r="K7" t="str">
            <v>11-4601-3127</v>
          </cell>
          <cell r="L7" t="str">
            <v>dfts_ifts90_de7@bue.edu.ar</v>
          </cell>
          <cell r="M7" t="str">
            <v>Silvana Karina Moreira</v>
          </cell>
          <cell r="N7" t="str">
            <v>Rectora</v>
          </cell>
          <cell r="O7" t="str">
            <v>11-4601-3127</v>
          </cell>
          <cell r="P7" t="str">
            <v>silvanak.moreira@bue.edu.ar</v>
          </cell>
          <cell r="Q7">
            <v>0</v>
          </cell>
          <cell r="R7">
            <v>0</v>
          </cell>
          <cell r="S7" t="str">
            <v>-</v>
          </cell>
          <cell r="T7">
            <v>0</v>
          </cell>
          <cell r="U7">
            <v>2016</v>
          </cell>
          <cell r="V7" t="str">
            <v>-34.6764, -58.46644</v>
          </cell>
        </row>
        <row r="8">
          <cell r="B8">
            <v>20053100</v>
          </cell>
          <cell r="C8" t="str">
            <v>Escuela de Enfermería N° A-0732 Especialidades Paramédicas Cruz Roja Argentina Filial Saavedra</v>
          </cell>
          <cell r="D8" t="str">
            <v>CABA</v>
          </cell>
          <cell r="E8" t="str">
            <v>CABA</v>
          </cell>
          <cell r="F8" t="str">
            <v>CABA</v>
          </cell>
          <cell r="G8">
            <v>1429</v>
          </cell>
          <cell r="H8" t="str">
            <v>Privado</v>
          </cell>
          <cell r="I8" t="str">
            <v>Institución de ETP</v>
          </cell>
          <cell r="J8" t="str">
            <v>Quesada 2602</v>
          </cell>
          <cell r="K8" t="str">
            <v>11-5235-9213</v>
          </cell>
          <cell r="L8" t="str">
            <v>saavedra@cruzroja.org.ar</v>
          </cell>
          <cell r="M8" t="str">
            <v>María Cecilia RICCIO</v>
          </cell>
          <cell r="N8" t="str">
            <v>Representante Legal</v>
          </cell>
          <cell r="O8" t="str">
            <v>11-5235-9213</v>
          </cell>
          <cell r="P8" t="str">
            <v>mriccio@cruzroja.org.ar</v>
          </cell>
          <cell r="Q8" t="str">
            <v>Prof. y Lic. Raul Marcelo CERROS</v>
          </cell>
          <cell r="R8" t="str">
            <v>Rector</v>
          </cell>
          <cell r="S8" t="str">
            <v>11-2532 3357</v>
          </cell>
          <cell r="T8" t="str">
            <v>rectoria.saavedra@cruzroja.org.ar</v>
          </cell>
          <cell r="U8">
            <v>2016</v>
          </cell>
          <cell r="V8" t="str">
            <v>-34.55548, -58.46533</v>
          </cell>
        </row>
        <row r="9">
          <cell r="B9">
            <v>20053900</v>
          </cell>
          <cell r="C9" t="str">
            <v>Escuela de Enfermería N° A-825 Especialidades Paramédicas Cruz Roja Argentina (Sede Central)</v>
          </cell>
          <cell r="D9" t="str">
            <v>CABA</v>
          </cell>
          <cell r="E9" t="str">
            <v>CABA</v>
          </cell>
          <cell r="F9" t="str">
            <v>CABA</v>
          </cell>
          <cell r="G9">
            <v>1209</v>
          </cell>
          <cell r="H9" t="str">
            <v>Privado</v>
          </cell>
          <cell r="I9" t="str">
            <v>Institución de ETP</v>
          </cell>
          <cell r="J9" t="str">
            <v>Moreno 3363</v>
          </cell>
          <cell r="K9" t="str">
            <v>11-48637227/7739</v>
          </cell>
          <cell r="L9" t="str">
            <v>secretaria.central@cruzroja.org.ar / ediaz@cruzroja.org.ar</v>
          </cell>
          <cell r="M9" t="str">
            <v>Lic. Prof. Eduardo Gabriel Diaz</v>
          </cell>
          <cell r="N9" t="str">
            <v>Rector</v>
          </cell>
          <cell r="O9" t="str">
            <v>11-48637227/7739</v>
          </cell>
          <cell r="P9" t="str">
            <v>ediaz@cruzroja.org.ar</v>
          </cell>
          <cell r="Q9" t="str">
            <v>Lic. Prof. Narciso Peres</v>
          </cell>
          <cell r="R9" t="str">
            <v>Coordinador</v>
          </cell>
          <cell r="S9" t="str">
            <v>11-40895142</v>
          </cell>
          <cell r="T9" t="str">
            <v>nperes@cruzroja.org.ar</v>
          </cell>
          <cell r="U9">
            <v>2017</v>
          </cell>
          <cell r="V9" t="str">
            <v>-34.61411611239494, -58.413780154251256</v>
          </cell>
        </row>
        <row r="10">
          <cell r="B10">
            <v>20089000</v>
          </cell>
          <cell r="C10" t="str">
            <v>Instituto Privado N° A-0896 Instituto Amado Olmos Atsa</v>
          </cell>
          <cell r="D10" t="str">
            <v>CABA</v>
          </cell>
          <cell r="E10" t="str">
            <v>CABA</v>
          </cell>
          <cell r="F10" t="str">
            <v>CABA</v>
          </cell>
          <cell r="G10">
            <v>1082</v>
          </cell>
          <cell r="H10" t="str">
            <v>Privado</v>
          </cell>
          <cell r="I10" t="str">
            <v>Institución de ETP</v>
          </cell>
          <cell r="J10" t="str">
            <v xml:space="preserve">Alberti 191 </v>
          </cell>
          <cell r="K10" t="str">
            <v>4-9597103</v>
          </cell>
          <cell r="L10" t="str">
            <v>escuela@atsa.org.ar</v>
          </cell>
          <cell r="M10" t="str">
            <v xml:space="preserve">Maria Gabriela Felippa </v>
          </cell>
          <cell r="N10" t="str">
            <v xml:space="preserve">Rectora </v>
          </cell>
          <cell r="O10" t="str">
            <v>-9597103</v>
          </cell>
          <cell r="P10" t="str">
            <v>felippagabriela@gmail.com</v>
          </cell>
          <cell r="Q10" t="str">
            <v>Rosa Isabel Osorio Delgado</v>
          </cell>
          <cell r="R10" t="str">
            <v xml:space="preserve">Directora de Estudios  </v>
          </cell>
          <cell r="S10" t="str">
            <v>-1153420107</v>
          </cell>
          <cell r="T10" t="str">
            <v>isaod1440@gmail.com</v>
          </cell>
          <cell r="U10">
            <v>2016</v>
          </cell>
          <cell r="V10" t="str">
            <v>-34.61198, -58.40163</v>
          </cell>
        </row>
        <row r="11">
          <cell r="B11">
            <v>20096900</v>
          </cell>
          <cell r="C11" t="str">
            <v>Instituto Privado N° A-0895 "Escuela de Enfermería Helena Larroque de Roffo"</v>
          </cell>
          <cell r="D11" t="str">
            <v>CABA</v>
          </cell>
          <cell r="E11" t="str">
            <v>CABA</v>
          </cell>
          <cell r="F11" t="str">
            <v>CABA</v>
          </cell>
          <cell r="G11">
            <v>1417</v>
          </cell>
          <cell r="H11" t="str">
            <v>Privado</v>
          </cell>
          <cell r="I11" t="str">
            <v>Institución de ETP</v>
          </cell>
          <cell r="J11" t="str">
            <v>Avenida San Martín 5481</v>
          </cell>
          <cell r="K11" t="str">
            <v>11-4505-0172</v>
          </cell>
          <cell r="L11" t="str">
            <v>escenfermeriaroffo895@gmail.com</v>
          </cell>
          <cell r="M11" t="str">
            <v xml:space="preserve">Juliana del Valle Trujillo </v>
          </cell>
          <cell r="N11" t="str">
            <v>Rector</v>
          </cell>
          <cell r="O11" t="str">
            <v>11-4505-0172</v>
          </cell>
          <cell r="P11" t="str">
            <v>escenfermeriaroffo895@gmail.com</v>
          </cell>
          <cell r="Q11" t="str">
            <v>Juliana del Valle Trujillo</v>
          </cell>
          <cell r="R11" t="str">
            <v>Rector</v>
          </cell>
          <cell r="S11" t="str">
            <v>11-38640707</v>
          </cell>
          <cell r="T11" t="str">
            <v>escenfermeriaroffo895@gmail.com</v>
          </cell>
          <cell r="U11">
            <v>2018</v>
          </cell>
          <cell r="V11" t="str">
            <v>-34.59636594313875, -58.494648857913774</v>
          </cell>
        </row>
        <row r="12">
          <cell r="B12">
            <v>20142000</v>
          </cell>
          <cell r="C12" t="str">
            <v>Instituto Privado Nº A-1047 Superior Mitre</v>
          </cell>
          <cell r="D12" t="str">
            <v>CABA</v>
          </cell>
          <cell r="E12" t="str">
            <v>CABA</v>
          </cell>
          <cell r="F12" t="str">
            <v>CABA</v>
          </cell>
          <cell r="G12">
            <v>1177</v>
          </cell>
          <cell r="H12" t="str">
            <v>Privado</v>
          </cell>
          <cell r="I12" t="str">
            <v>Institución de ETP</v>
          </cell>
          <cell r="J12" t="str">
            <v>Salguero 92</v>
          </cell>
          <cell r="K12" t="str">
            <v>11-4-9822533/1117</v>
          </cell>
          <cell r="L12" t="str">
            <v>sec.academica@ismsalud.com.ar</v>
          </cell>
          <cell r="M12" t="str">
            <v>Gabriela Quiroga Nigro</v>
          </cell>
          <cell r="N12" t="str">
            <v>Rectora</v>
          </cell>
          <cell r="O12" t="str">
            <v>11-4-9822533/1117</v>
          </cell>
          <cell r="P12" t="str">
            <v>gabrielaquirogan@gmail.com</v>
          </cell>
          <cell r="Q12" t="str">
            <v>Jose Tomas Ghergo</v>
          </cell>
          <cell r="R12" t="str">
            <v>Director Medico</v>
          </cell>
          <cell r="S12" t="str">
            <v>11-54011792</v>
          </cell>
          <cell r="T12" t="str">
            <v>sportommy@hotmail.com</v>
          </cell>
          <cell r="U12">
            <v>2022</v>
          </cell>
          <cell r="V12" t="str">
            <v>-34.60974046618449, -58.42009384942986</v>
          </cell>
        </row>
        <row r="13">
          <cell r="B13">
            <v>20174400</v>
          </cell>
          <cell r="C13" t="str">
            <v>Instituto Privado N° A-0691 Instituto del Profesorado en Enfermería Padre Luis Tezza</v>
          </cell>
          <cell r="D13" t="str">
            <v>CABA</v>
          </cell>
          <cell r="E13" t="str">
            <v>CABA</v>
          </cell>
          <cell r="F13" t="str">
            <v>CABA</v>
          </cell>
          <cell r="G13">
            <v>1405</v>
          </cell>
          <cell r="H13" t="str">
            <v>Privado</v>
          </cell>
          <cell r="I13" t="str">
            <v>Institución de ETP</v>
          </cell>
          <cell r="J13" t="str">
            <v>Machado 628</v>
          </cell>
          <cell r="K13" t="str">
            <v>11-4982-1115</v>
          </cell>
          <cell r="L13" t="str">
            <v>lmoron@institutotezza.org.ar</v>
          </cell>
          <cell r="M13" t="str">
            <v>Liliana Lourdes Moron</v>
          </cell>
          <cell r="N13" t="str">
            <v>Rectora</v>
          </cell>
          <cell r="O13" t="str">
            <v>11-4982-1115</v>
          </cell>
          <cell r="P13" t="str">
            <v>lmoron@institutotezza.org.ar</v>
          </cell>
          <cell r="Q13" t="str">
            <v>Gisela Lopez</v>
          </cell>
          <cell r="R13" t="str">
            <v>Coordinadora de la tecnicatura</v>
          </cell>
          <cell r="S13" t="str">
            <v>11-38135426</v>
          </cell>
          <cell r="T13" t="str">
            <v>gisela.lopez.tezza@gmail.com</v>
          </cell>
          <cell r="U13">
            <v>2016</v>
          </cell>
          <cell r="V13" t="str">
            <v>-34.60645, -58.44058</v>
          </cell>
        </row>
        <row r="14">
          <cell r="B14">
            <v>20191900</v>
          </cell>
          <cell r="C14" t="str">
            <v>Instituto Privado Nº A-1243 Instituto Superior de Ciencias de la Salud</v>
          </cell>
          <cell r="D14" t="str">
            <v>CABA</v>
          </cell>
          <cell r="E14" t="str">
            <v>CABA</v>
          </cell>
          <cell r="F14" t="str">
            <v>CABA</v>
          </cell>
          <cell r="G14">
            <v>1406</v>
          </cell>
          <cell r="H14" t="str">
            <v>Privado</v>
          </cell>
          <cell r="I14" t="str">
            <v>Institución de ETP</v>
          </cell>
          <cell r="J14" t="str">
            <v>Yerbal 1885</v>
          </cell>
          <cell r="K14" t="str">
            <v>11-46324845</v>
          </cell>
          <cell r="L14" t="str">
            <v>secretaria@cienciasdelasalud.edu.ar</v>
          </cell>
          <cell r="M14" t="str">
            <v>Dr. Daniel Ballesta</v>
          </cell>
          <cell r="N14" t="str">
            <v>Rector</v>
          </cell>
          <cell r="O14" t="str">
            <v>11-46324845</v>
          </cell>
          <cell r="P14" t="str">
            <v>rectorballesta@cienciasdelasalud.edu.ar</v>
          </cell>
          <cell r="Q14" t="str">
            <v>Lic. Enrique Luciano</v>
          </cell>
          <cell r="R14" t="str">
            <v>Instructor</v>
          </cell>
          <cell r="S14" t="str">
            <v>11-69086864</v>
          </cell>
          <cell r="T14" t="str">
            <v>coordinacionenfermeria11@gmail.com</v>
          </cell>
          <cell r="U14">
            <v>2022</v>
          </cell>
          <cell r="V14" t="str">
            <v>-34.625268385396, -58.45722352881807</v>
          </cell>
        </row>
        <row r="15">
          <cell r="B15">
            <v>20224200</v>
          </cell>
          <cell r="C15" t="str">
            <v>Instituto Privado N° A-1385 Instituto Superior Octubre (I.S.O.)</v>
          </cell>
          <cell r="D15" t="str">
            <v>CABA</v>
          </cell>
          <cell r="E15" t="str">
            <v>CABA</v>
          </cell>
          <cell r="F15" t="str">
            <v>CABA</v>
          </cell>
          <cell r="G15">
            <v>1095</v>
          </cell>
          <cell r="H15" t="str">
            <v>Privado</v>
          </cell>
          <cell r="I15" t="str">
            <v>Institución de ETP</v>
          </cell>
          <cell r="J15" t="str">
            <v>Venezuela 356</v>
          </cell>
          <cell r="K15" t="str">
            <v>53546641-</v>
          </cell>
          <cell r="L15" t="str">
            <v>rectorado@iso.edu.ar</v>
          </cell>
          <cell r="M15" t="str">
            <v>Leandro Vecino Dri</v>
          </cell>
          <cell r="N15" t="str">
            <v>Rector</v>
          </cell>
          <cell r="O15" t="str">
            <v>1531417488-</v>
          </cell>
          <cell r="P15" t="str">
            <v>vecino.l@iso.edu.ar</v>
          </cell>
          <cell r="Q15" t="str">
            <v>Florencia Rolli</v>
          </cell>
          <cell r="R15" t="str">
            <v>Directora</v>
          </cell>
          <cell r="S15" t="str">
            <v>1550402183-</v>
          </cell>
          <cell r="T15" t="str">
            <v>rolli.f@iso.edu.ar</v>
          </cell>
          <cell r="U15">
            <v>2017</v>
          </cell>
          <cell r="V15" t="str">
            <v>-34.6136, -58.37132</v>
          </cell>
        </row>
        <row r="16">
          <cell r="B16">
            <v>20234600</v>
          </cell>
          <cell r="C16" t="str">
            <v>Instituto Privado Nº A-1428  Superior Auxiliares de la Medicina</v>
          </cell>
          <cell r="D16" t="str">
            <v>CABA</v>
          </cell>
          <cell r="E16" t="str">
            <v>CABA</v>
          </cell>
          <cell r="F16" t="str">
            <v>CABA</v>
          </cell>
          <cell r="G16">
            <v>1408</v>
          </cell>
          <cell r="H16" t="str">
            <v>Privado</v>
          </cell>
          <cell r="I16" t="str">
            <v>Institución de ETP</v>
          </cell>
          <cell r="J16" t="str">
            <v xml:space="preserve">Montiel 75 </v>
          </cell>
          <cell r="K16" t="str">
            <v>11-4644 - 6117</v>
          </cell>
          <cell r="L16" t="str">
            <v>institutosuperiorisam@gmail.com</v>
          </cell>
          <cell r="M16" t="str">
            <v>Lic  Borda Soto, Marisa</v>
          </cell>
          <cell r="N16" t="str">
            <v>RECTORA</v>
          </cell>
          <cell r="O16" t="str">
            <v>11-4644 - 6117</v>
          </cell>
          <cell r="P16" t="str">
            <v>marisabordasoto@gmail.com</v>
          </cell>
          <cell r="Q16" t="str">
            <v xml:space="preserve">Lic. Agramonte, Gina </v>
          </cell>
          <cell r="R16" t="str">
            <v>Coordinadora</v>
          </cell>
          <cell r="S16" t="str">
            <v>11-5051 - 0912</v>
          </cell>
          <cell r="T16" t="str">
            <v>gina.agramonte2020@gmail.com</v>
          </cell>
          <cell r="U16">
            <v>2022</v>
          </cell>
          <cell r="V16" t="str">
            <v>-34.639910266549464, -58.52645466688617</v>
          </cell>
        </row>
        <row r="17">
          <cell r="B17">
            <v>20237800</v>
          </cell>
          <cell r="C17" t="str">
            <v>Instituto Privado Nº A-1420 Bernardo Houssay</v>
          </cell>
          <cell r="D17" t="str">
            <v>CABA</v>
          </cell>
          <cell r="E17" t="str">
            <v>CABA</v>
          </cell>
          <cell r="F17" t="str">
            <v>CABA</v>
          </cell>
          <cell r="G17">
            <v>1406</v>
          </cell>
          <cell r="H17" t="str">
            <v>Privado</v>
          </cell>
          <cell r="I17" t="str">
            <v>Institución de ETP</v>
          </cell>
          <cell r="J17" t="str">
            <v>Gavilan 75</v>
          </cell>
          <cell r="K17" t="str">
            <v>11-36119306</v>
          </cell>
          <cell r="L17" t="str">
            <v xml:space="preserve">escuelabhoussay@yahoo.com.ar </v>
          </cell>
          <cell r="M17" t="str">
            <v xml:space="preserve">                                      Fernandez Jorge Oscar </v>
          </cell>
          <cell r="N17" t="str">
            <v xml:space="preserve">                                        Representante Legal </v>
          </cell>
          <cell r="O17" t="str">
            <v>11-36119306</v>
          </cell>
          <cell r="P17" t="str">
            <v xml:space="preserve">fjorgeoscar54@yahoo.com.ar </v>
          </cell>
          <cell r="Q17" t="str">
            <v>Venegas Arteaga Maribel</v>
          </cell>
          <cell r="R17" t="str">
            <v>Rectora</v>
          </cell>
          <cell r="S17" t="str">
            <v>11-22542917</v>
          </cell>
          <cell r="T17" t="str">
            <v>maribelvenegasarteaga@gmail.com</v>
          </cell>
          <cell r="U17">
            <v>2022</v>
          </cell>
          <cell r="V17" t="str">
            <v>-34.626806563414426, -58.46019354706238</v>
          </cell>
        </row>
        <row r="18">
          <cell r="B18">
            <v>20245000</v>
          </cell>
          <cell r="C18" t="str">
            <v>Instituto Privado N° A-1450 Instituto UOCRA</v>
          </cell>
          <cell r="D18" t="str">
            <v>CABA</v>
          </cell>
          <cell r="E18" t="str">
            <v>CABA</v>
          </cell>
          <cell r="F18" t="str">
            <v>CABA</v>
          </cell>
          <cell r="G18">
            <v>1229</v>
          </cell>
          <cell r="H18" t="str">
            <v>Privado</v>
          </cell>
          <cell r="I18" t="str">
            <v>Institución de ETP</v>
          </cell>
          <cell r="J18" t="str">
            <v>Humberto Primo 2260</v>
          </cell>
          <cell r="K18" t="str">
            <v>11-49416094</v>
          </cell>
          <cell r="L18" t="str">
            <v>secretaria.iu@uocra.org</v>
          </cell>
          <cell r="M18" t="str">
            <v>Maria Victoria Villa</v>
          </cell>
          <cell r="N18" t="str">
            <v>Rectora</v>
          </cell>
          <cell r="O18" t="str">
            <v>11-49416094</v>
          </cell>
          <cell r="P18" t="str">
            <v>mvvilla@uocra.org</v>
          </cell>
          <cell r="Q18" t="str">
            <v>Cristian Gonzalez Opelt</v>
          </cell>
          <cell r="R18" t="str">
            <v>Director de Estudios</v>
          </cell>
          <cell r="S18" t="str">
            <v>11-57571987</v>
          </cell>
          <cell r="T18" t="str">
            <v>copelt@uocra.org</v>
          </cell>
          <cell r="U18">
            <v>2017</v>
          </cell>
          <cell r="V18" t="str">
            <v>-34.62205, -58.3974</v>
          </cell>
        </row>
        <row r="19">
          <cell r="B19">
            <v>20282200</v>
          </cell>
          <cell r="C19" t="str">
            <v>Instituto de Formación Técnica Superior (I.F.T.S.) N° A1493 "Instituto Superior Facultar"</v>
          </cell>
          <cell r="D19" t="str">
            <v>CABA</v>
          </cell>
          <cell r="E19" t="str">
            <v>CABA</v>
          </cell>
          <cell r="F19" t="str">
            <v>CABA</v>
          </cell>
          <cell r="G19">
            <v>1056</v>
          </cell>
          <cell r="H19" t="str">
            <v>Privado</v>
          </cell>
          <cell r="I19" t="str">
            <v>Institución de ETP</v>
          </cell>
          <cell r="J19" t="str">
            <v>Viamonte 2518</v>
          </cell>
          <cell r="K19" t="str">
            <v>11-4962-1196</v>
          </cell>
          <cell r="L19" t="str">
            <v>facultar@facultar.org.ar</v>
          </cell>
          <cell r="M19" t="str">
            <v xml:space="preserve">Leandro Guerschberg </v>
          </cell>
          <cell r="N19" t="str">
            <v>Rector</v>
          </cell>
          <cell r="O19" t="str">
            <v>11-4962-1196</v>
          </cell>
          <cell r="P19" t="str">
            <v>rector@facultar.org.ar</v>
          </cell>
          <cell r="Q19" t="str">
            <v>Pedro Schiuma</v>
          </cell>
          <cell r="R19" t="str">
            <v>Director de Estudios</v>
          </cell>
          <cell r="S19" t="str">
            <v>11-53398289</v>
          </cell>
          <cell r="T19" t="str">
            <v>pedroschiuma@gmail.com</v>
          </cell>
          <cell r="U19">
            <v>2018</v>
          </cell>
          <cell r="V19" t="str">
            <v>-34.60100451748393, -58.4026242447306</v>
          </cell>
        </row>
        <row r="20">
          <cell r="B20">
            <v>20282300</v>
          </cell>
          <cell r="C20" t="str">
            <v>Instituto Nº 1507 Centro de Estudios Nueva Vida</v>
          </cell>
          <cell r="D20" t="str">
            <v>CABA</v>
          </cell>
          <cell r="E20" t="str">
            <v>CABA</v>
          </cell>
          <cell r="F20" t="str">
            <v>CABA</v>
          </cell>
          <cell r="G20">
            <v>1424</v>
          </cell>
          <cell r="H20" t="str">
            <v>Privado</v>
          </cell>
          <cell r="I20" t="str">
            <v>Institución de ETP</v>
          </cell>
          <cell r="J20" t="str">
            <v>Avenida Rivadavia 4529</v>
          </cell>
          <cell r="K20" t="str">
            <v>11-4983-6336</v>
          </cell>
          <cell r="L20" t="str">
            <v>administracion@cenv.org</v>
          </cell>
          <cell r="M20" t="str">
            <v>Aníbal J. Vassalli</v>
          </cell>
          <cell r="N20" t="str">
            <v>Rector</v>
          </cell>
          <cell r="O20" t="str">
            <v>11-4983-6336</v>
          </cell>
          <cell r="P20" t="str">
            <v>anibalvassalli@ccnv.org</v>
          </cell>
          <cell r="Q20" t="str">
            <v>Claudia Zalazar</v>
          </cell>
          <cell r="R20" t="str">
            <v>Vicerectora</v>
          </cell>
          <cell r="S20" t="str">
            <v>11-65129171</v>
          </cell>
          <cell r="T20" t="str">
            <v>claudiazalazar@ccnv.org</v>
          </cell>
          <cell r="U20">
            <v>2022</v>
          </cell>
          <cell r="V20" t="str">
            <v>-34.6149924175518, -58.429483420859235</v>
          </cell>
        </row>
        <row r="21">
          <cell r="B21">
            <v>20286200</v>
          </cell>
          <cell r="C21" t="str">
            <v>Instituto de Formación Técnica Superior Nuestra Señora de Fátima</v>
          </cell>
          <cell r="D21" t="str">
            <v>CABA</v>
          </cell>
          <cell r="E21" t="str">
            <v>CABA</v>
          </cell>
          <cell r="F21" t="str">
            <v>CABA</v>
          </cell>
          <cell r="G21">
            <v>1427</v>
          </cell>
          <cell r="H21" t="str">
            <v>Privado</v>
          </cell>
          <cell r="I21" t="str">
            <v>Institución de ETP</v>
          </cell>
          <cell r="J21" t="str">
            <v>Mariano Acosta 2920</v>
          </cell>
          <cell r="K21" t="str">
            <v>11-52625754</v>
          </cell>
          <cell r="L21" t="str">
            <v>rectoria@terciariofatimasoldati.edu.ar</v>
          </cell>
          <cell r="M21" t="str">
            <v>Marta Beatriz Mollier</v>
          </cell>
          <cell r="N21" t="str">
            <v>Rectora</v>
          </cell>
          <cell r="O21" t="str">
            <v>11-6675-8930-11-52625754</v>
          </cell>
          <cell r="P21" t="str">
            <v>mmollier@terciariofatimasoldati.edu.ar</v>
          </cell>
          <cell r="Q21" t="str">
            <v>Gladys Grance Torales</v>
          </cell>
          <cell r="R21" t="str">
            <v>Coordinadora</v>
          </cell>
          <cell r="S21" t="str">
            <v>11-44181392</v>
          </cell>
          <cell r="T21" t="str">
            <v>ggrance@terciariofatimasoldati.edu.ar</v>
          </cell>
          <cell r="U21">
            <v>2022</v>
          </cell>
          <cell r="V21" t="str">
            <v>-34.65967513188031, -58.44917501558615</v>
          </cell>
        </row>
        <row r="22">
          <cell r="B22">
            <v>20288100</v>
          </cell>
          <cell r="C22" t="str">
            <v>Instituto de Formación Técnica Superior (I.F.T.S.) N° A 1508 "Superior de Artes y Ciencias de la Salud"</v>
          </cell>
          <cell r="D22" t="str">
            <v>CABA</v>
          </cell>
          <cell r="E22" t="str">
            <v>CABA</v>
          </cell>
          <cell r="F22" t="str">
            <v>CABA</v>
          </cell>
          <cell r="G22">
            <v>1429</v>
          </cell>
          <cell r="H22" t="str">
            <v>Privado</v>
          </cell>
          <cell r="I22" t="str">
            <v>Institución de ETP</v>
          </cell>
          <cell r="J22" t="str">
            <v>Deheza 2723</v>
          </cell>
          <cell r="K22" t="str">
            <v>11-4703-5487</v>
          </cell>
          <cell r="L22" t="str">
            <v>secretariapedagogica@arcis.edu.ar</v>
          </cell>
          <cell r="M22" t="str">
            <v xml:space="preserve"> Casanova Julio</v>
          </cell>
          <cell r="N22" t="str">
            <v>Representante Legal</v>
          </cell>
          <cell r="O22" t="str">
            <v>11-4703-5487</v>
          </cell>
          <cell r="P22" t="str">
            <v>jcasanova@fibertel.com.ar</v>
          </cell>
          <cell r="Q22" t="str">
            <v xml:space="preserve">Fracas Claudia </v>
          </cell>
          <cell r="R22" t="str">
            <v>Rectora</v>
          </cell>
          <cell r="S22" t="str">
            <v>11-4938-6083</v>
          </cell>
          <cell r="T22" t="str">
            <v>rectoria@arcis.org.ar</v>
          </cell>
          <cell r="U22">
            <v>2018</v>
          </cell>
          <cell r="V22" t="str">
            <v>-34.54228062408959, -58.47680500197729</v>
          </cell>
        </row>
        <row r="23">
          <cell r="B23">
            <v>20299400</v>
          </cell>
          <cell r="C23" t="str">
            <v>Instituto N° A-1519 Superior de Enfermería Artémides Zatti</v>
          </cell>
          <cell r="D23" t="str">
            <v>CABA</v>
          </cell>
          <cell r="E23" t="str">
            <v>CABA</v>
          </cell>
          <cell r="F23" t="str">
            <v>CABA</v>
          </cell>
          <cell r="G23">
            <v>1113</v>
          </cell>
          <cell r="H23" t="str">
            <v>Privado</v>
          </cell>
          <cell r="I23" t="str">
            <v>Institución de ETP</v>
          </cell>
          <cell r="J23" t="str">
            <v>Junin 1063</v>
          </cell>
          <cell r="K23" t="str">
            <v>11-5236-4136</v>
          </cell>
          <cell r="L23" t="str">
            <v>instituto@iseaz.edu.ar</v>
          </cell>
          <cell r="M23" t="str">
            <v>Walter Infantes Huapaya</v>
          </cell>
          <cell r="N23" t="str">
            <v>Representante Legal</v>
          </cell>
          <cell r="O23" t="str">
            <v>11-5236-4136</v>
          </cell>
          <cell r="P23" t="str">
            <v>walterinfantes2011@hotmail.com</v>
          </cell>
          <cell r="Q23" t="str">
            <v>Maria de los Angeles Culquicondor</v>
          </cell>
          <cell r="R23" t="str">
            <v>Rectora</v>
          </cell>
          <cell r="S23" t="str">
            <v>11-4149-0383</v>
          </cell>
          <cell r="T23" t="str">
            <v>rectoria@iseaz.edu.ar</v>
          </cell>
          <cell r="U23">
            <v>2018</v>
          </cell>
          <cell r="V23" t="str">
            <v>-34.59619014468926, -58.397169917633974</v>
          </cell>
        </row>
        <row r="24">
          <cell r="B24">
            <v>20304900</v>
          </cell>
          <cell r="C24" t="str">
            <v>Instituto Nº A-1538 de Educación en Áreas de la Salud</v>
          </cell>
          <cell r="D24" t="str">
            <v>CABA</v>
          </cell>
          <cell r="E24" t="str">
            <v>CABA</v>
          </cell>
          <cell r="F24" t="str">
            <v>CABA</v>
          </cell>
          <cell r="G24">
            <v>1096</v>
          </cell>
          <cell r="H24" t="str">
            <v>Privado</v>
          </cell>
          <cell r="I24" t="str">
            <v>Institución de ETP</v>
          </cell>
          <cell r="J24" t="str">
            <v>Venezuela 2632</v>
          </cell>
          <cell r="K24" t="str">
            <v>11-0810-333-6337</v>
          </cell>
          <cell r="L24" t="str">
            <v>secretaria.instituto@csantacatalina.com.ar</v>
          </cell>
          <cell r="M24" t="str">
            <v>Elena Asunción, Di Pietro</v>
          </cell>
          <cell r="N24" t="str">
            <v>Rectora</v>
          </cell>
          <cell r="O24" t="str">
            <v>11-0810-333-6337</v>
          </cell>
          <cell r="P24" t="str">
            <v>elena.dipietro@csantacatalina.com.ar</v>
          </cell>
          <cell r="Q24" t="str">
            <v>Elena Asunción, Di Pietro</v>
          </cell>
          <cell r="R24" t="str">
            <v>Rectora</v>
          </cell>
          <cell r="S24" t="str">
            <v>11-50632839</v>
          </cell>
          <cell r="T24" t="str">
            <v>elena.dipietro@csantacatalina.com.ar</v>
          </cell>
          <cell r="U24">
            <v>2022</v>
          </cell>
          <cell r="V24" t="str">
            <v>-34.61561234718147, -58.404004173260155</v>
          </cell>
        </row>
        <row r="25">
          <cell r="B25">
            <v>20314900</v>
          </cell>
          <cell r="C25" t="str">
            <v>Instituto de Formación Técnica Superior Don Orione</v>
          </cell>
          <cell r="D25" t="str">
            <v>CABA</v>
          </cell>
          <cell r="E25" t="str">
            <v>CABA</v>
          </cell>
          <cell r="F25" t="str">
            <v>CABA</v>
          </cell>
          <cell r="G25">
            <v>1437</v>
          </cell>
          <cell r="H25" t="str">
            <v>Privado</v>
          </cell>
          <cell r="I25" t="str">
            <v>Institución de ETP</v>
          </cell>
          <cell r="J25" t="str">
            <v>Pepirí 1462</v>
          </cell>
          <cell r="K25" t="str">
            <v>-</v>
          </cell>
          <cell r="L25" t="str">
            <v>ietp.donorione@gmail.com</v>
          </cell>
          <cell r="M25" t="str">
            <v>Claudio Salatino</v>
          </cell>
          <cell r="N25" t="str">
            <v>Rector</v>
          </cell>
          <cell r="O25" t="str">
            <v>11-</v>
          </cell>
          <cell r="P25" t="str">
            <v>claudiosalatino@gmail.com</v>
          </cell>
          <cell r="Q25" t="str">
            <v>Mariana Malla</v>
          </cell>
          <cell r="R25" t="str">
            <v>Coordinadora de carrera</v>
          </cell>
          <cell r="S25" t="str">
            <v>11-32140225</v>
          </cell>
          <cell r="T25" t="str">
            <v>mapama29250415@gmail.com</v>
          </cell>
          <cell r="U25">
            <v>2022</v>
          </cell>
          <cell r="V25" t="str">
            <v>-34.65468497442657, -58.40626652504673</v>
          </cell>
        </row>
        <row r="26">
          <cell r="B26">
            <v>60008000</v>
          </cell>
          <cell r="C26" t="str">
            <v>Instituto de Educación Superior de Formación Docente y Técnica (I.S.F.D.yT.) Nº 165 Domingo A. Teruggi</v>
          </cell>
          <cell r="D26" t="str">
            <v>Buenos Aires</v>
          </cell>
          <cell r="E26" t="str">
            <v>Loberia</v>
          </cell>
          <cell r="F26" t="str">
            <v>Loberia</v>
          </cell>
          <cell r="G26">
            <v>7635</v>
          </cell>
          <cell r="H26" t="str">
            <v>Estatal</v>
          </cell>
          <cell r="I26" t="str">
            <v>Institución de Otro Nivel y/o Modalidad</v>
          </cell>
          <cell r="J26" t="str">
            <v>BARREIRA 50</v>
          </cell>
          <cell r="K26" t="str">
            <v>2261-442053</v>
          </cell>
          <cell r="L26" t="str">
            <v>isfdyt165loberia@abc.gob.ar</v>
          </cell>
          <cell r="M26" t="str">
            <v>SILVINA BARBERIA</v>
          </cell>
          <cell r="N26" t="str">
            <v>DIRECTORA</v>
          </cell>
          <cell r="O26" t="str">
            <v>2262-442053</v>
          </cell>
          <cell r="P26" t="str">
            <v>is060165@gmail.com</v>
          </cell>
          <cell r="Q26" t="str">
            <v>SILVINA BARBERIA</v>
          </cell>
          <cell r="R26" t="str">
            <v>DIRECTORA</v>
          </cell>
          <cell r="S26" t="str">
            <v>2262-534653</v>
          </cell>
          <cell r="T26" t="str">
            <v>barberiasilvina@gmail.com</v>
          </cell>
          <cell r="U26">
            <v>2022</v>
          </cell>
          <cell r="V26" t="str">
            <v>-38.16828527089527, -58.777923573529506</v>
          </cell>
        </row>
        <row r="27">
          <cell r="B27">
            <v>60011700</v>
          </cell>
          <cell r="C27" t="str">
            <v>Instituto Superior de Formación Técnica (I.S.F.T.) N° 4796 "Instituto Superior de Estudios Paramedicos"</v>
          </cell>
          <cell r="D27" t="str">
            <v>Buenos Aires</v>
          </cell>
          <cell r="E27" t="str">
            <v>Hurlingham</v>
          </cell>
          <cell r="F27" t="str">
            <v>Hurlingham</v>
          </cell>
          <cell r="G27">
            <v>1686</v>
          </cell>
          <cell r="H27" t="str">
            <v>Privado</v>
          </cell>
          <cell r="I27" t="str">
            <v>Institución de ETP</v>
          </cell>
          <cell r="J27" t="str">
            <v>Remedios de Escalada 855</v>
          </cell>
          <cell r="K27" t="str">
            <v>11-4452-7422</v>
          </cell>
          <cell r="L27" t="str">
            <v>estudiosparamedicos@hotmail.com</v>
          </cell>
          <cell r="M27" t="str">
            <v>Sebastián Caffera</v>
          </cell>
          <cell r="N27" t="str">
            <v>Director</v>
          </cell>
          <cell r="O27" t="str">
            <v>11-4452-7422</v>
          </cell>
          <cell r="P27" t="str">
            <v>scaffera@hotmail.com</v>
          </cell>
          <cell r="Q27" t="str">
            <v>Griselda Patricia Sosa</v>
          </cell>
          <cell r="R27">
            <v>0</v>
          </cell>
          <cell r="S27" t="str">
            <v>11-4946-9060</v>
          </cell>
          <cell r="T27" t="str">
            <v>grise_sosa@yahoo.com.ar</v>
          </cell>
          <cell r="U27">
            <v>2019</v>
          </cell>
          <cell r="V27" t="str">
            <v>-34.592852737704305, -58.63599489508877</v>
          </cell>
        </row>
        <row r="28">
          <cell r="B28">
            <v>60021000</v>
          </cell>
          <cell r="C28" t="str">
            <v>Instituto Superior de Formación Técnica (I.S.F.T.)  Instituto Superior de Estudios Técnicos</v>
          </cell>
          <cell r="D28" t="str">
            <v>Buenos Aires</v>
          </cell>
          <cell r="E28" t="str">
            <v>General Pueyrredon</v>
          </cell>
          <cell r="F28" t="str">
            <v>Mar del Plata</v>
          </cell>
          <cell r="G28">
            <v>7600</v>
          </cell>
          <cell r="H28" t="str">
            <v>Privado</v>
          </cell>
          <cell r="I28" t="str">
            <v>Institución de ETP</v>
          </cell>
          <cell r="J28" t="str">
            <v>Bernardo de Irigoyen 4951</v>
          </cell>
          <cell r="K28" t="str">
            <v>223-4893459</v>
          </cell>
          <cell r="L28" t="str">
            <v>isetmardelplata@gmail.com</v>
          </cell>
          <cell r="M28" t="str">
            <v>Laura Estela Giarrocco</v>
          </cell>
          <cell r="N28" t="str">
            <v>Directora</v>
          </cell>
          <cell r="O28" t="str">
            <v>223-4893459</v>
          </cell>
          <cell r="P28" t="str">
            <v>lgiarrocco@gmail.com</v>
          </cell>
          <cell r="Q28">
            <v>0</v>
          </cell>
          <cell r="R28">
            <v>0</v>
          </cell>
          <cell r="S28" t="str">
            <v>-</v>
          </cell>
          <cell r="T28">
            <v>0</v>
          </cell>
          <cell r="U28">
            <v>2022</v>
          </cell>
          <cell r="V28" t="str">
            <v>-38.0366593546701, -57.545033193391376</v>
          </cell>
        </row>
        <row r="29">
          <cell r="B29">
            <v>60021900</v>
          </cell>
          <cell r="C29" t="str">
            <v>Instituto Superior de Formación Docente (I.S.F.D.) N° 133 Otto Pascual La Falce</v>
          </cell>
          <cell r="D29" t="str">
            <v>Buenos Aires</v>
          </cell>
          <cell r="E29" t="str">
            <v>General Pinto</v>
          </cell>
          <cell r="F29" t="str">
            <v>General Pinto</v>
          </cell>
          <cell r="G29">
            <v>6050</v>
          </cell>
          <cell r="H29" t="str">
            <v>Estatal</v>
          </cell>
          <cell r="I29" t="str">
            <v>Institución de Otro Nivel y/o Modalidad</v>
          </cell>
          <cell r="J29" t="str">
            <v>Carlos Pellegrini 10</v>
          </cell>
          <cell r="K29" t="str">
            <v>-</v>
          </cell>
          <cell r="L29" t="str">
            <v>isfd133pinto@abc.go.ar</v>
          </cell>
          <cell r="M29" t="str">
            <v>Fidalgo Claudia A.</v>
          </cell>
          <cell r="N29" t="str">
            <v xml:space="preserve">Director </v>
          </cell>
          <cell r="O29" t="str">
            <v>2364-</v>
          </cell>
          <cell r="P29" t="str">
            <v>cfidalgo1@abc.gob.ar</v>
          </cell>
          <cell r="Q29" t="str">
            <v>Fidalgo Claudia A.</v>
          </cell>
          <cell r="R29" t="str">
            <v>Director</v>
          </cell>
          <cell r="S29" t="str">
            <v>-</v>
          </cell>
          <cell r="T29">
            <v>0</v>
          </cell>
          <cell r="U29">
            <v>2016</v>
          </cell>
          <cell r="V29" t="str">
            <v>-34.76434, -61.89153</v>
          </cell>
        </row>
        <row r="30">
          <cell r="B30">
            <v>60067400</v>
          </cell>
          <cell r="C30" t="str">
            <v>Instituto de Educación Superior de Formación Docente y Técnica (I.S.F.D.yT.) N° 90</v>
          </cell>
          <cell r="D30" t="str">
            <v>Buenos Aires</v>
          </cell>
          <cell r="E30" t="str">
            <v>Punta Indio</v>
          </cell>
          <cell r="F30" t="str">
            <v>Veronica</v>
          </cell>
          <cell r="G30">
            <v>1917</v>
          </cell>
          <cell r="H30" t="str">
            <v>Estatal</v>
          </cell>
          <cell r="I30" t="str">
            <v>Institución de Otro Nivel y/o Modalidad</v>
          </cell>
          <cell r="J30" t="str">
            <v>37 entre 28 y 30</v>
          </cell>
          <cell r="K30" t="str">
            <v>2221-4890589</v>
          </cell>
          <cell r="L30" t="str">
            <v>instituto90puntaindio@gmail.com</v>
          </cell>
          <cell r="M30" t="str">
            <v>landa karina paola</v>
          </cell>
          <cell r="N30" t="str">
            <v>directora</v>
          </cell>
          <cell r="O30" t="str">
            <v>221-4890589</v>
          </cell>
          <cell r="P30" t="str">
            <v>karylanda@hotmail.com</v>
          </cell>
          <cell r="Q30" t="str">
            <v>suarez guillermo</v>
          </cell>
          <cell r="R30" t="str">
            <v>jefe de area</v>
          </cell>
          <cell r="S30" t="str">
            <v>2223-674609</v>
          </cell>
          <cell r="T30" t="str">
            <v>sguillermohoracio@gmail.com</v>
          </cell>
          <cell r="U30">
            <v>2016</v>
          </cell>
          <cell r="V30" t="str">
            <v>-35.38621, -57.34769</v>
          </cell>
        </row>
        <row r="31">
          <cell r="B31">
            <v>60128300</v>
          </cell>
          <cell r="C31" t="str">
            <v>Instituto Superior de Formación Docente y Técnica  (ISFDyT N° 78)</v>
          </cell>
          <cell r="D31" t="str">
            <v>Buenos Aires</v>
          </cell>
          <cell r="E31" t="str">
            <v>Bragado</v>
          </cell>
          <cell r="F31" t="str">
            <v>Bragado</v>
          </cell>
          <cell r="G31">
            <v>6640</v>
          </cell>
          <cell r="H31" t="str">
            <v>Estatal</v>
          </cell>
          <cell r="I31" t="str">
            <v>Institución de Otro Nivel y/o Modalidad</v>
          </cell>
          <cell r="J31" t="str">
            <v>Nuñez 581</v>
          </cell>
          <cell r="K31" t="str">
            <v>2342-422351</v>
          </cell>
          <cell r="L31" t="str">
            <v>mcesetti@abc.gob.ar</v>
          </cell>
          <cell r="M31" t="str">
            <v>Claudia Albertino</v>
          </cell>
          <cell r="N31" t="str">
            <v>Directora Institucional</v>
          </cell>
          <cell r="O31" t="str">
            <v>2342-422351</v>
          </cell>
          <cell r="P31" t="str">
            <v>calbertino@abc.gob.ar</v>
          </cell>
          <cell r="Q31" t="str">
            <v>Meroni, Daniela</v>
          </cell>
          <cell r="R31" t="str">
            <v>Jefe de Área</v>
          </cell>
          <cell r="S31" t="str">
            <v>2342-453313</v>
          </cell>
          <cell r="T31" t="str">
            <v>dmeroni@abc.gob.ar</v>
          </cell>
          <cell r="U31">
            <v>2017</v>
          </cell>
          <cell r="V31" t="str">
            <v>-35.11841006083533, -60.486441172120706</v>
          </cell>
        </row>
        <row r="32">
          <cell r="B32">
            <v>60167400</v>
          </cell>
          <cell r="C32" t="str">
            <v>Instituto Superior N° 4726 Escuela de Enfermería Cruz Roja Arg. F. S. Nicolas P. Ogallar</v>
          </cell>
          <cell r="D32" t="str">
            <v>Buenos Aires</v>
          </cell>
          <cell r="E32" t="str">
            <v>San Nicolas de los Arroyos</v>
          </cell>
          <cell r="F32" t="str">
            <v>San Nicolas de los Arroyos</v>
          </cell>
          <cell r="G32">
            <v>2900</v>
          </cell>
          <cell r="H32" t="str">
            <v>Privado</v>
          </cell>
          <cell r="I32" t="str">
            <v>Institución de ETP</v>
          </cell>
          <cell r="J32" t="str">
            <v>Sarmiento 32</v>
          </cell>
          <cell r="K32" t="str">
            <v>336-4439222</v>
          </cell>
          <cell r="L32" t="str">
            <v>educa.snicolas@cruzroja.org.ar</v>
          </cell>
          <cell r="M32" t="str">
            <v>ULISES GIRARDI</v>
          </cell>
          <cell r="N32" t="str">
            <v>REPRESENTANTE LEGAL</v>
          </cell>
          <cell r="O32" t="str">
            <v>336-4439222</v>
          </cell>
          <cell r="P32" t="str">
            <v>ugiraldi@cruzroja.org.ar</v>
          </cell>
          <cell r="Q32" t="str">
            <v>CARLOS ADRIAN SIBERT</v>
          </cell>
          <cell r="R32" t="str">
            <v>DIRECTOR</v>
          </cell>
          <cell r="S32" t="str">
            <v>336-4587008</v>
          </cell>
          <cell r="T32" t="str">
            <v>casibert@hotmail.com</v>
          </cell>
          <cell r="U32">
            <v>2016</v>
          </cell>
          <cell r="V32" t="str">
            <v>-33.33346, -60.21104</v>
          </cell>
        </row>
        <row r="33">
          <cell r="B33">
            <v>60233900</v>
          </cell>
          <cell r="C33" t="str">
            <v>Instituto de Educación Superior de Formación Docente y Técnica (I.S.F.D.yT.) N° 80 Paulo Freire</v>
          </cell>
          <cell r="D33" t="str">
            <v>Buenos Aires</v>
          </cell>
          <cell r="E33" t="str">
            <v>Carlos Casares</v>
          </cell>
          <cell r="F33" t="str">
            <v>Carlos Casares</v>
          </cell>
          <cell r="G33">
            <v>6530</v>
          </cell>
          <cell r="H33" t="str">
            <v>Estatal</v>
          </cell>
          <cell r="I33" t="str">
            <v>Institución de Otro Nivel y/o Modalidad</v>
          </cell>
          <cell r="J33" t="str">
            <v>Av. Pte Perón 28</v>
          </cell>
          <cell r="K33" t="str">
            <v>2395-451697</v>
          </cell>
          <cell r="L33" t="str">
            <v>isfdyt80carloscasares@abc.gob.ar</v>
          </cell>
          <cell r="M33" t="str">
            <v>García, Gabriela Verónica</v>
          </cell>
          <cell r="N33" t="str">
            <v>Directora</v>
          </cell>
          <cell r="O33" t="str">
            <v>2395-451697</v>
          </cell>
          <cell r="P33" t="str">
            <v>gabgarcia10@abc.gob.ar</v>
          </cell>
          <cell r="Q33" t="str">
            <v>García, Gabriela Verónica</v>
          </cell>
          <cell r="R33" t="str">
            <v>Director</v>
          </cell>
          <cell r="S33" t="str">
            <v>2395-439443</v>
          </cell>
          <cell r="T33" t="str">
            <v>gabgarcia10@abc.gob.ar</v>
          </cell>
          <cell r="U33">
            <v>2016</v>
          </cell>
          <cell r="V33" t="str">
            <v>-35.62258, -61.36535</v>
          </cell>
        </row>
        <row r="34">
          <cell r="B34">
            <v>60270200</v>
          </cell>
          <cell r="C34" t="str">
            <v>Instituto Superior de Formacion Docente y Tecnica N° 173</v>
          </cell>
          <cell r="D34" t="str">
            <v>Buenos Aires</v>
          </cell>
          <cell r="E34" t="str">
            <v>Lomas de Zamora</v>
          </cell>
          <cell r="F34" t="str">
            <v>Lomas de Zamora</v>
          </cell>
          <cell r="G34">
            <v>1832</v>
          </cell>
          <cell r="H34" t="str">
            <v>Estatal</v>
          </cell>
          <cell r="I34" t="str">
            <v>Institución de Otro Nivel y/o Modalidad</v>
          </cell>
          <cell r="J34" t="str">
            <v>Av. Hipólito Yrigoyen 9428</v>
          </cell>
          <cell r="K34" t="str">
            <v>11-4243-4148</v>
          </cell>
          <cell r="L34" t="str">
            <v>isft173lomasdezamora@abc.gob.ar</v>
          </cell>
          <cell r="M34" t="str">
            <v>Carolina Isleño</v>
          </cell>
          <cell r="N34" t="str">
            <v>Directora</v>
          </cell>
          <cell r="O34" t="str">
            <v>11-4243-4148</v>
          </cell>
          <cell r="P34" t="str">
            <v>cisleno9@gmail.com</v>
          </cell>
          <cell r="Q34">
            <v>0</v>
          </cell>
          <cell r="R34">
            <v>0</v>
          </cell>
          <cell r="S34" t="str">
            <v>-</v>
          </cell>
          <cell r="T34">
            <v>0</v>
          </cell>
          <cell r="U34">
            <v>2021</v>
          </cell>
          <cell r="V34" t="str">
            <v>-34.76220219676609, -58.422761386092915</v>
          </cell>
        </row>
        <row r="35">
          <cell r="B35">
            <v>60339300</v>
          </cell>
          <cell r="C35" t="str">
            <v>Instituto Superior de Formación Docente (I.S.F.D.) N° 60</v>
          </cell>
          <cell r="D35" t="str">
            <v>Buenos Aires</v>
          </cell>
          <cell r="E35" t="str">
            <v>General Viamonte</v>
          </cell>
          <cell r="F35" t="str">
            <v>Los Toldos</v>
          </cell>
          <cell r="G35">
            <v>6015</v>
          </cell>
          <cell r="H35" t="str">
            <v>Estatal</v>
          </cell>
          <cell r="I35" t="str">
            <v>Institución de Otro Nivel y/o Modalidad</v>
          </cell>
          <cell r="J35" t="str">
            <v>Urquiza 553</v>
          </cell>
          <cell r="K35" t="str">
            <v>2358-442131</v>
          </cell>
          <cell r="L35" t="str">
            <v>isfd60viamonte@abc.gob.ar</v>
          </cell>
          <cell r="M35" t="str">
            <v>Claudia González</v>
          </cell>
          <cell r="N35" t="str">
            <v>Directora</v>
          </cell>
          <cell r="O35" t="str">
            <v>2355-442131</v>
          </cell>
          <cell r="P35" t="str">
            <v>esdeclaudia@gmail.com</v>
          </cell>
          <cell r="Q35" t="str">
            <v>César Horacio París</v>
          </cell>
          <cell r="R35" t="str">
            <v>Vícedirector</v>
          </cell>
          <cell r="S35" t="str">
            <v>2355-450620</v>
          </cell>
          <cell r="T35">
            <v>0</v>
          </cell>
          <cell r="U35">
            <v>2016</v>
          </cell>
          <cell r="V35" t="str">
            <v>-35.000666805798225, -61.03838734967363</v>
          </cell>
        </row>
        <row r="36">
          <cell r="B36">
            <v>60433000</v>
          </cell>
          <cell r="C36" t="str">
            <v xml:space="preserve">Instituto Superior de Formación Técnica (I.S.F.T.) Nº 188 </v>
          </cell>
          <cell r="D36" t="str">
            <v>Buenos Aires</v>
          </cell>
          <cell r="E36" t="str">
            <v>General Rodriguez</v>
          </cell>
          <cell r="F36" t="str">
            <v>General Rodriguez</v>
          </cell>
          <cell r="G36">
            <v>1749</v>
          </cell>
          <cell r="H36" t="str">
            <v>Estatal</v>
          </cell>
          <cell r="I36" t="str">
            <v>Institución de ETP</v>
          </cell>
          <cell r="J36" t="str">
            <v>Pueyrredon 781</v>
          </cell>
          <cell r="K36" t="str">
            <v>237-4842820</v>
          </cell>
          <cell r="L36" t="str">
            <v>isft188grodriguez@abc.gob.ar</v>
          </cell>
          <cell r="M36" t="str">
            <v>Juan Francisco Aguirre</v>
          </cell>
          <cell r="N36" t="str">
            <v>Director</v>
          </cell>
          <cell r="O36" t="str">
            <v>11-4842820</v>
          </cell>
          <cell r="P36" t="str">
            <v>juaaguirre4@abc.gob.ar</v>
          </cell>
          <cell r="Q36" t="str">
            <v>Todavia no esta designada</v>
          </cell>
          <cell r="R36">
            <v>0</v>
          </cell>
          <cell r="S36" t="str">
            <v>-</v>
          </cell>
          <cell r="T36">
            <v>0</v>
          </cell>
          <cell r="U36">
            <v>2022</v>
          </cell>
          <cell r="V36" t="str">
            <v>-34.612264205486, -58.954353416119886</v>
          </cell>
        </row>
        <row r="37">
          <cell r="B37">
            <v>60442300</v>
          </cell>
          <cell r="C37" t="str">
            <v>Instituto de Educación Superior de Formación Docente y Técnica (I.S.F.D.yT.) N° 59 Dr. Carlos Madariaga</v>
          </cell>
          <cell r="D37" t="str">
            <v>Buenos Aires</v>
          </cell>
          <cell r="E37" t="str">
            <v>Gral. Juan Madariaga</v>
          </cell>
          <cell r="F37" t="str">
            <v>Gral. Juan Madariaga</v>
          </cell>
          <cell r="G37">
            <v>7163</v>
          </cell>
          <cell r="H37" t="str">
            <v>Estatal</v>
          </cell>
          <cell r="I37" t="str">
            <v>Institución de Otro Nivel y/o Modalidad</v>
          </cell>
          <cell r="J37" t="str">
            <v>Martínez Ituño 213</v>
          </cell>
          <cell r="K37" t="str">
            <v>2267-421181</v>
          </cell>
          <cell r="L37" t="str">
            <v>isfdyt59madariaga@abc.gob.ar</v>
          </cell>
          <cell r="M37" t="str">
            <v>María Constanza Herrero</v>
          </cell>
          <cell r="N37" t="str">
            <v>Directora</v>
          </cell>
          <cell r="O37" t="str">
            <v>2267-421181</v>
          </cell>
          <cell r="P37" t="str">
            <v>constanza.herrero@hotmail.com</v>
          </cell>
          <cell r="Q37" t="str">
            <v>Lucero Ana Laura</v>
          </cell>
          <cell r="R37" t="str">
            <v>Profesora de Práctica Profesionalizante</v>
          </cell>
          <cell r="S37" t="str">
            <v>2267-15416910</v>
          </cell>
          <cell r="T37" t="str">
            <v>anlucero2@abc.gob.ar</v>
          </cell>
          <cell r="U37">
            <v>2016</v>
          </cell>
          <cell r="V37" t="str">
            <v>-37.00187, -57.13589</v>
          </cell>
        </row>
        <row r="38">
          <cell r="B38">
            <v>60563100</v>
          </cell>
          <cell r="C38" t="str">
            <v xml:space="preserve"> Instituto de Educación Superior de Formación Docente y Técnica N° 93</v>
          </cell>
          <cell r="D38" t="str">
            <v>Buenos Aires</v>
          </cell>
          <cell r="E38" t="str">
            <v>San Vicente</v>
          </cell>
          <cell r="F38" t="str">
            <v>San Vicente</v>
          </cell>
          <cell r="G38">
            <v>1865</v>
          </cell>
          <cell r="H38" t="str">
            <v>Estatal</v>
          </cell>
          <cell r="I38" t="str">
            <v>Institución de Otro Nivel y/o Modalidad</v>
          </cell>
          <cell r="J38" t="str">
            <v>San Martín 101</v>
          </cell>
          <cell r="K38" t="str">
            <v>2224-550282</v>
          </cell>
          <cell r="L38" t="str">
            <v>isfdyt93sanvicente@abc.gob.ar</v>
          </cell>
          <cell r="M38" t="str">
            <v>Omar José Spandre</v>
          </cell>
          <cell r="N38" t="str">
            <v>Director</v>
          </cell>
          <cell r="O38" t="str">
            <v>2224-550282</v>
          </cell>
          <cell r="P38" t="str">
            <v>ospandre@abc.gob.ar</v>
          </cell>
          <cell r="Q38" t="str">
            <v>Sebastian Navarro</v>
          </cell>
          <cell r="R38" t="str">
            <v>Regente</v>
          </cell>
          <cell r="S38" t="str">
            <v>2224-456174</v>
          </cell>
          <cell r="T38" t="str">
            <v>aguilaob2@gmail.com</v>
          </cell>
          <cell r="U38">
            <v>2021</v>
          </cell>
          <cell r="V38" t="str">
            <v>-35.02765413476043, -58.420900340670954</v>
          </cell>
        </row>
        <row r="39">
          <cell r="B39">
            <v>60574400</v>
          </cell>
          <cell r="C39" t="str">
            <v> Instituto de Educación Superior de Formación Docente y Técnica (I.S.F.D.yT.) N° 44</v>
          </cell>
          <cell r="D39" t="str">
            <v>Buenos Aires</v>
          </cell>
          <cell r="E39" t="str">
            <v xml:space="preserve">General Las Heras </v>
          </cell>
          <cell r="F39" t="str">
            <v xml:space="preserve">General Las Heras </v>
          </cell>
          <cell r="G39">
            <v>1741</v>
          </cell>
          <cell r="H39" t="str">
            <v>Estatal</v>
          </cell>
          <cell r="I39" t="str">
            <v>Institución de Otro Nivel y/o Modalidad</v>
          </cell>
          <cell r="J39" t="str">
            <v xml:space="preserve">JUEZ DUMONT </v>
          </cell>
          <cell r="K39" t="str">
            <v>220-4761279</v>
          </cell>
          <cell r="L39" t="str">
            <v>isfdyt44lasheras@abc.gob.ar</v>
          </cell>
          <cell r="M39" t="str">
            <v xml:space="preserve">LERTORA, MARIANA </v>
          </cell>
          <cell r="N39" t="str">
            <v>DIRECTORA</v>
          </cell>
          <cell r="O39" t="str">
            <v>11-4761279</v>
          </cell>
          <cell r="P39" t="str">
            <v>mlertora2@abc.gob.ar</v>
          </cell>
          <cell r="Q39" t="str">
            <v xml:space="preserve">MARINO CLAUDIA ALEJANDRA </v>
          </cell>
          <cell r="R39" t="str">
            <v xml:space="preserve">REGENTE </v>
          </cell>
          <cell r="S39" t="str">
            <v>2227-629261</v>
          </cell>
          <cell r="T39" t="str">
            <v>clmarino2@abc.gob.ar</v>
          </cell>
          <cell r="U39">
            <v>2017</v>
          </cell>
          <cell r="V39" t="str">
            <v>-34.92673, -58.9467</v>
          </cell>
        </row>
        <row r="40">
          <cell r="B40">
            <v>60595200</v>
          </cell>
          <cell r="C40" t="str">
            <v xml:space="preserve">Instituto de Educación Superior de Formación Docente y Técnica (I.S.F.D.yT.) Nº 118 </v>
          </cell>
          <cell r="D40" t="str">
            <v>Buenos Aires</v>
          </cell>
          <cell r="E40" t="str">
            <v>San Pedro</v>
          </cell>
          <cell r="F40" t="str">
            <v>San Pedro</v>
          </cell>
          <cell r="G40">
            <v>2930</v>
          </cell>
          <cell r="H40" t="str">
            <v>Estatal</v>
          </cell>
          <cell r="I40" t="str">
            <v>Institución de Otro Nivel y/o Modalidad</v>
          </cell>
          <cell r="J40" t="str">
            <v>BOTTARO 995</v>
          </cell>
          <cell r="K40" t="str">
            <v>3329-428950</v>
          </cell>
          <cell r="L40" t="str">
            <v>isft118@abc.gob.ar</v>
          </cell>
          <cell r="M40" t="str">
            <v>ENRIQUE REYNOSO</v>
          </cell>
          <cell r="N40" t="str">
            <v>DIRECTOR</v>
          </cell>
          <cell r="O40" t="str">
            <v>3329-428950</v>
          </cell>
          <cell r="P40" t="str">
            <v>enreynoso@abc.gob.ar</v>
          </cell>
          <cell r="Q40" t="str">
            <v>ENRIQUE REYNOSO</v>
          </cell>
          <cell r="R40" t="str">
            <v>DIRECTOR</v>
          </cell>
          <cell r="S40" t="str">
            <v>3329-625822</v>
          </cell>
          <cell r="T40" t="str">
            <v>enreynoso@abc.gob.ar</v>
          </cell>
          <cell r="U40">
            <v>2022</v>
          </cell>
          <cell r="V40" t="str">
            <v>-33.67771607494917, -59.67076966764637</v>
          </cell>
        </row>
        <row r="41">
          <cell r="B41">
            <v>60595600</v>
          </cell>
          <cell r="C41" t="str">
            <v xml:space="preserve">Instituto de Educación Superior de Formación Docente y Técnica (I.S.F.D.yT.) Nº 57 </v>
          </cell>
          <cell r="D41" t="str">
            <v>Buenos Aires</v>
          </cell>
          <cell r="E41" t="str">
            <v>Chascomús</v>
          </cell>
          <cell r="F41" t="str">
            <v>Chascomús</v>
          </cell>
          <cell r="G41">
            <v>7130</v>
          </cell>
          <cell r="H41" t="str">
            <v>Estatal</v>
          </cell>
          <cell r="I41" t="str">
            <v>Institución de Otro Nivel y/o Modalidad</v>
          </cell>
          <cell r="J41" t="str">
            <v>FRANKLIN N° 166</v>
          </cell>
          <cell r="K41" t="str">
            <v>2241-436710</v>
          </cell>
          <cell r="L41" t="str">
            <v>isfdyt57chascomus@abc.gob.ar</v>
          </cell>
          <cell r="M41" t="str">
            <v>ANA MARÍA WYRLEY-BIRCH</v>
          </cell>
          <cell r="N41" t="str">
            <v>DIRECTORA</v>
          </cell>
          <cell r="O41" t="str">
            <v>221-436710</v>
          </cell>
          <cell r="P41" t="str">
            <v>awyrleybirch@abc.gob.ar</v>
          </cell>
          <cell r="Q41" t="str">
            <v>ANA MARÍA MARCHETTI</v>
          </cell>
          <cell r="R41" t="str">
            <v>REGENTE</v>
          </cell>
          <cell r="S41" t="str">
            <v>2241-582891</v>
          </cell>
          <cell r="T41" t="str">
            <v>amarchetti6@abc.gob.ar</v>
          </cell>
          <cell r="U41">
            <v>2022</v>
          </cell>
          <cell r="V41" t="str">
            <v>-35.573368608250036, -58.01377947712262</v>
          </cell>
        </row>
        <row r="42">
          <cell r="B42">
            <v>60596500</v>
          </cell>
          <cell r="C42" t="str">
            <v>Instituto de Educación Superior de Formación Docente y Técnica (I.S.F.D.yT.) N° 48</v>
          </cell>
          <cell r="D42" t="str">
            <v>Buenos Aires</v>
          </cell>
          <cell r="E42" t="str">
            <v>Coronel Suarez</v>
          </cell>
          <cell r="F42" t="str">
            <v>Coronel Suarez</v>
          </cell>
          <cell r="G42">
            <v>7540</v>
          </cell>
          <cell r="H42" t="str">
            <v>Estatal</v>
          </cell>
          <cell r="I42" t="str">
            <v>Institución de Otro Nivel y/o Modalidad</v>
          </cell>
          <cell r="J42" t="str">
            <v>URIBURU 1472</v>
          </cell>
          <cell r="K42" t="str">
            <v>2926-431665</v>
          </cell>
          <cell r="L42" t="str">
            <v>isfdyt48csuarez@abc.gob.ar</v>
          </cell>
          <cell r="M42" t="str">
            <v>LIC MARTA CIMAROSTI</v>
          </cell>
          <cell r="N42" t="str">
            <v>DIRECTORA</v>
          </cell>
          <cell r="O42" t="str">
            <v>2926-431665</v>
          </cell>
          <cell r="P42" t="str">
            <v>mcimarosti@abc.gob.ar</v>
          </cell>
          <cell r="Q42" t="str">
            <v>LIC MARIA DE LOS ANGELES LAVAL</v>
          </cell>
          <cell r="R42" t="str">
            <v>COORDINADORA O JEFE DE AREA</v>
          </cell>
          <cell r="S42" t="str">
            <v>2926-419531</v>
          </cell>
          <cell r="T42" t="str">
            <v>marita.laval@hotmail.com</v>
          </cell>
          <cell r="U42">
            <v>2016</v>
          </cell>
          <cell r="V42" t="str">
            <v>-37.45861, -61.9328</v>
          </cell>
        </row>
        <row r="43">
          <cell r="B43">
            <v>60610300</v>
          </cell>
          <cell r="C43" t="str">
            <v>Instituto Superior de Formación Docente (I.S.F.D.) N° 85</v>
          </cell>
          <cell r="D43" t="str">
            <v>Buenos Aires</v>
          </cell>
          <cell r="E43" t="str">
            <v>Zárate</v>
          </cell>
          <cell r="F43" t="str">
            <v>Zárate</v>
          </cell>
          <cell r="G43">
            <v>2800</v>
          </cell>
          <cell r="H43" t="str">
            <v>Estatal</v>
          </cell>
          <cell r="I43" t="str">
            <v>Institución de Otro Nivel y/o Modalidad</v>
          </cell>
          <cell r="J43" t="str">
            <v>Av. Anta N°666</v>
          </cell>
          <cell r="K43" t="str">
            <v>3487-446480</v>
          </cell>
          <cell r="L43" t="str">
            <v>isfdyt85@yahoo.com</v>
          </cell>
          <cell r="M43" t="str">
            <v>Silvina Gabriela Vásquez</v>
          </cell>
          <cell r="N43" t="str">
            <v>Directora</v>
          </cell>
          <cell r="O43" t="str">
            <v>3487-446480</v>
          </cell>
          <cell r="P43" t="str">
            <v>silvinagvasquez@hotmail.com</v>
          </cell>
          <cell r="Q43">
            <v>0</v>
          </cell>
          <cell r="R43">
            <v>0</v>
          </cell>
          <cell r="S43" t="str">
            <v>-</v>
          </cell>
          <cell r="T43">
            <v>0</v>
          </cell>
          <cell r="U43">
            <v>2016</v>
          </cell>
          <cell r="V43" t="str">
            <v>-34.09578, -59.02423</v>
          </cell>
        </row>
        <row r="44">
          <cell r="B44">
            <v>60611700</v>
          </cell>
          <cell r="C44" t="str">
            <v>Instituto Escuela de Enfermería N° 4785 Escuela de Enfermeria de la Cruz Roja Argentina</v>
          </cell>
          <cell r="D44" t="str">
            <v>Buenos Aires</v>
          </cell>
          <cell r="E44" t="str">
            <v>Morón</v>
          </cell>
          <cell r="F44" t="str">
            <v>Morón</v>
          </cell>
          <cell r="G44">
            <v>1708</v>
          </cell>
          <cell r="H44" t="str">
            <v>Privado</v>
          </cell>
          <cell r="I44" t="str">
            <v>Institución de ETP</v>
          </cell>
          <cell r="J44" t="str">
            <v>Crisolólogo Larralde 939</v>
          </cell>
          <cell r="K44" t="str">
            <v>11-37547350</v>
          </cell>
          <cell r="L44" t="str">
            <v>moron@cruzroja.org.ar</v>
          </cell>
          <cell r="M44" t="str">
            <v>Verónica Edith Herrero</v>
          </cell>
          <cell r="N44" t="str">
            <v>Directora</v>
          </cell>
          <cell r="O44" t="str">
            <v>11-37547350</v>
          </cell>
          <cell r="P44" t="str">
            <v>vherrero@cruzroja.org.ar</v>
          </cell>
          <cell r="Q44" t="str">
            <v xml:space="preserve">Gustavo Ariel valenzuela </v>
          </cell>
          <cell r="R44" t="str">
            <v>vicedirector</v>
          </cell>
          <cell r="S44" t="str">
            <v>11-57553127</v>
          </cell>
          <cell r="T44" t="str">
            <v>gvalenzuela@cruzroja.org.ar</v>
          </cell>
          <cell r="U44">
            <v>2018</v>
          </cell>
          <cell r="V44" t="str">
            <v>-34.66312946744598, -58.61702977781997</v>
          </cell>
        </row>
        <row r="45">
          <cell r="B45">
            <v>60643100</v>
          </cell>
          <cell r="C45" t="str">
            <v>Instituto de Formación y Capacitación del Sindicato de Salud Pública de la Provincia de Buenos Aires</v>
          </cell>
          <cell r="D45" t="str">
            <v>Buenos Aires</v>
          </cell>
          <cell r="E45" t="str">
            <v>La Plata</v>
          </cell>
          <cell r="F45" t="str">
            <v>La Plata</v>
          </cell>
          <cell r="G45">
            <v>1900</v>
          </cell>
          <cell r="H45" t="str">
            <v>Privado</v>
          </cell>
          <cell r="I45" t="str">
            <v>Institución de ETP</v>
          </cell>
          <cell r="J45" t="str">
            <v>Diagonal 77 N°875</v>
          </cell>
          <cell r="K45" t="str">
            <v>221-427-1917  / 424-0313</v>
          </cell>
          <cell r="L45" t="str">
            <v>institutossp@gmail.com</v>
          </cell>
          <cell r="M45" t="str">
            <v>Facciuto, Nancy A.</v>
          </cell>
          <cell r="N45" t="str">
            <v>Directora</v>
          </cell>
          <cell r="O45" t="str">
            <v>234-427-1917  / 424-0313</v>
          </cell>
          <cell r="P45" t="str">
            <v>nancyfacciuto@hotmail.com</v>
          </cell>
          <cell r="Q45" t="str">
            <v>Perafan, Antonio I</v>
          </cell>
          <cell r="R45" t="str">
            <v>coordinador</v>
          </cell>
          <cell r="S45" t="str">
            <v>221-5526140</v>
          </cell>
          <cell r="T45" t="str">
            <v>antonio_ismael_perafan@hotmail.com</v>
          </cell>
          <cell r="U45">
            <v>2021</v>
          </cell>
          <cell r="V45" t="str">
            <v>-34.92136283588613, -57.953341581476856</v>
          </cell>
        </row>
        <row r="46">
          <cell r="B46">
            <v>60652600</v>
          </cell>
          <cell r="C46" t="str">
            <v>Instituto Escuela de Enfermería Inst.Escuela de Enfermeria y Espec.Paramedicas Cruz Roja</v>
          </cell>
          <cell r="D46" t="str">
            <v>Buenos Aires</v>
          </cell>
          <cell r="E46" t="str">
            <v>San Fernando</v>
          </cell>
          <cell r="F46" t="str">
            <v>San Fernando</v>
          </cell>
          <cell r="G46">
            <v>1646</v>
          </cell>
          <cell r="H46" t="str">
            <v>Privado</v>
          </cell>
          <cell r="I46" t="str">
            <v>Institución de ETP</v>
          </cell>
          <cell r="J46" t="str">
            <v>3 de febrero 1275</v>
          </cell>
          <cell r="K46" t="str">
            <v>11-4744-5959</v>
          </cell>
          <cell r="L46" t="str">
            <v>s-fernando@cruzroja.org.ar</v>
          </cell>
          <cell r="M46" t="str">
            <v>Celia Fabiana Pereyra</v>
          </cell>
          <cell r="N46" t="str">
            <v>Directora</v>
          </cell>
          <cell r="O46" t="str">
            <v>11-4744-5959</v>
          </cell>
          <cell r="P46" t="str">
            <v>dafer932@hotmail.com</v>
          </cell>
          <cell r="Q46" t="str">
            <v>Paola Natalia Gervan</v>
          </cell>
          <cell r="R46" t="str">
            <v>Profesora Practicas</v>
          </cell>
          <cell r="S46" t="str">
            <v>11-44354047</v>
          </cell>
          <cell r="T46" t="str">
            <v>pgervan@cruzroja.org.ar</v>
          </cell>
          <cell r="U46">
            <v>2018</v>
          </cell>
          <cell r="V46" t="str">
            <v>-34.440472921615786, -58.55785492292343</v>
          </cell>
        </row>
        <row r="47">
          <cell r="B47">
            <v>60661000</v>
          </cell>
          <cell r="C47" t="str">
            <v>Instituto de Educación Superior de Formación Docente y Técnica (I.S.F.D.yT.) N° 68</v>
          </cell>
          <cell r="D47" t="str">
            <v>Buenos Aires</v>
          </cell>
          <cell r="E47" t="str">
            <v>Adolfo Gonzales Chaves</v>
          </cell>
          <cell r="F47" t="str">
            <v>Adolfo G Chaves</v>
          </cell>
          <cell r="G47">
            <v>7513</v>
          </cell>
          <cell r="H47" t="str">
            <v>Estatal</v>
          </cell>
          <cell r="I47" t="str">
            <v>Institución de Otro Nivel y/o Modalidad</v>
          </cell>
          <cell r="J47" t="str">
            <v>MAIPU 684</v>
          </cell>
          <cell r="K47" t="str">
            <v>2983-482081</v>
          </cell>
          <cell r="L47" t="str">
            <v>isfd68@gmail.com</v>
          </cell>
          <cell r="M47" t="str">
            <v>PALAVECINO LAURA</v>
          </cell>
          <cell r="N47" t="str">
            <v>DIRECTOR</v>
          </cell>
          <cell r="O47" t="str">
            <v>2983-482081</v>
          </cell>
          <cell r="P47" t="str">
            <v>lpalavecino9@abc.gob.ar</v>
          </cell>
          <cell r="Q47" t="str">
            <v>LANDINO MARIA MARTA</v>
          </cell>
          <cell r="R47" t="str">
            <v>PROFESORA</v>
          </cell>
          <cell r="S47" t="str">
            <v>2983-511270</v>
          </cell>
          <cell r="T47" t="str">
            <v>mml812@gmail.com</v>
          </cell>
          <cell r="U47">
            <v>2016</v>
          </cell>
          <cell r="V47" t="str">
            <v>-38.03243, -60.09936</v>
          </cell>
        </row>
        <row r="48">
          <cell r="B48">
            <v>60670900</v>
          </cell>
          <cell r="C48" t="str">
            <v>Instituto Superior de Formacion Docente y Tecnica N° 37</v>
          </cell>
          <cell r="D48" t="str">
            <v>Buenos Aires</v>
          </cell>
          <cell r="E48" t="str">
            <v>Puan</v>
          </cell>
          <cell r="F48" t="str">
            <v>Darregueira</v>
          </cell>
          <cell r="G48">
            <v>8183</v>
          </cell>
          <cell r="H48" t="str">
            <v>Estatal</v>
          </cell>
          <cell r="I48" t="str">
            <v>Institución de Otro Nivel y/o Modalidad</v>
          </cell>
          <cell r="J48" t="str">
            <v>Rivadavia 41</v>
          </cell>
          <cell r="K48" t="str">
            <v>2924-421420</v>
          </cell>
          <cell r="L48" t="str">
            <v>institutosuperior37@gmail.com</v>
          </cell>
          <cell r="M48" t="str">
            <v>Carluccio Vanina</v>
          </cell>
          <cell r="N48" t="str">
            <v>Directora</v>
          </cell>
          <cell r="O48" t="str">
            <v>2924-421420</v>
          </cell>
          <cell r="P48" t="str">
            <v>vaninacarluccio@gmail.com</v>
          </cell>
          <cell r="Q48" t="str">
            <v>Mancini Maria Blen</v>
          </cell>
          <cell r="R48" t="str">
            <v>Profesora de Practica</v>
          </cell>
          <cell r="S48" t="str">
            <v>291-4605661</v>
          </cell>
          <cell r="T48" t="str">
            <v xml:space="preserve">mariabelenmancini@gmail.com </v>
          </cell>
          <cell r="U48">
            <v>2021</v>
          </cell>
          <cell r="V48" t="str">
            <v>-37.68927030089314, -63.16079494626128</v>
          </cell>
        </row>
        <row r="49">
          <cell r="B49">
            <v>60691500</v>
          </cell>
          <cell r="C49" t="str">
            <v>Instituto Superior de Formación Técnica (I.S.F.T.) N° 150 25 de Mayo</v>
          </cell>
          <cell r="D49" t="str">
            <v>Buenos Aires</v>
          </cell>
          <cell r="E49" t="str">
            <v>Carlos Tejedor</v>
          </cell>
          <cell r="F49" t="str">
            <v>Carlos Tejedor</v>
          </cell>
          <cell r="G49">
            <v>6455</v>
          </cell>
          <cell r="H49" t="str">
            <v>Estatal</v>
          </cell>
          <cell r="I49" t="str">
            <v>Institución de Otro Nivel y/o Modalidad</v>
          </cell>
          <cell r="J49" t="str">
            <v>ALEM N° 381</v>
          </cell>
          <cell r="K49" t="str">
            <v>2357-420140</v>
          </cell>
          <cell r="L49" t="str">
            <v>isft150@abc.gob.ar</v>
          </cell>
          <cell r="M49" t="str">
            <v xml:space="preserve">HOFFMANN ETHEL MARIANELA </v>
          </cell>
          <cell r="N49" t="str">
            <v xml:space="preserve">DIRECTORA </v>
          </cell>
          <cell r="O49" t="str">
            <v>2355-420140</v>
          </cell>
          <cell r="P49" t="str">
            <v>ehoffmann@abc.gob.ar</v>
          </cell>
          <cell r="Q49" t="str">
            <v>GREEVEY CLAUDIA LORENA</v>
          </cell>
          <cell r="R49" t="str">
            <v>PROFESORA</v>
          </cell>
          <cell r="S49" t="str">
            <v>2355-644809</v>
          </cell>
          <cell r="T49" t="str">
            <v>greeveyc78@hotmail.com</v>
          </cell>
          <cell r="U49">
            <v>2016</v>
          </cell>
          <cell r="V49" t="str">
            <v>-35.39252, -62.42187</v>
          </cell>
        </row>
        <row r="50">
          <cell r="B50">
            <v>60702400</v>
          </cell>
          <cell r="C50" t="str">
            <v>Instituto de Educación Superior de Formación Docente y Técnica (I.S.F.D.yT.) N° 158 José Manuel Estrada</v>
          </cell>
          <cell r="D50" t="str">
            <v>Buenos Aires</v>
          </cell>
          <cell r="E50" t="str">
            <v>Coronel Pringles</v>
          </cell>
          <cell r="F50" t="str">
            <v>Coronel Pringles</v>
          </cell>
          <cell r="G50">
            <v>7530</v>
          </cell>
          <cell r="H50" t="str">
            <v>Estatal</v>
          </cell>
          <cell r="I50" t="str">
            <v>Institución de Otro Nivel y/o Modalidad</v>
          </cell>
          <cell r="J50" t="str">
            <v>25 de mayo n° 1150</v>
          </cell>
          <cell r="K50" t="str">
            <v>-2922462178</v>
          </cell>
          <cell r="L50" t="str">
            <v>isfdyt158cpringles@abc.gob.ar</v>
          </cell>
          <cell r="M50" t="str">
            <v>Daniela Murgaitio</v>
          </cell>
          <cell r="N50" t="str">
            <v>Directora</v>
          </cell>
          <cell r="O50" t="str">
            <v>2923463821-2922462178</v>
          </cell>
          <cell r="P50" t="str">
            <v>mmurgaitio@abc.gob.ar</v>
          </cell>
          <cell r="Q50" t="str">
            <v>Luna Carlos</v>
          </cell>
          <cell r="R50" t="str">
            <v>-Profesor de practica</v>
          </cell>
          <cell r="S50" t="str">
            <v>2923503323-</v>
          </cell>
          <cell r="T50" t="str">
            <v>caluna7@abc.gob.ar</v>
          </cell>
          <cell r="U50">
            <v>2017</v>
          </cell>
          <cell r="V50" t="str">
            <v>-37.98525, -61.34979</v>
          </cell>
        </row>
        <row r="51">
          <cell r="B51">
            <v>60738300</v>
          </cell>
          <cell r="C51" t="str">
            <v xml:space="preserve"> Instituto Superior de Formación Docente N° 91 René Favaloro</v>
          </cell>
          <cell r="D51" t="str">
            <v>Buenos Aires</v>
          </cell>
          <cell r="E51" t="str">
            <v>Tapalqué</v>
          </cell>
          <cell r="F51" t="str">
            <v>Tapalqué</v>
          </cell>
          <cell r="G51">
            <v>7303</v>
          </cell>
          <cell r="H51" t="str">
            <v>Estatal</v>
          </cell>
          <cell r="I51" t="str">
            <v>Institución de Otro Nivel y/o Modalidad</v>
          </cell>
          <cell r="J51" t="str">
            <v>San Martín N° 97</v>
          </cell>
          <cell r="K51" t="str">
            <v>-2283-420987</v>
          </cell>
          <cell r="L51" t="str">
            <v>instituto91tapalqué@abc.gob</v>
          </cell>
          <cell r="M51" t="str">
            <v>Plumez, Analía Belén</v>
          </cell>
          <cell r="N51" t="str">
            <v>directora</v>
          </cell>
          <cell r="O51" t="str">
            <v>2281-532572-2283-420987</v>
          </cell>
          <cell r="P51" t="str">
            <v>anaplumez@abc.gob.ar</v>
          </cell>
          <cell r="Q51" t="str">
            <v>María José Cisneros</v>
          </cell>
          <cell r="R51" t="str">
            <v>profesora</v>
          </cell>
          <cell r="S51" t="str">
            <v>2281-570873</v>
          </cell>
          <cell r="T51">
            <v>0</v>
          </cell>
          <cell r="U51">
            <v>2021</v>
          </cell>
          <cell r="V51" t="str">
            <v>-36.35661584317057, -60.02563629768848</v>
          </cell>
        </row>
        <row r="52">
          <cell r="B52">
            <v>60767300</v>
          </cell>
          <cell r="C52" t="str">
            <v>Instituto de Educación Superior de Formación Docente y Técnica (I.S.F.D.yT.) N° 89 Dr. René Favaloro</v>
          </cell>
          <cell r="D52" t="str">
            <v>Buenos Aires</v>
          </cell>
          <cell r="E52" t="str">
            <v>La Costa</v>
          </cell>
          <cell r="F52" t="str">
            <v xml:space="preserve">Mar de Ajó </v>
          </cell>
          <cell r="G52">
            <v>7109</v>
          </cell>
          <cell r="H52" t="str">
            <v>Estatal</v>
          </cell>
          <cell r="I52" t="str">
            <v>Institución de Otro Nivel y/o Modalidad</v>
          </cell>
          <cell r="J52" t="str">
            <v>Entrerios 555</v>
          </cell>
          <cell r="K52" t="str">
            <v>2257-423606</v>
          </cell>
          <cell r="L52" t="str">
            <v>isfdyt89lacosta@abc.gob.ar</v>
          </cell>
          <cell r="M52" t="str">
            <v xml:space="preserve">Degange Analia </v>
          </cell>
          <cell r="N52" t="str">
            <v xml:space="preserve">Directora </v>
          </cell>
          <cell r="O52" t="str">
            <v>2257-423606</v>
          </cell>
          <cell r="P52" t="str">
            <v>degange1@hotmail.com</v>
          </cell>
          <cell r="Q52" t="str">
            <v xml:space="preserve">Mangiantini Silvia </v>
          </cell>
          <cell r="R52" t="str">
            <v xml:space="preserve">Profesora Práctica Profesionalizante </v>
          </cell>
          <cell r="S52" t="str">
            <v>2257-621002</v>
          </cell>
          <cell r="T52" t="str">
            <v>silviagabrielamangiantini55@gmail.com</v>
          </cell>
          <cell r="U52">
            <v>2016</v>
          </cell>
          <cell r="V52" t="str">
            <v>-36.72324, -56.67501</v>
          </cell>
        </row>
        <row r="53">
          <cell r="B53">
            <v>60770900</v>
          </cell>
          <cell r="C53" t="str">
            <v>Instituto de Educación Superior de Formación Docente y Técnica (I.S.F.D.yT.) N° 126 General José de San Martín</v>
          </cell>
          <cell r="D53" t="str">
            <v>Buenos Aires</v>
          </cell>
          <cell r="E53" t="str">
            <v>Salto</v>
          </cell>
          <cell r="F53" t="str">
            <v>Salto</v>
          </cell>
          <cell r="G53">
            <v>2741</v>
          </cell>
          <cell r="H53" t="str">
            <v>Estatal</v>
          </cell>
          <cell r="I53" t="str">
            <v>Institución de Otro Nivel y/o Modalidad</v>
          </cell>
          <cell r="J53" t="str">
            <v>Bernardino Esperanza 413</v>
          </cell>
          <cell r="K53" t="str">
            <v>2474-423102</v>
          </cell>
          <cell r="L53" t="str">
            <v>isfdyt126salto@abc.gob.ar</v>
          </cell>
          <cell r="M53" t="str">
            <v>Curutchet Silvia Nancy</v>
          </cell>
          <cell r="N53" t="str">
            <v>Directora Institucional</v>
          </cell>
          <cell r="O53" t="str">
            <v>2474-423102</v>
          </cell>
          <cell r="P53" t="str">
            <v>scurutchet@abc.gob.ar</v>
          </cell>
          <cell r="Q53" t="str">
            <v>Pedrosa Karina Mabel</v>
          </cell>
          <cell r="R53" t="str">
            <v>Vicedirectora</v>
          </cell>
          <cell r="S53" t="str">
            <v>2474-479613</v>
          </cell>
          <cell r="T53" t="str">
            <v>kpedrosa@abc.gob.ar</v>
          </cell>
          <cell r="U53">
            <v>2016</v>
          </cell>
          <cell r="V53" t="str">
            <v>-34.27635, -60.25359</v>
          </cell>
        </row>
        <row r="54">
          <cell r="B54">
            <v>60778000</v>
          </cell>
          <cell r="C54" t="str">
            <v>Instituto Superior de Formación Docente (I.S.F.D.) N° 26</v>
          </cell>
          <cell r="D54" t="str">
            <v>Buenos Aires</v>
          </cell>
          <cell r="E54" t="str">
            <v>Dolores</v>
          </cell>
          <cell r="F54" t="str">
            <v>Dolores</v>
          </cell>
          <cell r="G54">
            <v>7100</v>
          </cell>
          <cell r="H54" t="str">
            <v>Estatal</v>
          </cell>
          <cell r="I54" t="str">
            <v>Institución de Otro Nivel y/o Modalidad</v>
          </cell>
          <cell r="J54" t="str">
            <v>Vucetich 1477</v>
          </cell>
          <cell r="K54" t="str">
            <v>2245-503832</v>
          </cell>
          <cell r="L54" t="str">
            <v>isfdyt26dolores@abc.gob.ar</v>
          </cell>
          <cell r="M54" t="str">
            <v>Marcelo Laterrade</v>
          </cell>
          <cell r="N54" t="str">
            <v>Director</v>
          </cell>
          <cell r="O54" t="str">
            <v>503832-503832</v>
          </cell>
          <cell r="P54" t="str">
            <v>laterrademarcelo@gmail.com</v>
          </cell>
          <cell r="Q54" t="str">
            <v>Marcelo Laterrade</v>
          </cell>
          <cell r="R54" t="str">
            <v>Director</v>
          </cell>
          <cell r="S54" t="str">
            <v>503832-</v>
          </cell>
          <cell r="T54" t="str">
            <v>laterrademarcelo@gmail.com</v>
          </cell>
          <cell r="U54">
            <v>2016</v>
          </cell>
          <cell r="V54" t="str">
            <v>-36.314895611485156, -57.6794512408251</v>
          </cell>
        </row>
        <row r="55">
          <cell r="B55">
            <v>60786800</v>
          </cell>
          <cell r="C55" t="str">
            <v>Instituto Superior de Formación Docente (I.S.F.D.) N° 49</v>
          </cell>
          <cell r="D55" t="str">
            <v>Buenos Aires</v>
          </cell>
          <cell r="E55" t="str">
            <v>Brandsen</v>
          </cell>
          <cell r="F55" t="str">
            <v>Brandsen</v>
          </cell>
          <cell r="G55">
            <v>1980</v>
          </cell>
          <cell r="H55" t="str">
            <v>Estatal</v>
          </cell>
          <cell r="I55" t="str">
            <v>Institución de Otro Nivel y/o Modalidad</v>
          </cell>
          <cell r="J55" t="str">
            <v>Calle 119 esquina Alcidez Villano</v>
          </cell>
          <cell r="K55" t="str">
            <v>2223-509480</v>
          </cell>
          <cell r="L55" t="str">
            <v>isfdyt49brandsen@gmail.com</v>
          </cell>
          <cell r="M55" t="str">
            <v>Sonia Saavedra</v>
          </cell>
          <cell r="N55" t="str">
            <v>Directora</v>
          </cell>
          <cell r="O55" t="str">
            <v>2223-509480</v>
          </cell>
          <cell r="P55" t="str">
            <v>soniasaavedra171273@gmail.com</v>
          </cell>
          <cell r="Q55" t="str">
            <v>César Gómez</v>
          </cell>
          <cell r="R55" t="str">
            <v>Vicedirector</v>
          </cell>
          <cell r="S55" t="str">
            <v>-2223 675148</v>
          </cell>
          <cell r="T55" t="str">
            <v>cesgom70@gmail.com</v>
          </cell>
          <cell r="U55">
            <v>2016</v>
          </cell>
          <cell r="V55" t="str">
            <v>-35.16795, -58.23737</v>
          </cell>
        </row>
        <row r="56">
          <cell r="B56">
            <v>60791000</v>
          </cell>
          <cell r="C56" t="str">
            <v>Instituto de Educación Superior de Formación Docente y Técnica (I.S.F.D.yT.) Nº 71 Profesor Ceferino Artigas</v>
          </cell>
          <cell r="D56" t="str">
            <v>Buenos Aires</v>
          </cell>
          <cell r="E56" t="str">
            <v>Pellegrini</v>
          </cell>
          <cell r="F56" t="str">
            <v>Pellegrini</v>
          </cell>
          <cell r="G56">
            <v>6346</v>
          </cell>
          <cell r="H56" t="str">
            <v>Estatal</v>
          </cell>
          <cell r="I56" t="str">
            <v>Institución de Otro Nivel y/o Modalidad</v>
          </cell>
          <cell r="J56" t="str">
            <v>Belgrano Nº135</v>
          </cell>
          <cell r="K56" t="str">
            <v>2392-637770</v>
          </cell>
          <cell r="L56" t="str">
            <v>isfdyt71pellegrini@abc.gob.ar</v>
          </cell>
          <cell r="M56" t="str">
            <v>Sofía Magdalena Gambier</v>
          </cell>
          <cell r="N56" t="str">
            <v>Directora</v>
          </cell>
          <cell r="O56" t="str">
            <v>2392-637770</v>
          </cell>
          <cell r="P56" t="str">
            <v>sgambier@abc.gob.ar</v>
          </cell>
          <cell r="Q56" t="str">
            <v>Sofía Magdalena Gambier</v>
          </cell>
          <cell r="R56" t="str">
            <v>Directora</v>
          </cell>
          <cell r="S56" t="str">
            <v>2329-637770</v>
          </cell>
          <cell r="T56" t="str">
            <v>sgamabier@abc.gob.ar</v>
          </cell>
          <cell r="U56">
            <v>2022</v>
          </cell>
          <cell r="V56" t="str">
            <v>-36.270512894270055, -63.164311115615135</v>
          </cell>
        </row>
        <row r="57">
          <cell r="B57">
            <v>60797800</v>
          </cell>
          <cell r="C57" t="str">
            <v>ISFD yT N° 138 – Escuela Normal Superior “Domingo Fidel Sarmiento”</v>
          </cell>
          <cell r="D57" t="str">
            <v>Buenos Aires</v>
          </cell>
          <cell r="E57" t="str">
            <v>Capitán Sarmiento</v>
          </cell>
          <cell r="F57" t="str">
            <v>Capitán Sarmiento</v>
          </cell>
          <cell r="G57">
            <v>2752</v>
          </cell>
          <cell r="H57" t="str">
            <v>Estatal</v>
          </cell>
          <cell r="I57" t="str">
            <v>Institución de ETP</v>
          </cell>
          <cell r="J57" t="str">
            <v>Avenida Presidente Perón 604</v>
          </cell>
          <cell r="K57" t="str">
            <v>2478-482000</v>
          </cell>
          <cell r="L57" t="str">
            <v>isfdyt138csarmiento@abc.gob.ar</v>
          </cell>
          <cell r="M57" t="str">
            <v>Marcela V Blanco</v>
          </cell>
          <cell r="N57" t="str">
            <v>Directora Institucional</v>
          </cell>
          <cell r="O57" t="str">
            <v>11-482000</v>
          </cell>
          <cell r="P57" t="str">
            <v>marcblanco4@abc.gob.ar</v>
          </cell>
          <cell r="Q57" t="str">
            <v>Prof Patricia V Matas</v>
          </cell>
          <cell r="R57" t="str">
            <v>Vicedirectora UAC</v>
          </cell>
          <cell r="S57" t="str">
            <v>2478-</v>
          </cell>
          <cell r="T57" t="str">
            <v>pmatas@abc.gob.ar</v>
          </cell>
          <cell r="U57">
            <v>2019</v>
          </cell>
          <cell r="V57" t="str">
            <v>-34.17021397521873, -59.79367380347277</v>
          </cell>
        </row>
        <row r="58">
          <cell r="B58">
            <v>60798600</v>
          </cell>
          <cell r="C58" t="str">
            <v>Instituto de Educación Superior de Formación Docente y Técnica (I.S.F.D.yT.) N° 63 Malvinas Argentinas</v>
          </cell>
          <cell r="D58" t="str">
            <v>Buenos Aires</v>
          </cell>
          <cell r="E58" t="str">
            <v>Mar Chiquita</v>
          </cell>
          <cell r="F58" t="str">
            <v>Coronel Vidal</v>
          </cell>
          <cell r="G58">
            <v>7174</v>
          </cell>
          <cell r="H58" t="str">
            <v>Estatal</v>
          </cell>
          <cell r="I58" t="str">
            <v>Institución de Otro Nivel y/o Modalidad</v>
          </cell>
          <cell r="J58" t="str">
            <v>BELTRAMI N° 185</v>
          </cell>
          <cell r="K58" t="str">
            <v>2265-432854</v>
          </cell>
          <cell r="L58" t="str">
            <v>isfd63marchiquita@abc.gob.ar</v>
          </cell>
          <cell r="M58" t="str">
            <v>SANABRIA LEONARDO SEBASTIAN</v>
          </cell>
          <cell r="N58" t="str">
            <v>DIRECTOR</v>
          </cell>
          <cell r="O58" t="str">
            <v>2265-432854</v>
          </cell>
          <cell r="P58" t="str">
            <v>lsanabria9@abc.gob.ar</v>
          </cell>
          <cell r="Q58" t="str">
            <v>GOMEZ LAURA</v>
          </cell>
          <cell r="R58" t="str">
            <v>PROFESORA</v>
          </cell>
          <cell r="S58" t="str">
            <v>223-4377862</v>
          </cell>
          <cell r="T58" t="str">
            <v>lauramgomez79@gmail.com</v>
          </cell>
          <cell r="U58">
            <v>2022</v>
          </cell>
          <cell r="V58" t="str">
            <v>-37.44552889877767, -57.72749753989206</v>
          </cell>
        </row>
        <row r="59">
          <cell r="B59">
            <v>60799700</v>
          </cell>
          <cell r="C59" t="str">
            <v xml:space="preserve">Instituto Superior de Formación Técnica (I.S.F.T.) N° 132 Colegio Nacional General San Martín </v>
          </cell>
          <cell r="D59" t="str">
            <v>Buenos Aires</v>
          </cell>
          <cell r="E59" t="str">
            <v>Chacabuco</v>
          </cell>
          <cell r="F59" t="str">
            <v>Chacabuco</v>
          </cell>
          <cell r="G59">
            <v>6740</v>
          </cell>
          <cell r="H59" t="str">
            <v>Estatal</v>
          </cell>
          <cell r="I59" t="str">
            <v>Institución de Otro Nivel y/o Modalidad</v>
          </cell>
          <cell r="J59" t="str">
            <v>Zapiola 215</v>
          </cell>
          <cell r="K59" t="str">
            <v>2352-451222</v>
          </cell>
          <cell r="L59" t="str">
            <v>isft132@abc.gob.ar</v>
          </cell>
          <cell r="M59" t="str">
            <v>Oscar Serafino</v>
          </cell>
          <cell r="N59" t="str">
            <v>Director</v>
          </cell>
          <cell r="O59" t="str">
            <v>2352-451222</v>
          </cell>
          <cell r="P59" t="str">
            <v>iserafino@abc.gob.ar</v>
          </cell>
          <cell r="Q59" t="str">
            <v>Luis Luján Ramírez</v>
          </cell>
          <cell r="R59" t="str">
            <v>Vicedirector</v>
          </cell>
          <cell r="S59" t="str">
            <v>11-28052917</v>
          </cell>
          <cell r="T59" t="str">
            <v>luislujanramirez1@gmail.com</v>
          </cell>
          <cell r="U59">
            <v>2016</v>
          </cell>
          <cell r="V59" t="str">
            <v>-34.64052791392786, -60.464081717500626</v>
          </cell>
        </row>
        <row r="60">
          <cell r="B60">
            <v>60807100</v>
          </cell>
          <cell r="C60" t="str">
            <v>Instituto Superior de Formación Docente (I.S.F.D.) N° 53</v>
          </cell>
          <cell r="D60" t="str">
            <v>Buenos Aires</v>
          </cell>
          <cell r="E60" t="str">
            <v>Almirante Brown</v>
          </cell>
          <cell r="F60" t="str">
            <v>Glew</v>
          </cell>
          <cell r="G60">
            <v>1858</v>
          </cell>
          <cell r="H60" t="str">
            <v>Estatal</v>
          </cell>
          <cell r="I60" t="str">
            <v>Institución de Otro Nivel y/o Modalidad</v>
          </cell>
          <cell r="J60" t="str">
            <v>SOLDI 268</v>
          </cell>
          <cell r="K60" t="str">
            <v>2224-423339</v>
          </cell>
          <cell r="L60" t="str">
            <v>instituto53@gmail.com.ar</v>
          </cell>
          <cell r="M60" t="str">
            <v>Gladys Fernandez</v>
          </cell>
          <cell r="N60" t="str">
            <v>Directora</v>
          </cell>
          <cell r="O60" t="str">
            <v>11-423339</v>
          </cell>
          <cell r="P60" t="str">
            <v>gla_fernandez@hotmail.com</v>
          </cell>
          <cell r="Q60" t="str">
            <v>Héctor Donato Ortiz</v>
          </cell>
          <cell r="R60" t="str">
            <v>Jefe de Area</v>
          </cell>
          <cell r="S60" t="str">
            <v>11-50108284</v>
          </cell>
          <cell r="T60" t="str">
            <v>hortiz@abc.gob.ar</v>
          </cell>
          <cell r="U60">
            <v>2016</v>
          </cell>
          <cell r="V60" t="str">
            <v>-34.89264, -58.38567</v>
          </cell>
        </row>
        <row r="61">
          <cell r="B61">
            <v>60831300</v>
          </cell>
          <cell r="C61" t="str">
            <v>Instituto Superior de Formación Técnica (I.S.F.T.) N° 4406 Escuela de Enfermería. y Esp. Paramédicas Cruz Roja -Lomas de Zamora</v>
          </cell>
          <cell r="D61" t="str">
            <v>Buenos Aires</v>
          </cell>
          <cell r="E61" t="str">
            <v>Lomas de Zamora</v>
          </cell>
          <cell r="F61" t="str">
            <v>Lomas de Zamora</v>
          </cell>
          <cell r="G61">
            <v>1832</v>
          </cell>
          <cell r="H61" t="str">
            <v>Privado</v>
          </cell>
          <cell r="I61" t="str">
            <v>Institución de ETP</v>
          </cell>
          <cell r="J61" t="str">
            <v>Saenz 749</v>
          </cell>
          <cell r="K61" t="str">
            <v>11-42443105</v>
          </cell>
          <cell r="L61" t="str">
            <v>educa.lzamora@cruzroja.org.ar</v>
          </cell>
          <cell r="M61" t="str">
            <v>FURNO JORGE OMAR</v>
          </cell>
          <cell r="N61" t="str">
            <v xml:space="preserve">DIRECTOR </v>
          </cell>
          <cell r="O61" t="str">
            <v>-42443105</v>
          </cell>
          <cell r="P61" t="str">
            <v>educa.lzamora@cruzroja.org.ar</v>
          </cell>
          <cell r="Q61" t="str">
            <v>ALBORNOZ JAVIER</v>
          </cell>
          <cell r="R61" t="str">
            <v>JEFE DE AREA ENFERMERIA</v>
          </cell>
          <cell r="S61" t="str">
            <v>-1150209759</v>
          </cell>
          <cell r="T61" t="str">
            <v>javier.albornoz@gmail.com</v>
          </cell>
          <cell r="U61">
            <v>2016</v>
          </cell>
          <cell r="V61" t="str">
            <v>-34.76118, -58.43024</v>
          </cell>
        </row>
        <row r="62">
          <cell r="B62">
            <v>60845900</v>
          </cell>
          <cell r="C62" t="str">
            <v>Instituto de Educación Superior de Formación Docente y Técnica (ISFDyT) N° 70 Manuel Belgrano</v>
          </cell>
          <cell r="D62" t="str">
            <v>Buenos Aires</v>
          </cell>
          <cell r="E62" t="str">
            <v>Rauch</v>
          </cell>
          <cell r="F62" t="str">
            <v>Rauch</v>
          </cell>
          <cell r="G62">
            <v>7203</v>
          </cell>
          <cell r="H62" t="str">
            <v>Estatal</v>
          </cell>
          <cell r="I62" t="str">
            <v>Institución de Otro Nivel y/o Modalidad</v>
          </cell>
          <cell r="J62" t="str">
            <v>Larrea N°276</v>
          </cell>
          <cell r="K62" t="str">
            <v>2297-442985</v>
          </cell>
          <cell r="L62" t="str">
            <v>isfdyt70rauch@abc.gob.ar</v>
          </cell>
          <cell r="M62" t="str">
            <v>Gerardo Landaburu</v>
          </cell>
          <cell r="N62" t="str">
            <v xml:space="preserve">Director </v>
          </cell>
          <cell r="O62" t="str">
            <v>2494-442985</v>
          </cell>
          <cell r="P62" t="str">
            <v>gelandaburu@abc.gob.ar</v>
          </cell>
          <cell r="Q62" t="str">
            <v xml:space="preserve">Gerardo Landaburu </v>
          </cell>
          <cell r="R62" t="str">
            <v xml:space="preserve">Director </v>
          </cell>
          <cell r="S62" t="str">
            <v>2494-530869</v>
          </cell>
          <cell r="T62">
            <v>0</v>
          </cell>
          <cell r="U62">
            <v>2016</v>
          </cell>
          <cell r="V62" t="str">
            <v>-36.77491, -59.08978</v>
          </cell>
        </row>
        <row r="63">
          <cell r="B63">
            <v>60863000</v>
          </cell>
          <cell r="C63" t="str">
            <v>Instituto Escuela de Enfermería N° 4948 Escuela de Enfermeria de la Cruz Roja Argentina</v>
          </cell>
          <cell r="D63" t="str">
            <v>Buenos Aires</v>
          </cell>
          <cell r="E63" t="str">
            <v>Tres de Febrero</v>
          </cell>
          <cell r="F63" t="str">
            <v>Santos Lugares</v>
          </cell>
          <cell r="G63">
            <v>1676</v>
          </cell>
          <cell r="H63" t="str">
            <v>Privado</v>
          </cell>
          <cell r="I63" t="str">
            <v>Institución de ETP</v>
          </cell>
          <cell r="J63" t="str">
            <v>ERNESTO SABATO N 3670</v>
          </cell>
          <cell r="K63" t="str">
            <v>11-4757-2625</v>
          </cell>
          <cell r="L63" t="str">
            <v>slugares@cruzroja.org.ar</v>
          </cell>
          <cell r="M63" t="str">
            <v>Lic. ALICIA N. MORA</v>
          </cell>
          <cell r="N63" t="str">
            <v>DIRECTORA</v>
          </cell>
          <cell r="O63" t="str">
            <v>15-4757-2625</v>
          </cell>
          <cell r="P63" t="str">
            <v>amora@cruzroja.org.ar</v>
          </cell>
          <cell r="Q63" t="str">
            <v>Lic. BERTA ROBLE</v>
          </cell>
          <cell r="R63" t="str">
            <v>JEFA de ENSEÑANZA PRACTICAS</v>
          </cell>
          <cell r="S63" t="str">
            <v>15-63507614</v>
          </cell>
          <cell r="T63" t="str">
            <v>broble@cruzroja.org.ar</v>
          </cell>
          <cell r="U63">
            <v>2018</v>
          </cell>
          <cell r="V63" t="str">
            <v>-34.59975599578886, -58.54634392620306</v>
          </cell>
        </row>
        <row r="64">
          <cell r="B64">
            <v>60877900</v>
          </cell>
          <cell r="C64" t="str">
            <v>Instituto Escuela de Enfermería N° 5003 Escuela de Enf. y Esp. Paramedicas Cruz Roja Argentina Filial Lujan</v>
          </cell>
          <cell r="D64" t="str">
            <v>Buenos Aires</v>
          </cell>
          <cell r="E64" t="str">
            <v>Luján</v>
          </cell>
          <cell r="F64" t="str">
            <v>Luján</v>
          </cell>
          <cell r="G64">
            <v>6700</v>
          </cell>
          <cell r="H64" t="str">
            <v>Privado</v>
          </cell>
          <cell r="I64" t="str">
            <v>Institución de ETP</v>
          </cell>
          <cell r="J64" t="str">
            <v>Belgrano 874</v>
          </cell>
          <cell r="K64" t="str">
            <v>2323-432073</v>
          </cell>
          <cell r="L64" t="str">
            <v>educa.lujan@cruzroja.org.ar</v>
          </cell>
          <cell r="M64" t="str">
            <v>Gianotti Adriana</v>
          </cell>
          <cell r="N64" t="str">
            <v>Directora</v>
          </cell>
          <cell r="O64" t="str">
            <v>2323-432073</v>
          </cell>
          <cell r="P64" t="str">
            <v>adrigianotti@gmail.com</v>
          </cell>
          <cell r="Q64" t="str">
            <v>Rubial Margarita</v>
          </cell>
          <cell r="R64" t="str">
            <v>Vicedirectora</v>
          </cell>
          <cell r="S64" t="str">
            <v>11-40376776</v>
          </cell>
          <cell r="T64" t="str">
            <v>mrubial@cruzroja.org.ar</v>
          </cell>
          <cell r="U64">
            <v>2018</v>
          </cell>
          <cell r="V64" t="str">
            <v>-34.56761795905696, -59.106582732027206</v>
          </cell>
        </row>
        <row r="65">
          <cell r="B65">
            <v>60909700</v>
          </cell>
          <cell r="C65" t="str">
            <v>Instituto Superior de Formacion Docente y Tecnica N° 72</v>
          </cell>
          <cell r="D65" t="str">
            <v>Buenos Aires</v>
          </cell>
          <cell r="E65" t="str">
            <v>Gral. Lamadrid</v>
          </cell>
          <cell r="F65" t="str">
            <v>Gral la Madrid</v>
          </cell>
          <cell r="G65">
            <v>7406</v>
          </cell>
          <cell r="H65" t="str">
            <v>Estatal</v>
          </cell>
          <cell r="I65" t="str">
            <v>Institución de Otro Nivel y/o Modalidad</v>
          </cell>
          <cell r="J65" t="str">
            <v>Moreno 353</v>
          </cell>
          <cell r="K65" t="str">
            <v>2286-471292</v>
          </cell>
          <cell r="L65" t="str">
            <v>isfdyt72glamadrid@abc.gob.ar</v>
          </cell>
          <cell r="M65" t="str">
            <v>Cintia Sereno</v>
          </cell>
          <cell r="N65" t="str">
            <v>Secretaria</v>
          </cell>
          <cell r="O65" t="str">
            <v>2284-471292</v>
          </cell>
          <cell r="P65" t="str">
            <v>csereno2@abc.gob.ar</v>
          </cell>
          <cell r="Q65" t="str">
            <v>Silveyra Mariela</v>
          </cell>
          <cell r="R65" t="str">
            <v>Profesora</v>
          </cell>
          <cell r="S65" t="str">
            <v>2284-661808</v>
          </cell>
          <cell r="T65" t="str">
            <v>marsilveyra13@abc.gob.ar</v>
          </cell>
          <cell r="U65">
            <v>2021</v>
          </cell>
          <cell r="V65" t="str">
            <v>-37.24800241011629, -61.262517923275546</v>
          </cell>
        </row>
        <row r="66">
          <cell r="B66">
            <v>60932500</v>
          </cell>
          <cell r="C66" t="str">
            <v>Instituto Superior de Formación Técnica (I.S.F.T.) N° 182</v>
          </cell>
          <cell r="D66" t="str">
            <v>Buenos Aires</v>
          </cell>
          <cell r="E66" t="str">
            <v>San Miguel</v>
          </cell>
          <cell r="F66" t="str">
            <v>San Miguel</v>
          </cell>
          <cell r="G66" t="str">
            <v>B1659</v>
          </cell>
          <cell r="H66" t="str">
            <v>Estatal</v>
          </cell>
          <cell r="I66" t="str">
            <v>Institución de ETP</v>
          </cell>
          <cell r="J66" t="str">
            <v>Sargento Lorca y Cabo Santillán - Barrio de Suboficiales Sargento Cabral</v>
          </cell>
          <cell r="K66" t="str">
            <v>11-46673993</v>
          </cell>
          <cell r="L66" t="str">
            <v>isft182@abc.gob.ar</v>
          </cell>
          <cell r="M66" t="str">
            <v>Ayala, Christian Abel</v>
          </cell>
          <cell r="N66" t="str">
            <v>Director</v>
          </cell>
          <cell r="O66" t="str">
            <v>11-46673993</v>
          </cell>
          <cell r="P66" t="str">
            <v>christian.a.ayala@gmail.com</v>
          </cell>
          <cell r="Q66" t="str">
            <v>Ayala, Christian Abel</v>
          </cell>
          <cell r="R66" t="str">
            <v>Director</v>
          </cell>
          <cell r="S66" t="str">
            <v>11-68974010</v>
          </cell>
          <cell r="T66" t="str">
            <v>christian.a.ayala@gmail.com</v>
          </cell>
          <cell r="U66">
            <v>2018</v>
          </cell>
          <cell r="V66" t="str">
            <v>-34.55058851139668, -58.731328239468404</v>
          </cell>
        </row>
        <row r="67">
          <cell r="B67">
            <v>60950000</v>
          </cell>
          <cell r="C67" t="str">
            <v>Instituto Superior de Formación Docente (I.S.F.D.) N° 87 Domingo Faustino Sarmiento</v>
          </cell>
          <cell r="D67" t="str">
            <v>Buenos Aires</v>
          </cell>
          <cell r="E67" t="str">
            <v>Ayacucho</v>
          </cell>
          <cell r="F67" t="str">
            <v>Ayacucho</v>
          </cell>
          <cell r="G67">
            <v>7150</v>
          </cell>
          <cell r="H67" t="str">
            <v>Estatal</v>
          </cell>
          <cell r="I67" t="str">
            <v>Institución de Otro Nivel y/o Modalidad</v>
          </cell>
          <cell r="J67" t="str">
            <v>BELGRANO 720</v>
          </cell>
          <cell r="K67" t="str">
            <v>2296-454806</v>
          </cell>
          <cell r="L67" t="str">
            <v>isfdyt87ayacucho@abc.gob.ar</v>
          </cell>
          <cell r="M67" t="str">
            <v>Daniel Allamanno</v>
          </cell>
          <cell r="N67" t="str">
            <v>Director Unidad Academica N° 1</v>
          </cell>
          <cell r="O67" t="str">
            <v>249-454806</v>
          </cell>
          <cell r="P67" t="str">
            <v>pipimix@hotmail.com</v>
          </cell>
          <cell r="Q67" t="str">
            <v>Carlos Mariano Oillataguerre</v>
          </cell>
          <cell r="R67" t="str">
            <v>Jefe de Area de Carreras Tecnicas</v>
          </cell>
          <cell r="S67" t="str">
            <v>249-4531049</v>
          </cell>
          <cell r="T67" t="str">
            <v>contadormariano@yahoo.com.ar</v>
          </cell>
          <cell r="U67">
            <v>2016</v>
          </cell>
          <cell r="V67" t="str">
            <v>-37.1538219882788, -58.48585395695203</v>
          </cell>
        </row>
        <row r="68">
          <cell r="B68">
            <v>60956100</v>
          </cell>
          <cell r="C68" t="str">
            <v>Instituto de Educación Superior de Formación Docente y Técnica (I.S.F.D.yT.) N° 124 Juan B. Marenzi</v>
          </cell>
          <cell r="D68" t="str">
            <v>Buenos Aires</v>
          </cell>
          <cell r="E68" t="str">
            <v>Colón</v>
          </cell>
          <cell r="F68" t="str">
            <v>Colón</v>
          </cell>
          <cell r="G68">
            <v>2720</v>
          </cell>
          <cell r="H68" t="str">
            <v>Estatal</v>
          </cell>
          <cell r="I68" t="str">
            <v>Institución de Otro Nivel y/o Modalidad</v>
          </cell>
          <cell r="J68" t="str">
            <v>Avenida de las Palmeras entre 13 y 14</v>
          </cell>
          <cell r="K68" t="str">
            <v>2473-431389</v>
          </cell>
          <cell r="L68" t="str">
            <v>isfdyt124colon@abc.gob.ar</v>
          </cell>
          <cell r="M68" t="str">
            <v>Federico Pissinis</v>
          </cell>
          <cell r="N68" t="str">
            <v>Director Institucional</v>
          </cell>
          <cell r="O68" t="str">
            <v>2473-431389</v>
          </cell>
          <cell r="P68" t="str">
            <v>fpissinis@abc.gob.ar</v>
          </cell>
          <cell r="Q68" t="str">
            <v>Hoses, Diego / Barraza, Ana</v>
          </cell>
          <cell r="R68" t="str">
            <v>Docentes de Prácticas Profesionalizantes</v>
          </cell>
          <cell r="S68" t="str">
            <v>2473-417639 / 404982</v>
          </cell>
          <cell r="T68" t="str">
            <v>hosesdiego@gmail.com / anaestherbarraza25@gmail.com</v>
          </cell>
          <cell r="U68">
            <v>2016</v>
          </cell>
          <cell r="V68" t="str">
            <v>-33.8943160433113, -61.09823471820927</v>
          </cell>
        </row>
        <row r="69">
          <cell r="B69">
            <v>60982700</v>
          </cell>
          <cell r="C69" t="str">
            <v>Instituto de Educación Superior de Formación Docente y Técnica (I.S.F.D.yT.) N° 40</v>
          </cell>
          <cell r="D69" t="str">
            <v>Buenos Aires</v>
          </cell>
          <cell r="E69" t="str">
            <v>Trenque Lauquen</v>
          </cell>
          <cell r="F69" t="str">
            <v>Trenque Lauquen</v>
          </cell>
          <cell r="G69">
            <v>6400</v>
          </cell>
          <cell r="H69" t="str">
            <v>Estatal</v>
          </cell>
          <cell r="I69" t="str">
            <v>Institución de Otro Nivel y/o Modalidad</v>
          </cell>
          <cell r="J69" t="str">
            <v>Quintana N° 110</v>
          </cell>
          <cell r="K69" t="str">
            <v>2392-430149</v>
          </cell>
          <cell r="L69" t="str">
            <v>isfdyt40trenquelauquen@abc.gob.ar</v>
          </cell>
          <cell r="M69" t="str">
            <v>Piñero, Carlos Roberto</v>
          </cell>
          <cell r="N69" t="str">
            <v>Director</v>
          </cell>
          <cell r="O69" t="str">
            <v>2392-430149</v>
          </cell>
          <cell r="P69" t="str">
            <v>charlytrenke@gmail.com</v>
          </cell>
          <cell r="Q69" t="str">
            <v>Luna, Sara</v>
          </cell>
          <cell r="R69" t="str">
            <v>Profesora de Práctica II</v>
          </cell>
          <cell r="S69" t="str">
            <v>2392-565141</v>
          </cell>
          <cell r="T69" t="str">
            <v>saradanielaluna2283@gmail.com</v>
          </cell>
          <cell r="U69">
            <v>2016</v>
          </cell>
          <cell r="V69" t="str">
            <v>-35.97327, -62.73259</v>
          </cell>
        </row>
        <row r="70">
          <cell r="B70">
            <v>61045600</v>
          </cell>
          <cell r="C70" t="str">
            <v xml:space="preserve"> Instituto Superior de Formacion Docente y Tecnica N° 184</v>
          </cell>
          <cell r="D70" t="str">
            <v>Buenos Aires</v>
          </cell>
          <cell r="E70" t="str">
            <v>Pilar</v>
          </cell>
          <cell r="F70" t="str">
            <v>Pilar</v>
          </cell>
          <cell r="G70">
            <v>1629</v>
          </cell>
          <cell r="H70" t="str">
            <v>Estatal</v>
          </cell>
          <cell r="I70" t="str">
            <v>Institución de ETP</v>
          </cell>
          <cell r="J70" t="str">
            <v>Sanguinetti 521</v>
          </cell>
          <cell r="K70" t="str">
            <v>230-4521932</v>
          </cell>
          <cell r="L70" t="str">
            <v>isft184oficial@gmail.com</v>
          </cell>
          <cell r="M70" t="str">
            <v>Luis Píccoli</v>
          </cell>
          <cell r="N70" t="str">
            <v>Director</v>
          </cell>
          <cell r="O70" t="str">
            <v>230-4521932</v>
          </cell>
          <cell r="P70" t="str">
            <v>luipiccoli@abc.gob.ar</v>
          </cell>
          <cell r="Q70" t="str">
            <v>Luis Píccoli</v>
          </cell>
          <cell r="R70" t="str">
            <v>Director</v>
          </cell>
          <cell r="S70" t="str">
            <v>230-4521932</v>
          </cell>
          <cell r="T70" t="str">
            <v>luisalbertopiccoli@yahoo.com.ar</v>
          </cell>
          <cell r="U70">
            <v>2021</v>
          </cell>
          <cell r="V70" t="str">
            <v>-34.46158757554942, -58.91315877840916</v>
          </cell>
        </row>
        <row r="71">
          <cell r="B71">
            <v>61128600</v>
          </cell>
          <cell r="C71" t="str">
            <v>Instituto Superior de Formación Docente (I.S.F.D.) N° 73 Rosario Vera Peñaloza</v>
          </cell>
          <cell r="D71" t="str">
            <v>Buenos Aires</v>
          </cell>
          <cell r="E71" t="str">
            <v>Guamini</v>
          </cell>
          <cell r="F71" t="str">
            <v>Guamini</v>
          </cell>
          <cell r="G71">
            <v>6435</v>
          </cell>
          <cell r="H71" t="str">
            <v>Estatal</v>
          </cell>
          <cell r="I71" t="str">
            <v>Institución de Otro Nivel y/o Modalidad</v>
          </cell>
          <cell r="J71" t="str">
            <v>SAN MARTIN 322</v>
          </cell>
          <cell r="K71" t="str">
            <v>2929-430176</v>
          </cell>
          <cell r="L71" t="str">
            <v>isfdyt73guamini@abc.gob.ar</v>
          </cell>
          <cell r="M71" t="str">
            <v>VANESA YANINA ARBALLO</v>
          </cell>
          <cell r="N71" t="str">
            <v>DIRECTOR</v>
          </cell>
          <cell r="O71" t="str">
            <v>2923-430176</v>
          </cell>
          <cell r="P71" t="str">
            <v>yaninaarballo123@gmail.com</v>
          </cell>
          <cell r="Q71" t="str">
            <v>MARIA DEL CARMEN ARIAS</v>
          </cell>
          <cell r="R71" t="str">
            <v>PROFESORA PRACTICAS</v>
          </cell>
          <cell r="S71" t="str">
            <v>2923-435411</v>
          </cell>
          <cell r="T71" t="str">
            <v>maryarias59@hotmail.com</v>
          </cell>
          <cell r="U71">
            <v>2016</v>
          </cell>
          <cell r="V71" t="str">
            <v>-37.0126, -62.41847</v>
          </cell>
        </row>
        <row r="72">
          <cell r="B72">
            <v>61172600</v>
          </cell>
          <cell r="C72" t="str">
            <v>Instituto de Educación Superior de Formación Docente y Técnica (I.S.F.D.yT.) N° 125 Nicolás Avellaneda</v>
          </cell>
          <cell r="D72" t="str">
            <v>Buenos Aires</v>
          </cell>
          <cell r="E72" t="str">
            <v>Rojas</v>
          </cell>
          <cell r="F72" t="str">
            <v>Rojas</v>
          </cell>
          <cell r="G72">
            <v>2705</v>
          </cell>
          <cell r="H72" t="str">
            <v>Estatal</v>
          </cell>
          <cell r="I72" t="str">
            <v>Institución de Otro Nivel y/o Modalidad</v>
          </cell>
          <cell r="J72" t="str">
            <v>Lamadrid 262</v>
          </cell>
          <cell r="K72" t="str">
            <v>2475-</v>
          </cell>
          <cell r="L72" t="str">
            <v>isfdyt125rojas@abc.gob.ar</v>
          </cell>
          <cell r="M72" t="str">
            <v>Maria de los Ángeles Bachigalupi</v>
          </cell>
          <cell r="N72" t="str">
            <v>Directora</v>
          </cell>
          <cell r="O72" t="str">
            <v>2474-</v>
          </cell>
          <cell r="P72" t="str">
            <v>mbachigalupi@abc.gob.ar</v>
          </cell>
          <cell r="Q72" t="str">
            <v>Elias Veronica</v>
          </cell>
          <cell r="R72" t="str">
            <v>Profesora</v>
          </cell>
          <cell r="S72" t="str">
            <v>2474-471145</v>
          </cell>
          <cell r="T72" t="str">
            <v>velias4@abc.gob.ar</v>
          </cell>
          <cell r="U72">
            <v>2016</v>
          </cell>
          <cell r="V72" t="str">
            <v>-34.19769, -60.7338</v>
          </cell>
        </row>
        <row r="73">
          <cell r="B73">
            <v>61185300</v>
          </cell>
          <cell r="C73" t="str">
            <v>Instituto Escuela de Enfermería N° 4887 Cruz Roja Argentina - Filial Lanús - DIPREGEP</v>
          </cell>
          <cell r="D73" t="str">
            <v>Buenos Aires</v>
          </cell>
          <cell r="E73" t="str">
            <v>Lanús</v>
          </cell>
          <cell r="F73" t="str">
            <v>Lanús</v>
          </cell>
          <cell r="G73">
            <v>1824</v>
          </cell>
          <cell r="H73" t="str">
            <v>Privado</v>
          </cell>
          <cell r="I73" t="str">
            <v>Institución de ETP</v>
          </cell>
          <cell r="J73" t="str">
            <v>A. EVA PERÖN 2502</v>
          </cell>
          <cell r="K73" t="str">
            <v>4241-2536</v>
          </cell>
          <cell r="L73" t="str">
            <v>crlanus@uolsinectis.com.ar</v>
          </cell>
          <cell r="M73" t="str">
            <v>De Cillis, Graciela Mabel</v>
          </cell>
          <cell r="N73" t="str">
            <v>Directora</v>
          </cell>
          <cell r="O73" t="str">
            <v>11-2536</v>
          </cell>
          <cell r="P73" t="str">
            <v>g_decillis@hotmail.com</v>
          </cell>
          <cell r="Q73" t="str">
            <v>Alcaraz, Sara Mabel</v>
          </cell>
          <cell r="R73" t="str">
            <v>Coordinadora</v>
          </cell>
          <cell r="S73" t="str">
            <v>15-5497-5599</v>
          </cell>
          <cell r="T73" t="str">
            <v>saramabel03@outlook.com</v>
          </cell>
          <cell r="U73">
            <v>2016</v>
          </cell>
          <cell r="V73" t="str">
            <v>-34.70745, -58.38309</v>
          </cell>
        </row>
        <row r="74">
          <cell r="B74">
            <v>61190300</v>
          </cell>
          <cell r="C74" t="str">
            <v>Instituto Superior de Formacion Docente y Tecnica N° 162</v>
          </cell>
          <cell r="D74" t="str">
            <v>Buenos Aires</v>
          </cell>
          <cell r="E74" t="str">
            <v>Tornquist</v>
          </cell>
          <cell r="F74" t="str">
            <v>Tornquist</v>
          </cell>
          <cell r="G74">
            <v>8160</v>
          </cell>
          <cell r="H74" t="str">
            <v>Estatal</v>
          </cell>
          <cell r="I74" t="str">
            <v>Institución de Otro Nivel y/o Modalidad</v>
          </cell>
          <cell r="J74" t="str">
            <v>Av. Ernesto Tornquist 319</v>
          </cell>
          <cell r="K74" t="str">
            <v>291-4941150</v>
          </cell>
          <cell r="L74" t="str">
            <v>isfdyt162tornquist@abc.gob.ar</v>
          </cell>
          <cell r="M74" t="str">
            <v>Frattini, Vico</v>
          </cell>
          <cell r="N74" t="str">
            <v>Director</v>
          </cell>
          <cell r="O74" t="str">
            <v>291-4941150</v>
          </cell>
          <cell r="P74" t="str">
            <v>frattinicaro@hotmail.com</v>
          </cell>
          <cell r="Q74" t="str">
            <v>Bellei, Gustavo</v>
          </cell>
          <cell r="R74" t="str">
            <v>Profesor</v>
          </cell>
          <cell r="S74" t="str">
            <v>291-5392646</v>
          </cell>
          <cell r="T74" t="str">
            <v>bellei4@hotmail.com</v>
          </cell>
          <cell r="U74">
            <v>2021</v>
          </cell>
          <cell r="V74" t="str">
            <v>-38.100490826894244, -62.22304427626999</v>
          </cell>
        </row>
        <row r="75">
          <cell r="B75">
            <v>61190700</v>
          </cell>
          <cell r="C75" t="str">
            <v>Instituto de Educación Superior de Formación Docente y Técnica (I.S.F.D.yT.) N° 65</v>
          </cell>
          <cell r="D75" t="str">
            <v>Buenos Aires</v>
          </cell>
          <cell r="E75" t="str">
            <v>San Cayetano</v>
          </cell>
          <cell r="F75" t="str">
            <v>San Cayetano</v>
          </cell>
          <cell r="G75">
            <v>7521</v>
          </cell>
          <cell r="H75" t="str">
            <v>Estatal</v>
          </cell>
          <cell r="I75" t="str">
            <v>Institución de Otro Nivel y/o Modalidad</v>
          </cell>
          <cell r="J75" t="str">
            <v>Sarmiento 648</v>
          </cell>
          <cell r="K75" t="str">
            <v>2983-414385</v>
          </cell>
          <cell r="L75" t="str">
            <v>el5desanca@gmail.com</v>
          </cell>
          <cell r="M75" t="str">
            <v>ADAMINI Mariana</v>
          </cell>
          <cell r="N75" t="str">
            <v>Dra.</v>
          </cell>
          <cell r="O75" t="str">
            <v>2983-414385</v>
          </cell>
          <cell r="P75" t="str">
            <v>marianaadamini@gmail.com</v>
          </cell>
          <cell r="Q75">
            <v>0</v>
          </cell>
          <cell r="R75">
            <v>0</v>
          </cell>
          <cell r="S75" t="str">
            <v>-</v>
          </cell>
          <cell r="T75">
            <v>0</v>
          </cell>
          <cell r="U75">
            <v>2016</v>
          </cell>
          <cell r="V75" t="str">
            <v>-38.34323, -59.61144</v>
          </cell>
        </row>
        <row r="76">
          <cell r="B76">
            <v>61233400</v>
          </cell>
          <cell r="C76" t="str">
            <v>Instituto Superior N° 4709 Escuela de Enfermeria Instituto Cruz Roja Argentina</v>
          </cell>
          <cell r="D76" t="str">
            <v>Buenos Aires</v>
          </cell>
          <cell r="E76" t="str">
            <v>San Isidro</v>
          </cell>
          <cell r="F76" t="str">
            <v>San Isidro</v>
          </cell>
          <cell r="G76">
            <v>1642</v>
          </cell>
          <cell r="H76" t="str">
            <v>Privado</v>
          </cell>
          <cell r="I76" t="str">
            <v>Institución de ETP</v>
          </cell>
          <cell r="J76" t="str">
            <v>Rivadavia 454</v>
          </cell>
          <cell r="K76" t="str">
            <v>11-47437487</v>
          </cell>
          <cell r="L76" t="str">
            <v>s-isidro@cruzroja.org.ar</v>
          </cell>
          <cell r="M76" t="str">
            <v xml:space="preserve">Lic. Daniel Pedraza </v>
          </cell>
          <cell r="N76" t="str">
            <v>Director</v>
          </cell>
          <cell r="O76" t="str">
            <v>11-47437487</v>
          </cell>
          <cell r="P76" t="str">
            <v>pdaniel525@hotmail.com</v>
          </cell>
          <cell r="Q76" t="str">
            <v xml:space="preserve">Lic. Daniel Pedraza </v>
          </cell>
          <cell r="R76" t="str">
            <v>Director</v>
          </cell>
          <cell r="S76" t="str">
            <v>11-51548281</v>
          </cell>
          <cell r="T76" t="str">
            <v>pdaniel525@hotmail.com</v>
          </cell>
          <cell r="U76">
            <v>2018</v>
          </cell>
          <cell r="V76" t="str">
            <v>-34.46660149148362, -58.50945081294019</v>
          </cell>
        </row>
        <row r="77">
          <cell r="B77">
            <v>61288800</v>
          </cell>
          <cell r="C77" t="str">
            <v>Instituto Superior de Formación Técnica (I.S.F.T.) N° 180 Localidad Mariano Moreno</v>
          </cell>
          <cell r="D77" t="str">
            <v>Buenos Aires</v>
          </cell>
          <cell r="E77" t="str">
            <v>Moreno</v>
          </cell>
          <cell r="F77" t="str">
            <v>Moreno</v>
          </cell>
          <cell r="G77">
            <v>1744</v>
          </cell>
          <cell r="H77" t="str">
            <v>Estatal</v>
          </cell>
          <cell r="I77" t="str">
            <v>Institución de ETP</v>
          </cell>
          <cell r="J77" t="str">
            <v>VIAMONTE 2615</v>
          </cell>
          <cell r="K77" t="str">
            <v>237-4626593</v>
          </cell>
          <cell r="L77" t="str">
            <v>isft180demoreno@yahoo.com.ar</v>
          </cell>
          <cell r="M77" t="str">
            <v>Viviana Monardo</v>
          </cell>
          <cell r="N77" t="str">
            <v>Directora</v>
          </cell>
          <cell r="O77" t="str">
            <v>11-4626593</v>
          </cell>
          <cell r="P77" t="str">
            <v>vivimonar@gmail.com</v>
          </cell>
          <cell r="Q77" t="str">
            <v>María Adriana Derdoy</v>
          </cell>
          <cell r="R77" t="str">
            <v>Jefa de Área</v>
          </cell>
          <cell r="S77" t="str">
            <v>11-63372597</v>
          </cell>
          <cell r="T77" t="str">
            <v>jefaturadeareaenfermeria180@gmail.com</v>
          </cell>
          <cell r="U77">
            <v>2016</v>
          </cell>
          <cell r="V77" t="str">
            <v>-34.634, -58.79138</v>
          </cell>
        </row>
        <row r="78">
          <cell r="B78">
            <v>61302600</v>
          </cell>
          <cell r="C78" t="str">
            <v>Instituto Superior de Formación Técnica (I.S.F.T.) N° 192</v>
          </cell>
          <cell r="D78" t="str">
            <v>Buenos Aires</v>
          </cell>
          <cell r="E78" t="str">
            <v>Baradero</v>
          </cell>
          <cell r="F78" t="str">
            <v>Baradero</v>
          </cell>
          <cell r="G78">
            <v>2942</v>
          </cell>
          <cell r="H78" t="str">
            <v>Estatal</v>
          </cell>
          <cell r="I78" t="str">
            <v>Institución de ETP</v>
          </cell>
          <cell r="J78" t="str">
            <v>SANTA MARIA DE ORO 971</v>
          </cell>
          <cell r="K78" t="str">
            <v>3329-480266</v>
          </cell>
          <cell r="L78" t="str">
            <v>isft192baradero@abc.gob.ar</v>
          </cell>
          <cell r="M78" t="str">
            <v>AREBALO, NESTOR</v>
          </cell>
          <cell r="N78" t="str">
            <v>DIRECTOR</v>
          </cell>
          <cell r="O78" t="str">
            <v>3329-480266</v>
          </cell>
          <cell r="P78" t="str">
            <v>narebalo@abc.gob.ar</v>
          </cell>
          <cell r="Q78" t="str">
            <v>DE CESARE NOELIA</v>
          </cell>
          <cell r="R78" t="str">
            <v>JEFA DE AREA</v>
          </cell>
          <cell r="S78" t="str">
            <v>3329-601945</v>
          </cell>
          <cell r="T78" t="str">
            <v>ndecesare1@abc.gob.ar</v>
          </cell>
          <cell r="U78">
            <v>2016</v>
          </cell>
          <cell r="V78" t="str">
            <v>-33.81201, -59.50463</v>
          </cell>
        </row>
        <row r="79">
          <cell r="B79">
            <v>61337200</v>
          </cell>
          <cell r="C79" t="str">
            <v>Escuela Técnica Privada N° 4996 Esc. de Enf. de la Cruz Roja Arg. F. Vicente Lopez 4996</v>
          </cell>
          <cell r="D79" t="str">
            <v>Buenos Aires</v>
          </cell>
          <cell r="E79" t="str">
            <v>Vicente López</v>
          </cell>
          <cell r="F79" t="str">
            <v>Florida</v>
          </cell>
          <cell r="G79">
            <v>1602</v>
          </cell>
          <cell r="H79" t="str">
            <v>Privado</v>
          </cell>
          <cell r="I79" t="str">
            <v>Institución de ETP</v>
          </cell>
          <cell r="J79" t="str">
            <v>Remedios Escalada de San martín 1411</v>
          </cell>
          <cell r="K79" t="str">
            <v>11-6873-1458</v>
          </cell>
          <cell r="L79" t="str">
            <v>secretaria.vlopez@cruzroja.org.ar</v>
          </cell>
          <cell r="M79" t="str">
            <v>Prof. Lic. Carlos Carnascari</v>
          </cell>
          <cell r="N79" t="str">
            <v>Director</v>
          </cell>
          <cell r="O79" t="str">
            <v>11-6873-1458</v>
          </cell>
          <cell r="P79" t="str">
            <v>liccc02@yahoo.com.ar</v>
          </cell>
          <cell r="Q79" t="str">
            <v>Prof. Lic. Samuel Machado Barcelos</v>
          </cell>
          <cell r="R79" t="str">
            <v>Coordinador Carrera de Enfermería</v>
          </cell>
          <cell r="S79" t="str">
            <v>11-6731-8708</v>
          </cell>
          <cell r="T79" t="str">
            <v>samuca_77@yahoo.com.ar</v>
          </cell>
          <cell r="U79">
            <v>2016</v>
          </cell>
          <cell r="V79" t="str">
            <v>-34.5338755639653, -58.49215639332827</v>
          </cell>
        </row>
        <row r="80">
          <cell r="B80">
            <v>61375800</v>
          </cell>
          <cell r="C80" t="str">
            <v>Instituto Superior de Formacion Docente y Tecnica N° 146</v>
          </cell>
          <cell r="D80" t="str">
            <v>Buenos Aires</v>
          </cell>
          <cell r="E80" t="str">
            <v>Salliquelo</v>
          </cell>
          <cell r="F80" t="str">
            <v>Salliqueló</v>
          </cell>
          <cell r="G80">
            <v>6339</v>
          </cell>
          <cell r="H80" t="str">
            <v>Estatal</v>
          </cell>
          <cell r="I80" t="str">
            <v>Institución de Otro Nivel y/o Modalidad</v>
          </cell>
          <cell r="J80" t="str">
            <v>Inglaterra Nº 35</v>
          </cell>
          <cell r="K80" t="str">
            <v>2392-562757</v>
          </cell>
          <cell r="L80" t="str">
            <v>isfdyt146salliquelo@abc.gob.ar</v>
          </cell>
          <cell r="M80" t="str">
            <v>Mónica Beatriz Nadal</v>
          </cell>
          <cell r="N80" t="str">
            <v>Directora Institucional</v>
          </cell>
          <cell r="O80" t="str">
            <v>2392-562757</v>
          </cell>
          <cell r="P80" t="str">
            <v>monadal@abc.gob.ar</v>
          </cell>
          <cell r="Q80" t="str">
            <v>Mónica Beatriz Nadal</v>
          </cell>
          <cell r="R80" t="str">
            <v>Directora</v>
          </cell>
          <cell r="S80" t="str">
            <v>2392-562757</v>
          </cell>
          <cell r="T80" t="str">
            <v>monadal@abc.gob.ar</v>
          </cell>
          <cell r="U80">
            <v>2021</v>
          </cell>
          <cell r="V80" t="str">
            <v>-36.75120218060326, -62.96035358923972</v>
          </cell>
        </row>
        <row r="81">
          <cell r="B81">
            <v>61578100</v>
          </cell>
          <cell r="C81" t="str">
            <v>Escuela Técnica Privada N° 5679 Escuela de Enfermeria Cruz Roja Argentina</v>
          </cell>
          <cell r="D81" t="str">
            <v>Buenos Aires</v>
          </cell>
          <cell r="E81" t="str">
            <v>Almirante Brown</v>
          </cell>
          <cell r="F81" t="str">
            <v>Adrogué</v>
          </cell>
          <cell r="G81">
            <v>1846</v>
          </cell>
          <cell r="H81" t="str">
            <v>Privado</v>
          </cell>
          <cell r="I81" t="str">
            <v>Institución de ETP</v>
          </cell>
          <cell r="J81" t="str">
            <v>Pasaje las Delicias 1112</v>
          </cell>
          <cell r="K81" t="str">
            <v>11-42940078</v>
          </cell>
          <cell r="L81" t="str">
            <v>cruzrojaaltebrown@hotmail.com</v>
          </cell>
          <cell r="M81" t="str">
            <v>Ciani Fabiana Karina</v>
          </cell>
          <cell r="N81" t="str">
            <v>Directora</v>
          </cell>
          <cell r="O81" t="str">
            <v>54911-42940078</v>
          </cell>
          <cell r="P81" t="str">
            <v>fabianaciani14@gmail.com</v>
          </cell>
          <cell r="Q81" t="str">
            <v>Gennaro Marta Patricia</v>
          </cell>
          <cell r="R81" t="str">
            <v>Coordinadora</v>
          </cell>
          <cell r="S81" t="str">
            <v>54911-60332054</v>
          </cell>
          <cell r="T81" t="str">
            <v>patriciagenn@hotmail.com</v>
          </cell>
          <cell r="U81">
            <v>2016</v>
          </cell>
          <cell r="V81" t="str">
            <v>-34.80123, -58.3889</v>
          </cell>
        </row>
        <row r="82">
          <cell r="B82">
            <v>61613900</v>
          </cell>
          <cell r="C82" t="str">
            <v>Instituto Superior de Formación Técnica (I.S.F.T.) N° 75</v>
          </cell>
          <cell r="D82" t="str">
            <v>Buenos Aires</v>
          </cell>
          <cell r="E82" t="str">
            <v>Tandil</v>
          </cell>
          <cell r="F82" t="str">
            <v>Tandil</v>
          </cell>
          <cell r="G82">
            <v>7000</v>
          </cell>
          <cell r="H82" t="str">
            <v>Estatal</v>
          </cell>
          <cell r="I82" t="str">
            <v>Institución de ETP</v>
          </cell>
          <cell r="J82" t="str">
            <v>Aeronáutica Argentina 2700</v>
          </cell>
          <cell r="K82" t="str">
            <v>2494-645586</v>
          </cell>
          <cell r="L82" t="str">
            <v>instituto75tandil@gmail.com</v>
          </cell>
          <cell r="M82" t="str">
            <v>Lutz, Daniela</v>
          </cell>
          <cell r="N82" t="str">
            <v>Directora</v>
          </cell>
          <cell r="O82" t="str">
            <v>2494 645586-645586</v>
          </cell>
          <cell r="P82" t="str">
            <v>instituto75tandil@gmail.com</v>
          </cell>
          <cell r="Q82" t="str">
            <v>Pereyra, Jorge</v>
          </cell>
          <cell r="R82" t="str">
            <v>Jefe de área</v>
          </cell>
          <cell r="S82" t="str">
            <v>2494-632989</v>
          </cell>
          <cell r="T82" t="str">
            <v>jorgepereyra632@gmail.com</v>
          </cell>
          <cell r="U82">
            <v>2016</v>
          </cell>
          <cell r="V82" t="str">
            <v>-37.32879, -59.13671</v>
          </cell>
        </row>
        <row r="83">
          <cell r="B83">
            <v>62056100</v>
          </cell>
          <cell r="C83" t="str">
            <v xml:space="preserve">Instituto Superior de Formación Técnica (I.S.F.T.) N° 194  </v>
          </cell>
          <cell r="D83" t="str">
            <v>Buenos Aires</v>
          </cell>
          <cell r="E83" t="str">
            <v>General Alvarado</v>
          </cell>
          <cell r="F83" t="str">
            <v>Miramar</v>
          </cell>
          <cell r="G83">
            <v>7607</v>
          </cell>
          <cell r="H83" t="str">
            <v>Estatal</v>
          </cell>
          <cell r="I83" t="str">
            <v>Institución de ETP</v>
          </cell>
          <cell r="J83" t="str">
            <v>Fortunato de la Plaza 1602</v>
          </cell>
          <cell r="K83" t="str">
            <v>2291-433791</v>
          </cell>
          <cell r="L83" t="str">
            <v>isft194galvarado@abc.gob.ar</v>
          </cell>
          <cell r="M83" t="str">
            <v>Coco Maria Soledad</v>
          </cell>
          <cell r="N83" t="str">
            <v>Directora</v>
          </cell>
          <cell r="O83" t="str">
            <v>223-433791</v>
          </cell>
          <cell r="P83" t="str">
            <v>isft194galvarado@abc.gob.ar</v>
          </cell>
          <cell r="Q83" t="str">
            <v>Villabona Soledad</v>
          </cell>
          <cell r="R83" t="str">
            <v>Jefa de Área</v>
          </cell>
          <cell r="S83" t="str">
            <v>223-4393887</v>
          </cell>
          <cell r="T83" t="str">
            <v>jefaturadeareaisft194@gmail.com</v>
          </cell>
          <cell r="U83">
            <v>2016</v>
          </cell>
          <cell r="V83" t="str">
            <v>-38.2619426863285, -57.83865268476294</v>
          </cell>
        </row>
        <row r="84">
          <cell r="B84">
            <v>62111300</v>
          </cell>
          <cell r="C84" t="str">
            <v>Escuela Municipal de Enfermería e Instrumentación Quirúrgica María Eva Duarte de Perón</v>
          </cell>
          <cell r="D84" t="str">
            <v>Buenos Aires</v>
          </cell>
          <cell r="E84" t="str">
            <v>Lomas de Zamora</v>
          </cell>
          <cell r="F84" t="str">
            <v>Lomas de Zamora</v>
          </cell>
          <cell r="G84">
            <v>1832</v>
          </cell>
          <cell r="H84" t="str">
            <v>Privado</v>
          </cell>
          <cell r="I84" t="str">
            <v>Institución de ETP</v>
          </cell>
          <cell r="J84" t="str">
            <v>BALCARCE 353</v>
          </cell>
          <cell r="K84" t="str">
            <v xml:space="preserve">11-42445841 - 61589453 - </v>
          </cell>
          <cell r="L84" t="str">
            <v>isftn6008@hotmail.com</v>
          </cell>
          <cell r="M84" t="str">
            <v>Sainz Hector Osvaldo</v>
          </cell>
          <cell r="N84" t="str">
            <v>Director</v>
          </cell>
          <cell r="O84" t="str">
            <v xml:space="preserve">11-42445841 - 61589453 - </v>
          </cell>
          <cell r="P84" t="str">
            <v>hsainz44@gmail.com - hsainz@fibertel.com.ar</v>
          </cell>
          <cell r="Q84" t="str">
            <v>Lic. Lavalle Silvia Marcela</v>
          </cell>
          <cell r="R84" t="str">
            <v>Coordinadora de carrera</v>
          </cell>
          <cell r="S84" t="str">
            <v>11-40837109</v>
          </cell>
          <cell r="T84" t="str">
            <v>lavallemarcela@hotmail.com</v>
          </cell>
          <cell r="U84">
            <v>2021</v>
          </cell>
          <cell r="V84" t="str">
            <v>-34.760227281110105, -58.42053057868619</v>
          </cell>
        </row>
        <row r="85">
          <cell r="B85">
            <v>62210300</v>
          </cell>
          <cell r="C85" t="str">
            <v>Instituto Superior de Formación Técnica (I.S.F.T.) N° 6012 Escuela Superior de Formación en Salud</v>
          </cell>
          <cell r="D85" t="str">
            <v>Buenos Aires</v>
          </cell>
          <cell r="E85" t="str">
            <v>La Plata</v>
          </cell>
          <cell r="F85" t="str">
            <v xml:space="preserve">La Plata </v>
          </cell>
          <cell r="G85">
            <v>1900</v>
          </cell>
          <cell r="H85" t="str">
            <v>Estatal</v>
          </cell>
          <cell r="I85" t="str">
            <v>Institución de ETP</v>
          </cell>
          <cell r="J85" t="str">
            <v>Calle 4 Nº 962, esq. 51</v>
          </cell>
          <cell r="K85" t="str">
            <v>221-427-1642</v>
          </cell>
          <cell r="L85" t="str">
            <v>escueladegobiernoff@gmail.com</v>
          </cell>
          <cell r="M85" t="str">
            <v>Dr. Mario Rovere</v>
          </cell>
          <cell r="N85" t="str">
            <v>Director</v>
          </cell>
          <cell r="O85" t="str">
            <v>-427-1642</v>
          </cell>
          <cell r="P85" t="str">
            <v>escueladegobiernoff@gmail.com</v>
          </cell>
          <cell r="Q85" t="str">
            <v>Dr. Mario Rovere</v>
          </cell>
          <cell r="R85" t="str">
            <v>Director</v>
          </cell>
          <cell r="S85" t="str">
            <v>-</v>
          </cell>
          <cell r="T85" t="str">
            <v>escueladegobiernoff@gmail.com</v>
          </cell>
          <cell r="U85">
            <v>2016</v>
          </cell>
          <cell r="V85" t="str">
            <v>-34.92049, -57.95356</v>
          </cell>
        </row>
        <row r="86">
          <cell r="B86">
            <v>62210301</v>
          </cell>
          <cell r="C86" t="str">
            <v>Instituto Superior de Formación Técnica (I.S.F.T.) N° 6012 Escuela Superior de Formación en Salud - Anexo Hospital de Agudos José Penna</v>
          </cell>
          <cell r="D86" t="str">
            <v>Buenos Aires</v>
          </cell>
          <cell r="E86" t="str">
            <v>Bahía Blanca</v>
          </cell>
          <cell r="F86" t="str">
            <v>Bahía Blanca</v>
          </cell>
          <cell r="G86">
            <v>8000</v>
          </cell>
          <cell r="H86" t="str">
            <v>Estatal</v>
          </cell>
          <cell r="I86" t="str">
            <v>Institución de ETP</v>
          </cell>
          <cell r="J86" t="str">
            <v>Lainez N° 2401 Villa Amaducci</v>
          </cell>
          <cell r="K86" t="str">
            <v>221-427-1642</v>
          </cell>
          <cell r="L86" t="str">
            <v>escueladegobiernoff@gmail.com</v>
          </cell>
          <cell r="M86" t="str">
            <v>Dr. Mario Rovere</v>
          </cell>
          <cell r="N86" t="str">
            <v>Director</v>
          </cell>
          <cell r="O86" t="str">
            <v>-427-1642</v>
          </cell>
          <cell r="P86" t="str">
            <v>escueladegobiernoff@gmail.com</v>
          </cell>
          <cell r="Q86">
            <v>0</v>
          </cell>
          <cell r="R86">
            <v>0</v>
          </cell>
          <cell r="S86" t="str">
            <v>-</v>
          </cell>
          <cell r="T86">
            <v>0</v>
          </cell>
          <cell r="U86">
            <v>2017</v>
          </cell>
          <cell r="V86" t="str">
            <v>-38.71831, -62.26634</v>
          </cell>
        </row>
        <row r="87">
          <cell r="B87">
            <v>62210302</v>
          </cell>
          <cell r="C87" t="str">
            <v>Instituto Superior de Formación Técnica (I.S.F.T.) N° 6012 Escuela Superior de Formación en Salud - Anexo Higa Dr. Diego Paroissien</v>
          </cell>
          <cell r="D87" t="str">
            <v>Buenos Aires</v>
          </cell>
          <cell r="E87" t="str">
            <v>La Matanza</v>
          </cell>
          <cell r="F87" t="str">
            <v>Isidro Casanova</v>
          </cell>
          <cell r="G87">
            <v>1765</v>
          </cell>
          <cell r="H87" t="str">
            <v>Estatal</v>
          </cell>
          <cell r="I87" t="str">
            <v>Institución de ETP</v>
          </cell>
          <cell r="J87" t="str">
            <v>Brig. Juan Manuel de Rosas N° 5975</v>
          </cell>
          <cell r="K87" t="str">
            <v>221-427-1642</v>
          </cell>
          <cell r="L87" t="str">
            <v>escueladegobiernoff@gmail.com</v>
          </cell>
          <cell r="M87" t="str">
            <v>Dr. Mario Rovere</v>
          </cell>
          <cell r="N87" t="str">
            <v>Director</v>
          </cell>
          <cell r="O87" t="str">
            <v>-427-1642</v>
          </cell>
          <cell r="P87" t="str">
            <v>escueladegobiernoff@gmail.com</v>
          </cell>
          <cell r="Q87">
            <v>0</v>
          </cell>
          <cell r="R87">
            <v>0</v>
          </cell>
          <cell r="S87" t="str">
            <v>-</v>
          </cell>
          <cell r="T87">
            <v>0</v>
          </cell>
          <cell r="U87">
            <v>2017</v>
          </cell>
          <cell r="V87" t="str">
            <v>-34.70846, -58.58586</v>
          </cell>
        </row>
        <row r="88">
          <cell r="B88">
            <v>62210303</v>
          </cell>
          <cell r="C88" t="str">
            <v>Instituto Superior de Formación Técnica (I.S.F.T.) N° 6012 Escuela Superior de Formación en Salud - Anexo Hospital Sor María Ludovica</v>
          </cell>
          <cell r="D88" t="str">
            <v>Buenos Aires</v>
          </cell>
          <cell r="E88" t="str">
            <v>La Plata</v>
          </cell>
          <cell r="F88" t="str">
            <v xml:space="preserve">La Plata </v>
          </cell>
          <cell r="G88">
            <v>1900</v>
          </cell>
          <cell r="H88" t="str">
            <v>Estatal</v>
          </cell>
          <cell r="I88" t="str">
            <v>Institución de ETP</v>
          </cell>
          <cell r="J88" t="str">
            <v>Calle 14 N° 1631</v>
          </cell>
          <cell r="K88" t="str">
            <v>221-427-1642</v>
          </cell>
          <cell r="L88" t="str">
            <v>escueladegobiernoff@gmail.com</v>
          </cell>
          <cell r="M88" t="str">
            <v>Dr. Mario Rovere</v>
          </cell>
          <cell r="N88" t="str">
            <v>Dierctor</v>
          </cell>
          <cell r="O88" t="str">
            <v>-427-1642</v>
          </cell>
          <cell r="P88" t="str">
            <v>escueladegobiernoff@gmail.com</v>
          </cell>
          <cell r="Q88">
            <v>0</v>
          </cell>
          <cell r="R88">
            <v>0</v>
          </cell>
          <cell r="S88" t="str">
            <v>-</v>
          </cell>
          <cell r="T88">
            <v>0</v>
          </cell>
          <cell r="U88">
            <v>2017</v>
          </cell>
          <cell r="V88" t="str">
            <v>-34.92049, -57.95356</v>
          </cell>
        </row>
        <row r="89">
          <cell r="B89">
            <v>62210304</v>
          </cell>
          <cell r="C89" t="str">
            <v>Instituto Superior de Formación Técnica (I.S.F.T.) N° 6012 Escuela Superior de Formación en Salud Anexo Hospital Pedro Fiorito</v>
          </cell>
          <cell r="D89" t="str">
            <v>Buenos Aires</v>
          </cell>
          <cell r="E89" t="str">
            <v>Avellaneda</v>
          </cell>
          <cell r="F89" t="str">
            <v>Avellaneda</v>
          </cell>
          <cell r="G89">
            <v>1870</v>
          </cell>
          <cell r="H89" t="str">
            <v>Estatal</v>
          </cell>
          <cell r="I89" t="str">
            <v>Institución de ETP</v>
          </cell>
          <cell r="J89" t="str">
            <v>Av. Belgrano N° 851</v>
          </cell>
          <cell r="K89" t="str">
            <v>221-427-1642</v>
          </cell>
          <cell r="L89" t="str">
            <v>escueladegobiernoff@gmail.com</v>
          </cell>
          <cell r="M89" t="str">
            <v>Dr. Mario Rovere</v>
          </cell>
          <cell r="N89" t="str">
            <v>Director</v>
          </cell>
          <cell r="O89" t="str">
            <v>-427-1642</v>
          </cell>
          <cell r="P89" t="str">
            <v>escueladegobiernoff@gmail.com</v>
          </cell>
          <cell r="Q89" t="str">
            <v>Dr. Mario Rovere</v>
          </cell>
          <cell r="R89" t="str">
            <v>Director</v>
          </cell>
          <cell r="S89" t="str">
            <v>-</v>
          </cell>
          <cell r="T89" t="str">
            <v>escueladegobiernoff@gmail.com</v>
          </cell>
          <cell r="U89">
            <v>2017</v>
          </cell>
          <cell r="V89" t="str">
            <v>-34.66107, -58.36697</v>
          </cell>
        </row>
        <row r="90">
          <cell r="B90">
            <v>62210305</v>
          </cell>
          <cell r="C90" t="str">
            <v> Instituto Superior de Formación Técnica (I.S.F.T.) N° 6012 Escuela Superior de Formación en Salud- Anexo Hospital Zonal General de Agudos Mi pueblo Florencio Varela</v>
          </cell>
          <cell r="D90" t="str">
            <v>Buenos Aires</v>
          </cell>
          <cell r="E90" t="str">
            <v>Florencio Varela</v>
          </cell>
          <cell r="F90" t="str">
            <v xml:space="preserve">Villa Vatteone </v>
          </cell>
          <cell r="G90">
            <v>1888</v>
          </cell>
          <cell r="H90" t="str">
            <v>Estatal</v>
          </cell>
          <cell r="I90" t="str">
            <v>Institución de ETP</v>
          </cell>
          <cell r="J90" t="str">
            <v>Mainini 240 (Ex Progreso)</v>
          </cell>
          <cell r="K90" t="str">
            <v>221-427-1642</v>
          </cell>
          <cell r="L90" t="str">
            <v>escueladegobiernoff@gmail.com</v>
          </cell>
          <cell r="M90" t="str">
            <v>Dr. Mario Rovere</v>
          </cell>
          <cell r="N90" t="str">
            <v>Director</v>
          </cell>
          <cell r="O90" t="str">
            <v>-427-1642</v>
          </cell>
          <cell r="P90" t="str">
            <v>escueladegobiernoff@gmail.com</v>
          </cell>
          <cell r="Q90">
            <v>0</v>
          </cell>
          <cell r="R90">
            <v>0</v>
          </cell>
          <cell r="S90" t="str">
            <v>-</v>
          </cell>
          <cell r="T90">
            <v>0</v>
          </cell>
          <cell r="U90">
            <v>2017</v>
          </cell>
          <cell r="V90" t="str">
            <v>-34.79658, -58.27601</v>
          </cell>
        </row>
        <row r="91">
          <cell r="B91">
            <v>62210306</v>
          </cell>
          <cell r="C91" t="str">
            <v> Instituto Superior de Formación Técnica (I.S.F.T.) N° 6012 Escuela Superior de Formación en Salud - Anexo Hospital General de Agudos Simplemente Evita</v>
          </cell>
          <cell r="D91" t="str">
            <v>Buenos Aires</v>
          </cell>
          <cell r="E91" t="str">
            <v>La Matanza</v>
          </cell>
          <cell r="F91" t="str">
            <v>González Catán</v>
          </cell>
          <cell r="G91">
            <v>1759</v>
          </cell>
          <cell r="H91" t="str">
            <v>Estatal</v>
          </cell>
          <cell r="I91" t="str">
            <v>Institución de ETP</v>
          </cell>
          <cell r="J91" t="str">
            <v>Dr. Equiza N° 6310</v>
          </cell>
          <cell r="K91" t="str">
            <v>221-427-1642</v>
          </cell>
          <cell r="L91" t="str">
            <v>escueladegobiernoff@gmail.com</v>
          </cell>
          <cell r="M91" t="str">
            <v>Dr. Mario Rovere</v>
          </cell>
          <cell r="N91" t="str">
            <v>Director</v>
          </cell>
          <cell r="O91" t="str">
            <v>-427-1642</v>
          </cell>
          <cell r="P91" t="str">
            <v>escueladegobiernoff@gmail.com</v>
          </cell>
          <cell r="Q91">
            <v>0</v>
          </cell>
          <cell r="R91">
            <v>0</v>
          </cell>
          <cell r="S91" t="str">
            <v>-</v>
          </cell>
          <cell r="T91">
            <v>0</v>
          </cell>
          <cell r="U91">
            <v>2017</v>
          </cell>
          <cell r="V91" t="str">
            <v>-34.76245, -58.63152</v>
          </cell>
        </row>
        <row r="92">
          <cell r="B92">
            <v>62210307</v>
          </cell>
          <cell r="C92" t="str">
            <v>Instituto Superior de Formación Técnica (I.S.F.T.) N° 6012 Escuela Superior de Formación en Salud - Anexo Hospital de Agudos Evita</v>
          </cell>
          <cell r="D92" t="str">
            <v>Buenos Aires</v>
          </cell>
          <cell r="E92" t="str">
            <v>Lanus</v>
          </cell>
          <cell r="F92" t="str">
            <v>Lanús</v>
          </cell>
          <cell r="G92">
            <v>1826</v>
          </cell>
          <cell r="H92" t="str">
            <v>Estatal</v>
          </cell>
          <cell r="I92" t="str">
            <v>Institución de ETP</v>
          </cell>
          <cell r="J92" t="str">
            <v>Río de Janeiro N° 1910</v>
          </cell>
          <cell r="K92" t="str">
            <v>221-427-1642</v>
          </cell>
          <cell r="L92" t="str">
            <v>escueladegobiernoff@gmail.com</v>
          </cell>
          <cell r="M92" t="str">
            <v>Dr. Mario Rovere</v>
          </cell>
          <cell r="N92" t="str">
            <v>Director</v>
          </cell>
          <cell r="O92" t="str">
            <v>-427-1642</v>
          </cell>
          <cell r="P92" t="str">
            <v>escueladegobiernoff@gmail.com</v>
          </cell>
          <cell r="Q92">
            <v>0</v>
          </cell>
          <cell r="R92">
            <v>0</v>
          </cell>
          <cell r="S92" t="str">
            <v>-</v>
          </cell>
          <cell r="T92">
            <v>0</v>
          </cell>
          <cell r="U92">
            <v>2017</v>
          </cell>
          <cell r="V92" t="str">
            <v>-34.70745, -58.38309</v>
          </cell>
        </row>
        <row r="93">
          <cell r="B93">
            <v>62210308</v>
          </cell>
          <cell r="C93" t="str">
            <v>Instituto Superior de Formación Técnica (I.S.F.T.) N° 6012 Escuela Superior de Formación en Salud Anexo Hospital Don Victorio Tetamanti</v>
          </cell>
          <cell r="D93" t="str">
            <v>Buenos Aires</v>
          </cell>
          <cell r="E93" t="str">
            <v>General Pueyrredon</v>
          </cell>
          <cell r="F93" t="str">
            <v>Mar del Plata</v>
          </cell>
          <cell r="G93">
            <v>7600</v>
          </cell>
          <cell r="H93" t="str">
            <v>Estatal</v>
          </cell>
          <cell r="I93" t="str">
            <v>Institución de ETP</v>
          </cell>
          <cell r="J93" t="str">
            <v>Castelli N° 2450</v>
          </cell>
          <cell r="K93" t="str">
            <v>221-427-1642</v>
          </cell>
          <cell r="L93" t="str">
            <v>escueladegobiernoff@gmail.com</v>
          </cell>
          <cell r="M93" t="str">
            <v>Dr. Mario Rovere</v>
          </cell>
          <cell r="N93" t="str">
            <v>Director</v>
          </cell>
          <cell r="O93" t="str">
            <v>-427-1642</v>
          </cell>
          <cell r="P93" t="str">
            <v>escueladegobiernoff@gmail.com</v>
          </cell>
          <cell r="Q93">
            <v>0</v>
          </cell>
          <cell r="R93">
            <v>0</v>
          </cell>
          <cell r="S93" t="str">
            <v>-</v>
          </cell>
          <cell r="T93">
            <v>0</v>
          </cell>
          <cell r="U93">
            <v>2017</v>
          </cell>
          <cell r="V93" t="str">
            <v>-38.00547, -57.54261</v>
          </cell>
        </row>
        <row r="94">
          <cell r="B94">
            <v>62210309</v>
          </cell>
          <cell r="C94" t="str">
            <v>Instituto Superior de Formación Técnica (I.S.F.T.) N° 6012 Escuela Superior de Formación en Salud -Anexo Hospital Mariano y Luciano de la Vega</v>
          </cell>
          <cell r="D94" t="str">
            <v>Buenos Aires</v>
          </cell>
          <cell r="E94" t="str">
            <v>Moreno</v>
          </cell>
          <cell r="F94" t="str">
            <v xml:space="preserve">Moreno </v>
          </cell>
          <cell r="G94">
            <v>1744</v>
          </cell>
          <cell r="H94" t="str">
            <v>Estatal</v>
          </cell>
          <cell r="I94" t="str">
            <v>Institución de ETP</v>
          </cell>
          <cell r="J94" t="str">
            <v>Av. Libertador N° 710</v>
          </cell>
          <cell r="K94" t="str">
            <v>221-escueladegobiernoff@gmail.com</v>
          </cell>
          <cell r="L94" t="str">
            <v>direccion-hmlv@ms.gba.gov.ar</v>
          </cell>
          <cell r="M94" t="str">
            <v>Dr. Mario Rovere</v>
          </cell>
          <cell r="N94" t="str">
            <v>Director</v>
          </cell>
          <cell r="O94" t="str">
            <v>-escueladegobiernoff@gmail.com</v>
          </cell>
          <cell r="P94" t="str">
            <v>escueladegobiernoff@gmail.com</v>
          </cell>
          <cell r="Q94">
            <v>0</v>
          </cell>
          <cell r="R94">
            <v>0</v>
          </cell>
          <cell r="S94" t="str">
            <v>-</v>
          </cell>
          <cell r="T94">
            <v>0</v>
          </cell>
          <cell r="U94">
            <v>2017</v>
          </cell>
          <cell r="V94" t="str">
            <v>-34.634, -58.79138</v>
          </cell>
        </row>
        <row r="95">
          <cell r="B95">
            <v>62210310</v>
          </cell>
          <cell r="C95" t="str">
            <v>Instituto Superior de Formación Técnica (I.S.F.T.) N° 6012 Escuela Superior de Formación en Salud - Anexo Hospital Interzonal Gral de Agudos Eva Perón</v>
          </cell>
          <cell r="D95" t="str">
            <v>Buenos Aires</v>
          </cell>
          <cell r="E95" t="str">
            <v>San Martín</v>
          </cell>
          <cell r="F95" t="str">
            <v>General San Martín</v>
          </cell>
          <cell r="G95">
            <v>1650</v>
          </cell>
          <cell r="H95" t="str">
            <v>Estatal</v>
          </cell>
          <cell r="I95" t="str">
            <v>Institución de ETP</v>
          </cell>
          <cell r="J95" t="str">
            <v>Ricardo Balbín N° 3200</v>
          </cell>
          <cell r="K95" t="str">
            <v>221-</v>
          </cell>
          <cell r="L95" t="str">
            <v>escueladegobiernoff@gmail.com</v>
          </cell>
          <cell r="M95" t="str">
            <v>Dr. Mario Rovere</v>
          </cell>
          <cell r="N95" t="str">
            <v>Director</v>
          </cell>
          <cell r="O95" t="str">
            <v>-</v>
          </cell>
          <cell r="P95" t="str">
            <v>escueladegobiernoff@gmail.com</v>
          </cell>
          <cell r="Q95">
            <v>0</v>
          </cell>
          <cell r="R95">
            <v>0</v>
          </cell>
          <cell r="S95" t="str">
            <v>-</v>
          </cell>
          <cell r="T95">
            <v>0</v>
          </cell>
          <cell r="U95">
            <v>2017</v>
          </cell>
          <cell r="V95" t="str">
            <v>-34.57168, -58.55517</v>
          </cell>
        </row>
        <row r="96">
          <cell r="B96">
            <v>62210311</v>
          </cell>
          <cell r="C96" t="str">
            <v> Instituto Superior de Formación Técnica (I.S.F.T.) N° 6012 Escuela Superior de Formación en Salud - Anexo Hospital HIGA Profesor Dr. Luis Guemes</v>
          </cell>
          <cell r="D96" t="str">
            <v>Buenos Aires</v>
          </cell>
          <cell r="E96" t="str">
            <v>Morón</v>
          </cell>
          <cell r="F96" t="str">
            <v>Haedo</v>
          </cell>
          <cell r="G96">
            <v>1706</v>
          </cell>
          <cell r="H96" t="str">
            <v>Estatal</v>
          </cell>
          <cell r="I96" t="str">
            <v>Institución de ETP</v>
          </cell>
          <cell r="J96" t="str">
            <v>Av. Rivadavia N° 15000</v>
          </cell>
          <cell r="K96" t="str">
            <v>221-</v>
          </cell>
          <cell r="L96" t="str">
            <v>escueladegobiernoff@gmail.com</v>
          </cell>
          <cell r="M96" t="str">
            <v>Dr. Mario Rover</v>
          </cell>
          <cell r="N96" t="str">
            <v>Director</v>
          </cell>
          <cell r="O96" t="str">
            <v>-</v>
          </cell>
          <cell r="P96" t="str">
            <v>escueladegobiernoff@gmail.com</v>
          </cell>
          <cell r="Q96">
            <v>0</v>
          </cell>
          <cell r="R96">
            <v>0</v>
          </cell>
          <cell r="S96" t="str">
            <v>-</v>
          </cell>
          <cell r="T96">
            <v>0</v>
          </cell>
          <cell r="U96">
            <v>2017</v>
          </cell>
          <cell r="V96" t="str">
            <v>-34.64406, -58.59564</v>
          </cell>
        </row>
        <row r="97">
          <cell r="B97">
            <v>62210312</v>
          </cell>
          <cell r="C97" t="str">
            <v>Instituto Superior de Formación Técnica (I.S.F.T.) N° 6012 Escuela Superior de Formación en Salud - Anexo Hospital ZGA Dr. Carlos Bocalandro</v>
          </cell>
          <cell r="D97" t="str">
            <v>Buenos Aires</v>
          </cell>
          <cell r="E97" t="str">
            <v>Tres de Febrero</v>
          </cell>
          <cell r="F97" t="str">
            <v>Loma Hermosa</v>
          </cell>
          <cell r="G97">
            <v>1657</v>
          </cell>
          <cell r="H97" t="str">
            <v>Estatal</v>
          </cell>
          <cell r="I97" t="str">
            <v>Institución de ETP</v>
          </cell>
          <cell r="J97" t="str">
            <v>Ruta 8 Km. 20,5 N° 9100</v>
          </cell>
          <cell r="K97" t="str">
            <v>221-48410219</v>
          </cell>
          <cell r="L97" t="str">
            <v>escueladegobiernoff@gmail.com</v>
          </cell>
          <cell r="M97" t="str">
            <v>Dr. Mario Rovere</v>
          </cell>
          <cell r="N97" t="str">
            <v>Director</v>
          </cell>
          <cell r="O97" t="str">
            <v>-48410219</v>
          </cell>
          <cell r="P97" t="str">
            <v>escueladegobiernoff@gmail.com</v>
          </cell>
          <cell r="Q97">
            <v>0</v>
          </cell>
          <cell r="R97">
            <v>0</v>
          </cell>
          <cell r="S97" t="str">
            <v>-</v>
          </cell>
          <cell r="T97">
            <v>0</v>
          </cell>
          <cell r="U97">
            <v>2017</v>
          </cell>
          <cell r="V97" t="str">
            <v>-34.56973, -58.60423</v>
          </cell>
        </row>
        <row r="98">
          <cell r="B98">
            <v>62230000</v>
          </cell>
          <cell r="C98" t="str">
            <v>Instituto Superior de Educación Técnica (I.S.F.T.) N° 201</v>
          </cell>
          <cell r="D98" t="str">
            <v>Buenos Aires</v>
          </cell>
          <cell r="E98" t="str">
            <v>Campana</v>
          </cell>
          <cell r="F98" t="str">
            <v>Campana</v>
          </cell>
          <cell r="G98">
            <v>2804</v>
          </cell>
          <cell r="H98" t="str">
            <v>Estatal</v>
          </cell>
          <cell r="I98" t="str">
            <v>Institución de ETP</v>
          </cell>
          <cell r="J98" t="str">
            <v>Barletta 2180</v>
          </cell>
          <cell r="K98" t="str">
            <v>-3489324128</v>
          </cell>
          <cell r="L98" t="str">
            <v>isft201campana@abc.gob.ar</v>
          </cell>
          <cell r="M98" t="str">
            <v>Mabel Gladys Flores</v>
          </cell>
          <cell r="N98" t="str">
            <v>directora</v>
          </cell>
          <cell r="O98" t="str">
            <v>-3489324128</v>
          </cell>
          <cell r="P98" t="str">
            <v>mabflores2@abc.gob.ar</v>
          </cell>
          <cell r="Q98" t="str">
            <v>Mabel Gladys Flores</v>
          </cell>
          <cell r="R98" t="str">
            <v>Directora</v>
          </cell>
          <cell r="S98" t="str">
            <v>-3489324128</v>
          </cell>
          <cell r="T98" t="str">
            <v>mabflores2@abc.gob.ar</v>
          </cell>
          <cell r="U98">
            <v>2016</v>
          </cell>
          <cell r="V98" t="str">
            <v>-34.20597, -58.95449</v>
          </cell>
        </row>
        <row r="99">
          <cell r="B99">
            <v>62238400</v>
          </cell>
          <cell r="C99" t="str">
            <v>Instituto Superior de Formación Técnica (I.S.F.T.) N° 200</v>
          </cell>
          <cell r="D99" t="str">
            <v>Buenos Aires</v>
          </cell>
          <cell r="E99" t="str">
            <v>Villa Gesell</v>
          </cell>
          <cell r="F99" t="str">
            <v>Villa Gesell</v>
          </cell>
          <cell r="G99">
            <v>7165</v>
          </cell>
          <cell r="H99" t="str">
            <v>Estatal</v>
          </cell>
          <cell r="I99" t="str">
            <v>Institución de ETP</v>
          </cell>
          <cell r="J99" t="str">
            <v>PASEO 137 Nº658</v>
          </cell>
          <cell r="K99" t="str">
            <v>2255-464956</v>
          </cell>
          <cell r="L99" t="str">
            <v>isft200@gmail.com</v>
          </cell>
          <cell r="M99" t="str">
            <v xml:space="preserve">MONTERO DAMIAN </v>
          </cell>
          <cell r="N99" t="str">
            <v xml:space="preserve">DIRECTOR </v>
          </cell>
          <cell r="O99" t="str">
            <v>-464956</v>
          </cell>
          <cell r="P99" t="str">
            <v>rmontero1@abc.gob.ar</v>
          </cell>
          <cell r="Q99" t="str">
            <v>x</v>
          </cell>
          <cell r="R99" t="str">
            <v>x</v>
          </cell>
          <cell r="S99" t="str">
            <v>x-x</v>
          </cell>
          <cell r="T99">
            <v>0</v>
          </cell>
          <cell r="U99">
            <v>2017</v>
          </cell>
          <cell r="V99" t="str">
            <v>-37.26517776260032, -56.97774598011257</v>
          </cell>
        </row>
        <row r="100">
          <cell r="B100">
            <v>62242300</v>
          </cell>
          <cell r="C100" t="str">
            <v>Instituto Superior de Formación Técnica (I.S.F.T.) N° 197</v>
          </cell>
          <cell r="D100" t="str">
            <v>Buenos Aires</v>
          </cell>
          <cell r="E100" t="str">
            <v>Avellaneda</v>
          </cell>
          <cell r="F100" t="str">
            <v>Avellaneda</v>
          </cell>
          <cell r="G100">
            <v>1870</v>
          </cell>
          <cell r="H100" t="str">
            <v>Estatal</v>
          </cell>
          <cell r="I100" t="str">
            <v>Institución de ETP</v>
          </cell>
          <cell r="J100" t="str">
            <v>AV. BELGRANO 1191</v>
          </cell>
          <cell r="K100" t="str">
            <v>11-4265 - 0247 / 0342</v>
          </cell>
          <cell r="L100" t="str">
            <v>direccion197@ibeltran.com.ar</v>
          </cell>
          <cell r="M100" t="str">
            <v>AGOSTI, GUSTAVO OSCAR</v>
          </cell>
          <cell r="N100" t="str">
            <v>DIRECTOR</v>
          </cell>
          <cell r="O100" t="str">
            <v>221-4265 - 0247 / 0342</v>
          </cell>
          <cell r="P100" t="str">
            <v>ga@ibeltran.com.ar</v>
          </cell>
          <cell r="Q100" t="str">
            <v>LLOPIS, GUSTAVO</v>
          </cell>
          <cell r="R100" t="str">
            <v>JEFE DE ÁREA</v>
          </cell>
          <cell r="S100" t="str">
            <v>11-6419-7149</v>
          </cell>
          <cell r="T100" t="str">
            <v>llopisg@itbeltran.com.ar</v>
          </cell>
          <cell r="U100">
            <v>2019</v>
          </cell>
          <cell r="V100" t="str">
            <v>-34.662224944802674, -58.36683664756314</v>
          </cell>
        </row>
        <row r="101">
          <cell r="B101">
            <v>62315000</v>
          </cell>
          <cell r="C101" t="str">
            <v>Instituto Superior de Formación Docente y Técnica N° 164</v>
          </cell>
          <cell r="D101" t="str">
            <v>Buenos Aires</v>
          </cell>
          <cell r="E101" t="str">
            <v>Florentino Ameghino</v>
          </cell>
          <cell r="F101" t="str">
            <v>Ameghino</v>
          </cell>
          <cell r="G101">
            <v>6064</v>
          </cell>
          <cell r="H101" t="str">
            <v>Estatal</v>
          </cell>
          <cell r="I101" t="str">
            <v>Institución de Otro Nivel y/o Modalidad</v>
          </cell>
          <cell r="J101" t="str">
            <v>CALLE 3 N° 241</v>
          </cell>
          <cell r="K101" t="str">
            <v>-3388470310</v>
          </cell>
          <cell r="L101" t="str">
            <v>isfdyt164ameghino@abc.gob.ar</v>
          </cell>
          <cell r="M101" t="str">
            <v>JUAN MANUEL GIRAUD</v>
          </cell>
          <cell r="N101" t="str">
            <v>DIRECTOR</v>
          </cell>
          <cell r="O101" t="str">
            <v>-3388470310</v>
          </cell>
          <cell r="P101" t="str">
            <v>jgiraud1@abc.gob.ar</v>
          </cell>
          <cell r="Q101" t="str">
            <v>JUAN MANUEL GIRAUD</v>
          </cell>
          <cell r="R101" t="str">
            <v>DIRECTOR</v>
          </cell>
          <cell r="S101" t="str">
            <v>-3388507324</v>
          </cell>
          <cell r="T101" t="str">
            <v>jgiraud1@abc.gob.ar</v>
          </cell>
          <cell r="U101">
            <v>2017</v>
          </cell>
          <cell r="V101" t="str">
            <v>-34.84521, -62.46642</v>
          </cell>
        </row>
        <row r="102">
          <cell r="B102">
            <v>62318700</v>
          </cell>
          <cell r="C102" t="str">
            <v>Instituto Superior de Formacion Docente y Tecnica N° 211</v>
          </cell>
          <cell r="D102" t="str">
            <v>Buenos Aires</v>
          </cell>
          <cell r="E102" t="str">
            <v>Leandro N. Alem</v>
          </cell>
          <cell r="F102" t="str">
            <v>Vedia</v>
          </cell>
          <cell r="G102">
            <v>6030</v>
          </cell>
          <cell r="H102" t="str">
            <v>Estatal</v>
          </cell>
          <cell r="I102" t="str">
            <v>Institución de Otro Nivel y/o Modalidad</v>
          </cell>
          <cell r="J102" t="str">
            <v>Av. Dunckler N° 555</v>
          </cell>
          <cell r="K102" t="str">
            <v>-2354-421116</v>
          </cell>
          <cell r="L102" t="str">
            <v>isfdyt211alem@abc.gob.ar</v>
          </cell>
          <cell r="M102" t="str">
            <v>Cecilia Baldassare</v>
          </cell>
          <cell r="N102" t="str">
            <v>Director</v>
          </cell>
          <cell r="O102" t="str">
            <v>236-4605432-2354-421116</v>
          </cell>
          <cell r="P102" t="str">
            <v>cbaldassare@abc.gob.ar</v>
          </cell>
          <cell r="Q102" t="str">
            <v>Cecilia Baldassare</v>
          </cell>
          <cell r="R102" t="str">
            <v>Director</v>
          </cell>
          <cell r="S102" t="str">
            <v>236-4605432-</v>
          </cell>
          <cell r="T102" t="str">
            <v>cbaldassare@abc.gob.ar</v>
          </cell>
          <cell r="U102">
            <v>2021</v>
          </cell>
          <cell r="V102" t="str">
            <v>-34.49685391893477, -61.542547066472906</v>
          </cell>
        </row>
        <row r="103">
          <cell r="B103">
            <v>62326400</v>
          </cell>
          <cell r="C103" t="str">
            <v>Instituto Superior de Formacion Docente y Tecnica N° 215</v>
          </cell>
          <cell r="D103" t="str">
            <v>Buenos Aires</v>
          </cell>
          <cell r="E103" t="str">
            <v>Lezama</v>
          </cell>
          <cell r="F103" t="str">
            <v>Lezama</v>
          </cell>
          <cell r="G103">
            <v>7116</v>
          </cell>
          <cell r="H103" t="str">
            <v>Estatal</v>
          </cell>
          <cell r="I103" t="str">
            <v>Institución de Otro Nivel y/o Modalidad</v>
          </cell>
          <cell r="J103" t="str">
            <v>Perón 458</v>
          </cell>
          <cell r="K103" t="str">
            <v>2241-551990</v>
          </cell>
          <cell r="L103" t="str">
            <v>isfdyt215lezama@abc.gob.ar</v>
          </cell>
          <cell r="M103" t="str">
            <v>Rosa Haydée Garay</v>
          </cell>
          <cell r="N103" t="str">
            <v>Directora</v>
          </cell>
          <cell r="O103" t="str">
            <v>2241-551990</v>
          </cell>
          <cell r="P103" t="str">
            <v>rosgaray2@abc.gob.ar</v>
          </cell>
          <cell r="Q103" t="str">
            <v>Favio Garay</v>
          </cell>
          <cell r="R103" t="str">
            <v>Profesor de Práctica Profesionalizante</v>
          </cell>
          <cell r="S103" t="str">
            <v>2241-466621</v>
          </cell>
          <cell r="T103" t="str">
            <v>faviodanielgaray@gmail.com</v>
          </cell>
          <cell r="U103">
            <v>2021</v>
          </cell>
          <cell r="V103" t="str">
            <v>-35.87160868010608, -57.89726778821466</v>
          </cell>
        </row>
        <row r="104">
          <cell r="B104">
            <v>62327600</v>
          </cell>
          <cell r="C104" t="str">
            <v xml:space="preserve">Instituto de Educación Superior de Formación Docente y Técnica (I.S.F.D.yT.) Nº 218 </v>
          </cell>
          <cell r="D104" t="str">
            <v>Buenos Aires</v>
          </cell>
          <cell r="E104" t="str">
            <v>Roque Pérez</v>
          </cell>
          <cell r="F104" t="str">
            <v>Roque Perez</v>
          </cell>
          <cell r="G104">
            <v>7245</v>
          </cell>
          <cell r="H104" t="str">
            <v>Estatal</v>
          </cell>
          <cell r="I104" t="str">
            <v>Institución de Otro Nivel y/o Modalidad</v>
          </cell>
          <cell r="J104" t="str">
            <v>9 de julio y Larraburu</v>
          </cell>
          <cell r="K104" t="str">
            <v>2227-492652</v>
          </cell>
          <cell r="L104" t="str">
            <v>isfdyt218roqueperez@abc.gob.ar</v>
          </cell>
          <cell r="M104" t="str">
            <v>PATRICIA TORRES</v>
          </cell>
          <cell r="N104" t="str">
            <v>DIRECTORA</v>
          </cell>
          <cell r="O104" t="str">
            <v>2227-492652</v>
          </cell>
          <cell r="P104" t="str">
            <v>patriciatorres06@yahoo.com.ar</v>
          </cell>
          <cell r="Q104" t="str">
            <v>SILVINA MANSILLA</v>
          </cell>
          <cell r="R104" t="str">
            <v>PROFESORA DE PRÁCTICA</v>
          </cell>
          <cell r="S104" t="str">
            <v>2227-475498</v>
          </cell>
          <cell r="T104" t="str">
            <v>smariamansillaqabc.gob.ar</v>
          </cell>
          <cell r="U104">
            <v>2022</v>
          </cell>
          <cell r="V104" t="str">
            <v>-35.398437161430934, -59.33613610944238</v>
          </cell>
        </row>
        <row r="105">
          <cell r="B105">
            <v>62341500</v>
          </cell>
          <cell r="C105" t="str">
            <v>Instituto Superior de Formación Técnica (I.S.F.T.) N° 221</v>
          </cell>
          <cell r="D105" t="str">
            <v>Buenos Aires</v>
          </cell>
          <cell r="E105" t="str">
            <v>La Plata</v>
          </cell>
          <cell r="F105" t="str">
            <v>La Plata</v>
          </cell>
          <cell r="G105">
            <v>1900</v>
          </cell>
          <cell r="H105" t="str">
            <v>Estatal</v>
          </cell>
          <cell r="I105" t="str">
            <v>Institución de ETP</v>
          </cell>
          <cell r="J105" t="str">
            <v>38 ESQ 9 2DO PISO</v>
          </cell>
          <cell r="K105" t="str">
            <v>---</v>
          </cell>
          <cell r="L105" t="str">
            <v>instituto221@gmail.com / isft221@abc.gob.ar</v>
          </cell>
          <cell r="M105" t="str">
            <v>Karina Ruiz</v>
          </cell>
          <cell r="N105" t="str">
            <v>Directora</v>
          </cell>
          <cell r="O105" t="str">
            <v>221--</v>
          </cell>
          <cell r="P105" t="str">
            <v>kruiz@abc.gob.ar</v>
          </cell>
          <cell r="Q105" t="str">
            <v>Ana Laura Diaz</v>
          </cell>
          <cell r="R105" t="str">
            <v>Secretaria</v>
          </cell>
          <cell r="S105" t="str">
            <v>2284-697222</v>
          </cell>
          <cell r="T105" t="str">
            <v>anadiaz8@abc.gob.ar</v>
          </cell>
          <cell r="U105">
            <v>2018</v>
          </cell>
          <cell r="V105" t="str">
            <v>-34.91671843348555, -57.955231818257715</v>
          </cell>
        </row>
        <row r="106">
          <cell r="B106">
            <v>62385500</v>
          </cell>
          <cell r="C106" t="str">
            <v>Instituto Superior Nº 8693 Establecimiento Profesional de la Salud</v>
          </cell>
          <cell r="D106" t="str">
            <v>Buenos Aires</v>
          </cell>
          <cell r="E106" t="str">
            <v>General Pueyrredon</v>
          </cell>
          <cell r="F106" t="str">
            <v>Mar del Plata</v>
          </cell>
          <cell r="G106">
            <v>7600</v>
          </cell>
          <cell r="H106" t="str">
            <v>Privado</v>
          </cell>
          <cell r="I106" t="str">
            <v>Institución de ETP</v>
          </cell>
          <cell r="J106" t="str">
            <v>San Martin 3079</v>
          </cell>
          <cell r="K106" t="str">
            <v>223-6638442</v>
          </cell>
          <cell r="L106" t="str">
            <v>direccion@institutoepsa.com.ar</v>
          </cell>
          <cell r="M106" t="str">
            <v>SORAGNI PATRICIA</v>
          </cell>
          <cell r="N106" t="str">
            <v>DIRECTORA</v>
          </cell>
          <cell r="O106" t="str">
            <v>223-6638442</v>
          </cell>
          <cell r="P106" t="str">
            <v>patriciasoragni@gmail.com</v>
          </cell>
          <cell r="Q106" t="str">
            <v>CIPRIANI Mabel Noemi</v>
          </cell>
          <cell r="R106" t="str">
            <v>Coordinadora Carrera de  Enfermería</v>
          </cell>
          <cell r="S106" t="str">
            <v>223-154390547</v>
          </cell>
          <cell r="T106" t="str">
            <v>mabecipri46@hotmail.com</v>
          </cell>
          <cell r="U106">
            <v>2022</v>
          </cell>
          <cell r="V106" t="str">
            <v>-37.995416331897154, -57.551574598171015</v>
          </cell>
        </row>
        <row r="107">
          <cell r="B107">
            <v>62420800</v>
          </cell>
          <cell r="C107" t="str">
            <v>Instituto Superior de Formación Docente y Técnica Nº 236</v>
          </cell>
          <cell r="D107" t="str">
            <v>Buenos Aires</v>
          </cell>
          <cell r="E107" t="str">
            <v>Ramallo</v>
          </cell>
          <cell r="F107" t="str">
            <v>Villa Ramallo</v>
          </cell>
          <cell r="G107">
            <v>2914</v>
          </cell>
          <cell r="H107" t="str">
            <v>Estatal</v>
          </cell>
          <cell r="I107" t="str">
            <v>Institución de Otro Nivel y/o Modalidad</v>
          </cell>
          <cell r="J107" t="str">
            <v>Dr. Bonfiglio 561</v>
          </cell>
          <cell r="K107" t="str">
            <v>3407-89152</v>
          </cell>
          <cell r="L107" t="str">
            <v>isfdyt236ramallo@abc.gob.ar</v>
          </cell>
          <cell r="M107" t="str">
            <v>Nestor Marinangeli</v>
          </cell>
          <cell r="N107" t="str">
            <v>Director</v>
          </cell>
          <cell r="O107" t="str">
            <v>3407-89152</v>
          </cell>
          <cell r="P107" t="str">
            <v>nmarinangeli@abc.gob.ar</v>
          </cell>
          <cell r="Q107" t="str">
            <v>Claudia Ferreyra</v>
          </cell>
          <cell r="R107" t="str">
            <v>Coordinadora</v>
          </cell>
          <cell r="S107" t="str">
            <v>336-4-645655</v>
          </cell>
          <cell r="T107" t="str">
            <v>caudiaferre@hotmail.com</v>
          </cell>
          <cell r="U107">
            <v>2016</v>
          </cell>
          <cell r="V107" t="str">
            <v>-33.50161, -60.06728</v>
          </cell>
        </row>
        <row r="108">
          <cell r="B108">
            <v>62424000</v>
          </cell>
          <cell r="C108" t="str">
            <v>Instituto Superior de Formacion Docente y Tecnica N° 237</v>
          </cell>
          <cell r="D108" t="str">
            <v>Buenos Aires</v>
          </cell>
          <cell r="E108" t="str">
            <v>Tres Lomas</v>
          </cell>
          <cell r="F108" t="str">
            <v>Tres Lomas</v>
          </cell>
          <cell r="G108">
            <v>6409</v>
          </cell>
          <cell r="H108" t="str">
            <v>Estatal</v>
          </cell>
          <cell r="I108" t="str">
            <v>Institución de Otro Nivel y/o Modalidad</v>
          </cell>
          <cell r="J108" t="str">
            <v>MARIANO MORENO N°153</v>
          </cell>
          <cell r="K108" t="str">
            <v>2392-405680</v>
          </cell>
          <cell r="L108" t="str">
            <v>isfdyt237treslomas@abc.gob.ar</v>
          </cell>
          <cell r="M108" t="str">
            <v>MALACALZA PAOLA</v>
          </cell>
          <cell r="N108" t="str">
            <v>DIRECTORA</v>
          </cell>
          <cell r="O108" t="str">
            <v>2392-405680</v>
          </cell>
          <cell r="P108" t="str">
            <v>pmalacalza@abc.gob.ar</v>
          </cell>
          <cell r="Q108" t="str">
            <v>MALACALZA PAOLA</v>
          </cell>
          <cell r="R108" t="str">
            <v>DIRECTORA</v>
          </cell>
          <cell r="S108" t="str">
            <v>2392-405680</v>
          </cell>
          <cell r="T108" t="str">
            <v>pmalacalza@abc.gob.ar</v>
          </cell>
          <cell r="U108">
            <v>2021</v>
          </cell>
          <cell r="V108" t="str">
            <v>-36.45866974525259, -62.86373606544417</v>
          </cell>
        </row>
        <row r="109">
          <cell r="B109">
            <v>100024500</v>
          </cell>
          <cell r="C109" t="str">
            <v>Instituto de Educación Superior (I.E.S.) Andalgalá</v>
          </cell>
          <cell r="D109" t="str">
            <v>Catamarca</v>
          </cell>
          <cell r="E109" t="str">
            <v xml:space="preserve">Andalgalá </v>
          </cell>
          <cell r="F109" t="str">
            <v xml:space="preserve">Andalgalá </v>
          </cell>
          <cell r="G109">
            <v>4740</v>
          </cell>
          <cell r="H109" t="str">
            <v>Estatal</v>
          </cell>
          <cell r="I109" t="str">
            <v>Institución de Otro Nivel y/o Modalidad</v>
          </cell>
          <cell r="J109" t="str">
            <v>Avenida 2 de abril norte</v>
          </cell>
          <cell r="K109" t="str">
            <v>3835-400317</v>
          </cell>
          <cell r="L109" t="str">
            <v>iesandalgala@catamarca.edu.ar</v>
          </cell>
          <cell r="M109" t="str">
            <v>Sandra Hebe Haddad</v>
          </cell>
          <cell r="N109" t="str">
            <v>Rectora</v>
          </cell>
          <cell r="O109" t="str">
            <v>3835-400317</v>
          </cell>
          <cell r="P109" t="str">
            <v>shhaddad@catamarca.edu.ar</v>
          </cell>
          <cell r="Q109" t="str">
            <v>Sacaba Roberto Daniel</v>
          </cell>
          <cell r="R109" t="str">
            <v>Coordinador</v>
          </cell>
          <cell r="S109" t="str">
            <v>3835-515722</v>
          </cell>
          <cell r="T109" t="str">
            <v>danielsacaba1987@gmail.com</v>
          </cell>
          <cell r="U109">
            <v>2016</v>
          </cell>
          <cell r="V109" t="str">
            <v>-27.58271, -66.31489</v>
          </cell>
        </row>
        <row r="110">
          <cell r="B110">
            <v>100042200</v>
          </cell>
          <cell r="C110" t="str">
            <v>Instituto de Educación Superior (I.E.S.) Sebastián Alejandro Corpacci</v>
          </cell>
          <cell r="D110" t="str">
            <v>Catamarca</v>
          </cell>
          <cell r="E110" t="str">
            <v>Capayán</v>
          </cell>
          <cell r="F110" t="str">
            <v>Chumbicha</v>
          </cell>
          <cell r="G110">
            <v>4728</v>
          </cell>
          <cell r="H110" t="str">
            <v>Estatal</v>
          </cell>
          <cell r="I110" t="str">
            <v>Institución de ETP</v>
          </cell>
          <cell r="J110" t="str">
            <v>25 de Mayo y San Martín S/N°</v>
          </cell>
          <cell r="K110" t="str">
            <v>-</v>
          </cell>
          <cell r="L110" t="str">
            <v>iescapayahui@hotmail.com</v>
          </cell>
          <cell r="M110" t="str">
            <v>Paola Vanesa Ríos</v>
          </cell>
          <cell r="N110" t="str">
            <v>Rectora</v>
          </cell>
          <cell r="O110" t="str">
            <v>3834-</v>
          </cell>
          <cell r="P110" t="str">
            <v>riosofia0816@gmail.com</v>
          </cell>
          <cell r="Q110" t="str">
            <v>Zuñiga Carlos Gustavo (Coordinador de Carrera)</v>
          </cell>
          <cell r="R110" t="str">
            <v>Profesor Horas Cátedras</v>
          </cell>
          <cell r="S110" t="str">
            <v>3834-216860</v>
          </cell>
          <cell r="T110" t="str">
            <v>Carloszuniga1986@hotmail.com</v>
          </cell>
          <cell r="U110">
            <v>2017</v>
          </cell>
          <cell r="V110" t="str">
            <v>-28.85814, -66.23105</v>
          </cell>
        </row>
        <row r="111">
          <cell r="B111">
            <v>100042201</v>
          </cell>
          <cell r="C111" t="str">
            <v>Instituto de Educación Superior (I.E.S.) Sebastián Alejandro Corpacci ANEXO</v>
          </cell>
          <cell r="D111" t="str">
            <v>Catamarca</v>
          </cell>
          <cell r="E111" t="str">
            <v>Capayán</v>
          </cell>
          <cell r="F111" t="str">
            <v>Huillapima</v>
          </cell>
          <cell r="G111">
            <v>4726</v>
          </cell>
          <cell r="H111" t="str">
            <v>Estatal</v>
          </cell>
          <cell r="I111" t="str">
            <v>Institución de ETP</v>
          </cell>
          <cell r="J111" t="str">
            <v>CALLE PUBLICA S/nº</v>
          </cell>
          <cell r="K111" t="str">
            <v>383-4394621</v>
          </cell>
          <cell r="L111" t="str">
            <v>iescapayan@catamarca.edu.ar</v>
          </cell>
          <cell r="M111" t="str">
            <v>RIOS PAOLA VANESA</v>
          </cell>
          <cell r="N111" t="str">
            <v>RECTORA</v>
          </cell>
          <cell r="O111" t="str">
            <v>383-4394621</v>
          </cell>
          <cell r="P111" t="str">
            <v>prios@catamarca.edu.ar</v>
          </cell>
          <cell r="Q111" t="str">
            <v>SHOIJET LOLA SILVINA</v>
          </cell>
          <cell r="R111" t="str">
            <v>SECRETARIA ACADEMICA</v>
          </cell>
          <cell r="S111" t="str">
            <v>-3834394621</v>
          </cell>
          <cell r="T111" t="str">
            <v>lolashoijet@hotmail.com</v>
          </cell>
          <cell r="U111">
            <v>2017</v>
          </cell>
          <cell r="V111" t="str">
            <v>-28.72588, -65.97803</v>
          </cell>
        </row>
        <row r="112">
          <cell r="B112">
            <v>100062700</v>
          </cell>
          <cell r="C112" t="str">
            <v>IES Pomán</v>
          </cell>
          <cell r="D112" t="str">
            <v>Catamarca</v>
          </cell>
          <cell r="E112" t="str">
            <v>Pomán</v>
          </cell>
          <cell r="F112" t="str">
            <v>Saujil</v>
          </cell>
          <cell r="G112">
            <v>5321</v>
          </cell>
          <cell r="H112" t="str">
            <v>Estatal</v>
          </cell>
          <cell r="I112" t="str">
            <v>Institución de ETP</v>
          </cell>
          <cell r="J112" t="str">
            <v>señor del mulagro 642</v>
          </cell>
          <cell r="K112" t="str">
            <v>-</v>
          </cell>
          <cell r="L112" t="str">
            <v>iespoman@catamarca.edu.ar</v>
          </cell>
          <cell r="M112" t="str">
            <v xml:space="preserve">Silvia Graciela Menendez </v>
          </cell>
          <cell r="N112" t="str">
            <v>sec academica cargo de rectoria</v>
          </cell>
          <cell r="O112" t="str">
            <v>3834-</v>
          </cell>
          <cell r="P112">
            <v>0</v>
          </cell>
          <cell r="Q112" t="str">
            <v>Centeno, Eduardo Reyes</v>
          </cell>
          <cell r="R112" t="str">
            <v>coordinador</v>
          </cell>
          <cell r="S112" t="str">
            <v>3835-697441</v>
          </cell>
          <cell r="T112">
            <v>0</v>
          </cell>
          <cell r="U112">
            <v>2019</v>
          </cell>
          <cell r="V112" t="str">
            <v>-28.1736997516235, -66.21329447571999</v>
          </cell>
        </row>
        <row r="113">
          <cell r="B113">
            <v>100073500</v>
          </cell>
          <cell r="C113" t="str">
            <v>IES Gobernador José Cubas</v>
          </cell>
          <cell r="D113" t="str">
            <v>Catamarca</v>
          </cell>
          <cell r="E113" t="str">
            <v>Valle Viejo</v>
          </cell>
          <cell r="F113" t="str">
            <v>San Isidro - Valle Viejo</v>
          </cell>
          <cell r="G113">
            <v>4707</v>
          </cell>
          <cell r="H113" t="str">
            <v>Estatal</v>
          </cell>
          <cell r="I113" t="str">
            <v>Institución de ETP</v>
          </cell>
          <cell r="J113" t="str">
            <v xml:space="preserve">LUIS DE MENDOZA S/N° </v>
          </cell>
          <cell r="K113" t="str">
            <v>-</v>
          </cell>
          <cell r="L113" t="str">
            <v>iescubas@catamarca.edu.ar</v>
          </cell>
          <cell r="M113" t="str">
            <v>BURELLA OLGA</v>
          </cell>
          <cell r="N113" t="str">
            <v>SECRETARIA ACADEMICA</v>
          </cell>
          <cell r="O113" t="str">
            <v>0383-461-3723</v>
          </cell>
          <cell r="P113" t="str">
            <v>oburella@catamarca.edu.ar</v>
          </cell>
          <cell r="Q113" t="str">
            <v>ROMAN ROSANA ANAHI</v>
          </cell>
          <cell r="R113" t="str">
            <v>DOCENTE - PRACTICA PROFESIONAL</v>
          </cell>
          <cell r="S113" t="str">
            <v>-3834 - 396021</v>
          </cell>
          <cell r="T113" t="str">
            <v>rosana.roman@yahoo.es</v>
          </cell>
          <cell r="U113">
            <v>2019</v>
          </cell>
          <cell r="V113" t="str">
            <v>-28.454728375903258, -65.71871319368994</v>
          </cell>
        </row>
        <row r="114">
          <cell r="B114">
            <v>100089900</v>
          </cell>
          <cell r="C114" t="str">
            <v>Instituto Superior Técnico Industrial "Néstor C. Kirchner"</v>
          </cell>
          <cell r="D114" t="str">
            <v>Catamarca</v>
          </cell>
          <cell r="E114" t="str">
            <v>Capital</v>
          </cell>
          <cell r="F114" t="str">
            <v>San Fernando del Valle de Catamarca</v>
          </cell>
          <cell r="G114">
            <v>4700</v>
          </cell>
          <cell r="H114" t="str">
            <v>Estatal</v>
          </cell>
          <cell r="I114" t="str">
            <v>Institución de ETP</v>
          </cell>
          <cell r="J114" t="str">
            <v>Lopez de Vega, esquina Ramón Ahumada s/n</v>
          </cell>
          <cell r="K114" t="str">
            <v>3834-174171</v>
          </cell>
          <cell r="L114" t="str">
            <v>urquizafrankin@yahoo.es</v>
          </cell>
          <cell r="M114" t="str">
            <v>Prof. Franklin Román Urquiza</v>
          </cell>
          <cell r="N114" t="str">
            <v>Rector</v>
          </cell>
          <cell r="O114" t="str">
            <v>383-174171</v>
          </cell>
          <cell r="P114" t="str">
            <v>urquizafranklin@yahoo.es</v>
          </cell>
          <cell r="Q114" t="str">
            <v>Prof. Franklin Román Urquiza</v>
          </cell>
          <cell r="R114" t="str">
            <v>Rector</v>
          </cell>
          <cell r="S114" t="str">
            <v>383-154272998</v>
          </cell>
          <cell r="T114">
            <v>0</v>
          </cell>
          <cell r="U114">
            <v>2016</v>
          </cell>
          <cell r="V114" t="str">
            <v>-28.46958, -65.77954</v>
          </cell>
        </row>
        <row r="115">
          <cell r="B115">
            <v>140068803</v>
          </cell>
          <cell r="C115" t="str">
            <v>Instituto Superior "Bernardo Houssay anexo Monte Buey"</v>
          </cell>
          <cell r="D115" t="str">
            <v>Córdoba</v>
          </cell>
          <cell r="E115" t="str">
            <v>San Justo</v>
          </cell>
          <cell r="F115" t="str">
            <v>Monte Buey</v>
          </cell>
          <cell r="G115">
            <v>2589</v>
          </cell>
          <cell r="H115" t="str">
            <v>Estatal</v>
          </cell>
          <cell r="I115" t="str">
            <v>Institución de ETP</v>
          </cell>
          <cell r="J115" t="str">
            <v>Mariano Moreno  N°480</v>
          </cell>
          <cell r="K115" t="str">
            <v>-3584384322-3467640079</v>
          </cell>
          <cell r="L115" t="str">
            <v>maribel.danzo@institutohoussay.edu.ar</v>
          </cell>
          <cell r="M115" t="str">
            <v>Mariela Vico</v>
          </cell>
          <cell r="N115" t="str">
            <v>Directora</v>
          </cell>
          <cell r="O115" t="str">
            <v>-3584384322-3467640079</v>
          </cell>
          <cell r="P115" t="str">
            <v>mariela.vico@institutohoussay.edu.ar</v>
          </cell>
          <cell r="Q115" t="str">
            <v>Danzo Maribel</v>
          </cell>
          <cell r="R115" t="str">
            <v>Coordinadora</v>
          </cell>
          <cell r="S115" t="str">
            <v>-3584384322- 3467640079</v>
          </cell>
          <cell r="T115" t="str">
            <v>maribel.danzo@institutohoussay.edu.ar</v>
          </cell>
          <cell r="U115">
            <v>2019</v>
          </cell>
          <cell r="V115" t="str">
            <v>-32.91656621718924, -62.45556841386616</v>
          </cell>
        </row>
        <row r="116">
          <cell r="B116">
            <v>140233600</v>
          </cell>
          <cell r="C116" t="str">
            <v>Instituto Superior "Prof. Gabriela Mistral"</v>
          </cell>
          <cell r="D116" t="str">
            <v>Córdoba</v>
          </cell>
          <cell r="E116" t="str">
            <v>General San Martín</v>
          </cell>
          <cell r="F116" t="str">
            <v>Villa Maria</v>
          </cell>
          <cell r="G116">
            <v>5900</v>
          </cell>
          <cell r="H116" t="str">
            <v>Privado</v>
          </cell>
          <cell r="I116" t="str">
            <v>Institución de Otro Nivel y/o Modalidad</v>
          </cell>
          <cell r="J116" t="str">
            <v xml:space="preserve">Alvear 68 </v>
          </cell>
          <cell r="K116" t="str">
            <v>353-4533708</v>
          </cell>
          <cell r="L116" t="str">
            <v>profesorado@idelr.edu.ar</v>
          </cell>
          <cell r="M116" t="str">
            <v>Mgtr. Andrea Bruschini</v>
          </cell>
          <cell r="N116" t="str">
            <v>Directora</v>
          </cell>
          <cell r="O116" t="str">
            <v>353-4533708</v>
          </cell>
          <cell r="P116" t="str">
            <v>licandreabruschini@gmail.com</v>
          </cell>
          <cell r="Q116" t="str">
            <v>Lic. Verónica Martín</v>
          </cell>
          <cell r="R116" t="str">
            <v>Coordinadora</v>
          </cell>
          <cell r="S116" t="str">
            <v>353-4244058</v>
          </cell>
          <cell r="T116" t="str">
            <v>veritomartin2004@gmail.com</v>
          </cell>
          <cell r="U116">
            <v>2020</v>
          </cell>
          <cell r="V116" t="str">
            <v>-32.41514726329755, -63.24213958600004</v>
          </cell>
        </row>
        <row r="117">
          <cell r="B117">
            <v>140240300</v>
          </cell>
          <cell r="C117" t="str">
            <v>Instituto Superior Arturo Umberto Illia</v>
          </cell>
          <cell r="D117" t="str">
            <v>Córdoba</v>
          </cell>
          <cell r="E117" t="str">
            <v>Punilla</v>
          </cell>
          <cell r="F117" t="str">
            <v>Villa Carlos Paz</v>
          </cell>
          <cell r="G117">
            <v>5152</v>
          </cell>
          <cell r="H117" t="str">
            <v>Estatal</v>
          </cell>
          <cell r="I117" t="str">
            <v>Institución de ETP</v>
          </cell>
          <cell r="J117" t="str">
            <v>Olsacher 99</v>
          </cell>
          <cell r="K117" t="str">
            <v>3541-431501</v>
          </cell>
          <cell r="L117" t="str">
            <v>direccion@isaui.edu.ar</v>
          </cell>
          <cell r="M117" t="str">
            <v>Maximiliano Ibáñez</v>
          </cell>
          <cell r="N117" t="str">
            <v>Director</v>
          </cell>
          <cell r="O117" t="str">
            <v>351-431501</v>
          </cell>
          <cell r="P117" t="str">
            <v>direccion@isaui.edu.ar</v>
          </cell>
          <cell r="Q117" t="str">
            <v>Maximiliano Ibañez</v>
          </cell>
          <cell r="R117" t="str">
            <v>Director</v>
          </cell>
          <cell r="S117" t="str">
            <v>351-2436173</v>
          </cell>
          <cell r="T117" t="str">
            <v>direccion@isaui.edu.ar</v>
          </cell>
          <cell r="U117">
            <v>2022</v>
          </cell>
          <cell r="V117" t="str">
            <v>-31.415195469149193, -64.49392045570514</v>
          </cell>
        </row>
        <row r="118">
          <cell r="B118">
            <v>140253500</v>
          </cell>
          <cell r="C118" t="str">
            <v>Instituto Superior Dr. Ramón Carrillo</v>
          </cell>
          <cell r="D118" t="str">
            <v>Córdoba</v>
          </cell>
          <cell r="E118" t="str">
            <v>Unión</v>
          </cell>
          <cell r="F118" t="str">
            <v>Bell Ville</v>
          </cell>
          <cell r="G118">
            <v>2550</v>
          </cell>
          <cell r="H118" t="str">
            <v>Estatal</v>
          </cell>
          <cell r="I118" t="str">
            <v>Institución de ETP</v>
          </cell>
          <cell r="J118" t="str">
            <v>GERÓNIMO DEL BARCO 640</v>
          </cell>
          <cell r="K118" t="str">
            <v>3537-411018</v>
          </cell>
          <cell r="L118" t="str">
            <v>r_carrillo_bellville@yahoo.com.ar</v>
          </cell>
          <cell r="M118" t="str">
            <v>INGAGLIO FABIAN</v>
          </cell>
          <cell r="N118" t="str">
            <v>DIRECTOR</v>
          </cell>
          <cell r="O118" t="str">
            <v>3464-411018</v>
          </cell>
          <cell r="P118" t="str">
            <v>fingaglio@hotmail.com</v>
          </cell>
          <cell r="Q118" t="str">
            <v>ARONICA CECILIA</v>
          </cell>
          <cell r="R118" t="str">
            <v>COORDINADORA</v>
          </cell>
          <cell r="S118" t="str">
            <v>3537-589187</v>
          </cell>
          <cell r="T118" t="str">
            <v>ce.aronica@hotmail.com</v>
          </cell>
          <cell r="U118">
            <v>2016</v>
          </cell>
          <cell r="V118" t="str">
            <v>-32.6305, -62.68885</v>
          </cell>
        </row>
        <row r="119">
          <cell r="B119">
            <v>140253504</v>
          </cell>
          <cell r="C119" t="str">
            <v>Instituto Superior Dr. Ramón J. Carrillo -Anexo Río Primero</v>
          </cell>
          <cell r="D119" t="str">
            <v>Córdoba</v>
          </cell>
          <cell r="E119" t="str">
            <v>Río Primero</v>
          </cell>
          <cell r="F119" t="str">
            <v>Santa Rosa de Rio Primero</v>
          </cell>
          <cell r="G119">
            <v>5133</v>
          </cell>
          <cell r="H119" t="str">
            <v>Estatal</v>
          </cell>
          <cell r="I119" t="str">
            <v>Institución de ETP</v>
          </cell>
          <cell r="J119" t="str">
            <v>SAN MARTIN 887</v>
          </cell>
          <cell r="K119" t="str">
            <v>357-4481390</v>
          </cell>
          <cell r="L119" t="str">
            <v>ramoncarrilloanexosantarosa@yahoo.com</v>
          </cell>
          <cell r="M119" t="str">
            <v>FABIAN INGAGLIO</v>
          </cell>
          <cell r="N119" t="str">
            <v>DIRECTOR</v>
          </cell>
          <cell r="O119" t="str">
            <v>3464-4481390</v>
          </cell>
          <cell r="P119" t="str">
            <v>fingaglio@hotmail.com</v>
          </cell>
          <cell r="Q119" t="str">
            <v>ADRIANA FRAGA</v>
          </cell>
          <cell r="R119" t="str">
            <v>Coordinadora</v>
          </cell>
          <cell r="S119" t="str">
            <v>357-4401702</v>
          </cell>
          <cell r="T119">
            <v>0</v>
          </cell>
          <cell r="U119">
            <v>2016</v>
          </cell>
          <cell r="V119" t="str">
            <v>-31.15346, -63.39945</v>
          </cell>
        </row>
        <row r="120">
          <cell r="B120">
            <v>140261700</v>
          </cell>
          <cell r="C120" t="str">
            <v>Intituto Superior de Formacion Docente y Tecnica "Gustavo Martínez Zuviria"</v>
          </cell>
          <cell r="D120" t="str">
            <v>Córdoba</v>
          </cell>
          <cell r="E120" t="str">
            <v>San Justo</v>
          </cell>
          <cell r="F120" t="str">
            <v>Las Varillas</v>
          </cell>
          <cell r="G120">
            <v>5940</v>
          </cell>
          <cell r="H120" t="str">
            <v>Privado</v>
          </cell>
          <cell r="I120" t="str">
            <v>Institución de Otro Nivel y/o Modalidad</v>
          </cell>
          <cell r="U120">
            <v>2023</v>
          </cell>
        </row>
        <row r="121">
          <cell r="B121">
            <v>140278801</v>
          </cell>
          <cell r="C121" t="str">
            <v>Escuela Normal Superior Dalmacio Vélez Sársfield - Anexo Pozo del Molle</v>
          </cell>
          <cell r="D121" t="str">
            <v>Córdoba</v>
          </cell>
          <cell r="E121" t="str">
            <v>Río Segundo</v>
          </cell>
          <cell r="F121" t="str">
            <v>Pozo del Molle</v>
          </cell>
          <cell r="G121">
            <v>5903</v>
          </cell>
          <cell r="H121" t="str">
            <v>Estatal</v>
          </cell>
          <cell r="I121" t="str">
            <v>Institución de Otro Nivel y/o Modalidad</v>
          </cell>
          <cell r="J121" t="str">
            <v>Belgrano 225</v>
          </cell>
          <cell r="K121" t="str">
            <v>353-4839620</v>
          </cell>
          <cell r="L121">
            <v>0</v>
          </cell>
          <cell r="M121" t="str">
            <v>Liliana Beatriz Trucco</v>
          </cell>
          <cell r="N121" t="str">
            <v>Directora de Nivel Superior</v>
          </cell>
          <cell r="O121" t="str">
            <v>3533-4839620</v>
          </cell>
          <cell r="P121" t="str">
            <v>truccoliliana1@gmail.com</v>
          </cell>
          <cell r="Q121" t="str">
            <v>Alejandra Cometto</v>
          </cell>
          <cell r="R121" t="str">
            <v>Coordinadora de Curso</v>
          </cell>
          <cell r="S121" t="str">
            <v>353-4250336</v>
          </cell>
          <cell r="T121" t="str">
            <v>alejandra_cometto@hotmail.com</v>
          </cell>
          <cell r="U121">
            <v>2016</v>
          </cell>
          <cell r="V121" t="str">
            <v>-32.02047, -62.91922</v>
          </cell>
        </row>
        <row r="122">
          <cell r="B122">
            <v>140312400</v>
          </cell>
          <cell r="C122" t="str">
            <v>Instituto Superior Clelia Fanny Castagnino</v>
          </cell>
          <cell r="D122" t="str">
            <v>Córdoba</v>
          </cell>
          <cell r="E122" t="str">
            <v>Juárez Celman</v>
          </cell>
          <cell r="F122" t="str">
            <v>UCACHA</v>
          </cell>
          <cell r="G122">
            <v>2677</v>
          </cell>
          <cell r="H122" t="str">
            <v>Estatal</v>
          </cell>
          <cell r="I122" t="str">
            <v>Institución de Otro Nivel y/o Modalidad</v>
          </cell>
          <cell r="J122" t="str">
            <v>La Rioja 166</v>
          </cell>
          <cell r="K122" t="str">
            <v>-0353 4883809</v>
          </cell>
          <cell r="L122" t="str">
            <v>direccioncastagnino@gmail.com</v>
          </cell>
          <cell r="M122" t="str">
            <v>Capra, Adriana Silvia</v>
          </cell>
          <cell r="N122" t="str">
            <v>Directora</v>
          </cell>
          <cell r="O122" t="str">
            <v>353-0353 4883809</v>
          </cell>
          <cell r="P122" t="str">
            <v>acapra67@gmail.com</v>
          </cell>
          <cell r="Q122" t="str">
            <v>Capra, Adriana Silvia</v>
          </cell>
          <cell r="R122" t="str">
            <v>Directora</v>
          </cell>
          <cell r="S122" t="str">
            <v>353-154186498</v>
          </cell>
          <cell r="T122" t="str">
            <v>acapra67@gmail.com</v>
          </cell>
          <cell r="U122">
            <v>2021</v>
          </cell>
          <cell r="V122" t="str">
            <v>-33.03415302780932, -63.508088295923955</v>
          </cell>
        </row>
        <row r="123">
          <cell r="B123">
            <v>140319700</v>
          </cell>
          <cell r="C123" t="str">
            <v>Instituto Superior FASTA - Inmaculada Concepcion</v>
          </cell>
          <cell r="D123" t="str">
            <v>Córdoba</v>
          </cell>
          <cell r="E123" t="str">
            <v>San Justo</v>
          </cell>
          <cell r="F123" t="str">
            <v>San Francisco</v>
          </cell>
          <cell r="G123">
            <v>2400</v>
          </cell>
          <cell r="H123" t="str">
            <v>Privado</v>
          </cell>
          <cell r="I123" t="str">
            <v>Institución de Otro Nivel y/o Modalidad</v>
          </cell>
          <cell r="J123" t="str">
            <v>BV. ROQUE SAEN PEÑA 1151</v>
          </cell>
          <cell r="K123" t="str">
            <v>3564-424556</v>
          </cell>
          <cell r="L123" t="str">
            <v>carolina-rambaldi@hotmail.com</v>
          </cell>
          <cell r="M123" t="str">
            <v>lic. Carolina Rambaldi</v>
          </cell>
          <cell r="N123" t="str">
            <v>Directora</v>
          </cell>
          <cell r="O123" t="str">
            <v>3564-424556</v>
          </cell>
          <cell r="P123" t="str">
            <v>carolina-rambaldi@hotmail.com</v>
          </cell>
          <cell r="Q123" t="str">
            <v>Lic. Natalia benitez</v>
          </cell>
          <cell r="R123" t="str">
            <v>coordinadora</v>
          </cell>
          <cell r="S123" t="str">
            <v>3564-507151</v>
          </cell>
          <cell r="T123" t="str">
            <v>natalia_benitez_28@hotmail.com</v>
          </cell>
          <cell r="U123">
            <v>2022</v>
          </cell>
          <cell r="V123" t="str">
            <v>-31.434164032056106, -62.09418127294734</v>
          </cell>
        </row>
        <row r="124">
          <cell r="B124">
            <v>140319900</v>
          </cell>
          <cell r="C124" t="str">
            <v>Instituto de Educación Superior Arturo Capdevila</v>
          </cell>
          <cell r="D124" t="str">
            <v>Córdoba</v>
          </cell>
          <cell r="E124" t="str">
            <v>Cruz del Eje</v>
          </cell>
          <cell r="F124" t="str">
            <v xml:space="preserve">Cruz del Eje </v>
          </cell>
          <cell r="G124">
            <v>5280</v>
          </cell>
          <cell r="H124" t="str">
            <v>Estatal</v>
          </cell>
          <cell r="I124" t="str">
            <v>Institución de Otro Nivel y/o Modalidad</v>
          </cell>
          <cell r="J124" t="str">
            <v xml:space="preserve"> Sarmiento 1155- Planta Alta</v>
          </cell>
          <cell r="K124" t="str">
            <v>3549-426774</v>
          </cell>
          <cell r="L124" t="str">
            <v>inescapdevila@yahoo.com.ar</v>
          </cell>
          <cell r="M124" t="str">
            <v xml:space="preserve">Maldonado, Sonia Edith </v>
          </cell>
          <cell r="N124" t="str">
            <v>Directora</v>
          </cell>
          <cell r="O124" t="str">
            <v>3549-426774</v>
          </cell>
          <cell r="P124" t="str">
            <v>emaldonado@yahoo.com.ar</v>
          </cell>
          <cell r="Q124" t="str">
            <v>Villagra Camacho Ayelen Desiree</v>
          </cell>
          <cell r="R124" t="str">
            <v xml:space="preserve">Coordinadora de Curso </v>
          </cell>
          <cell r="S124" t="str">
            <v>3549-15443387</v>
          </cell>
          <cell r="T124" t="str">
            <v>ayelenvillagra14@gmail.com</v>
          </cell>
          <cell r="U124">
            <v>2021</v>
          </cell>
          <cell r="V124" t="str">
            <v>-30.725413703275244, -64.8146104166265</v>
          </cell>
        </row>
        <row r="125">
          <cell r="B125">
            <v>140322200</v>
          </cell>
          <cell r="C125" t="str">
            <v>Instituto Superior del Profesorado Manuel Belgrano</v>
          </cell>
          <cell r="D125" t="str">
            <v>Córdoba</v>
          </cell>
          <cell r="E125" t="str">
            <v>San Justo</v>
          </cell>
          <cell r="F125" t="str">
            <v>Brinkmann</v>
          </cell>
          <cell r="G125">
            <v>2419</v>
          </cell>
          <cell r="H125" t="str">
            <v>Privado</v>
          </cell>
          <cell r="I125" t="str">
            <v>Institución de Otro Nivel y/o Modalidad</v>
          </cell>
          <cell r="J125" t="str">
            <v>Avda Seeber 317</v>
          </cell>
          <cell r="K125" t="str">
            <v>3562-455170</v>
          </cell>
          <cell r="L125" t="str">
            <v>imbelgrano_brk@yahoo.com</v>
          </cell>
          <cell r="M125" t="str">
            <v>Julio Firmani</v>
          </cell>
          <cell r="N125" t="str">
            <v>Director</v>
          </cell>
          <cell r="O125" t="str">
            <v>3562-455170</v>
          </cell>
          <cell r="P125" t="str">
            <v>jfirmani@hotmail.com</v>
          </cell>
          <cell r="Q125" t="str">
            <v>Astrada Javier</v>
          </cell>
          <cell r="R125" t="str">
            <v>Instructor</v>
          </cell>
          <cell r="S125" t="str">
            <v>3562-416987</v>
          </cell>
          <cell r="T125" t="str">
            <v>javiastrada73@gmail.com</v>
          </cell>
          <cell r="U125">
            <v>2021</v>
          </cell>
          <cell r="V125" t="str">
            <v>-30.864892728526883, -62.034488786930844</v>
          </cell>
        </row>
        <row r="126">
          <cell r="B126">
            <v>140333900</v>
          </cell>
          <cell r="C126" t="str">
            <v>Instituto Superior Cruz del Sacrificio</v>
          </cell>
          <cell r="D126" t="str">
            <v>Córdoba</v>
          </cell>
          <cell r="E126" t="str">
            <v>Capital</v>
          </cell>
          <cell r="F126" t="str">
            <v>Córdoba</v>
          </cell>
          <cell r="G126">
            <v>5000</v>
          </cell>
          <cell r="H126" t="str">
            <v>Privado</v>
          </cell>
          <cell r="I126" t="str">
            <v>Institución de ETP</v>
          </cell>
          <cell r="J126" t="str">
            <v>Lima 871</v>
          </cell>
          <cell r="K126" t="str">
            <v>351-4241542</v>
          </cell>
          <cell r="L126" t="str">
            <v>direccion@cruzdelsacrificio.com.ar</v>
          </cell>
          <cell r="M126" t="str">
            <v>Miguel Reynoso</v>
          </cell>
          <cell r="N126" t="str">
            <v>Director</v>
          </cell>
          <cell r="O126" t="str">
            <v>351-4241542</v>
          </cell>
          <cell r="P126" t="str">
            <v>profreynoso@yahoo.com.ar</v>
          </cell>
          <cell r="Q126" t="str">
            <v>Ivana Lamas</v>
          </cell>
          <cell r="R126" t="str">
            <v>Coordinadora</v>
          </cell>
          <cell r="S126" t="str">
            <v>351-2085270</v>
          </cell>
          <cell r="T126" t="str">
            <v>lamasivana42@gmail.com</v>
          </cell>
          <cell r="U126">
            <v>2020</v>
          </cell>
          <cell r="V126" t="str">
            <v>-31.411129532658176, -64.18094218922796</v>
          </cell>
        </row>
        <row r="127">
          <cell r="B127">
            <v>140337300</v>
          </cell>
          <cell r="C127" t="str">
            <v xml:space="preserve">Instituto Superior "Del Centro de la República Dr. Angel Diego Márquez" </v>
          </cell>
          <cell r="D127" t="str">
            <v>Córdoba</v>
          </cell>
          <cell r="E127" t="str">
            <v>General San Martín</v>
          </cell>
          <cell r="F127" t="str">
            <v>Villa Marìa</v>
          </cell>
          <cell r="G127">
            <v>5900</v>
          </cell>
          <cell r="H127" t="str">
            <v>Estatal</v>
          </cell>
          <cell r="I127" t="str">
            <v>Institución de ETP</v>
          </cell>
          <cell r="J127" t="str">
            <v>Boulevard España Nº 1098</v>
          </cell>
          <cell r="K127" t="str">
            <v>353-4537060</v>
          </cell>
          <cell r="L127" t="str">
            <v>EE0330141@me.cba.gov.ar</v>
          </cell>
          <cell r="M127" t="str">
            <v>Mònica Alejandra Pèrez</v>
          </cell>
          <cell r="N127" t="str">
            <v>Directora</v>
          </cell>
          <cell r="O127" t="str">
            <v>353-4537060</v>
          </cell>
          <cell r="P127" t="str">
            <v>moniale_perezandrada@hotmail.com</v>
          </cell>
          <cell r="Q127" t="str">
            <v>Fabiana Noemì Gonzàlez</v>
          </cell>
          <cell r="R127" t="str">
            <v>Coordinadora de Nivel Superior</v>
          </cell>
          <cell r="S127" t="str">
            <v>353-4180110</v>
          </cell>
          <cell r="T127" t="str">
            <v>inescersalud@gmail.com</v>
          </cell>
          <cell r="U127">
            <v>2020</v>
          </cell>
          <cell r="V127" t="str">
            <v>-32.417320227132464, -63.239563837210106</v>
          </cell>
        </row>
        <row r="128">
          <cell r="B128">
            <v>140359300</v>
          </cell>
          <cell r="C128" t="str">
            <v>Escuela Superior de Enfermería Villa Dolores</v>
          </cell>
          <cell r="D128" t="str">
            <v>Córdoba</v>
          </cell>
          <cell r="E128" t="str">
            <v>San Javier</v>
          </cell>
          <cell r="F128" t="str">
            <v>Villa Dolores</v>
          </cell>
          <cell r="G128">
            <v>5870</v>
          </cell>
          <cell r="H128" t="str">
            <v>Estatal</v>
          </cell>
          <cell r="I128" t="str">
            <v>Institución de ETP</v>
          </cell>
          <cell r="J128" t="str">
            <v>Av. San Martin N°50</v>
          </cell>
          <cell r="K128" t="str">
            <v>3544-646145</v>
          </cell>
          <cell r="L128" t="str">
            <v>enfermeriavd91@gmail.com</v>
          </cell>
          <cell r="M128" t="str">
            <v>Ludueña Monica</v>
          </cell>
          <cell r="N128" t="str">
            <v>Directora</v>
          </cell>
          <cell r="O128" t="str">
            <v>3544-646145</v>
          </cell>
          <cell r="P128" t="str">
            <v>monicaluis16@gmail.com</v>
          </cell>
          <cell r="Q128" t="str">
            <v>Ahumada Teresa</v>
          </cell>
          <cell r="R128" t="str">
            <v>Coordinadora</v>
          </cell>
          <cell r="S128" t="str">
            <v>3544-618054</v>
          </cell>
          <cell r="T128" t="str">
            <v>teteahumada@gmail.com</v>
          </cell>
          <cell r="U128">
            <v>2016</v>
          </cell>
          <cell r="V128" t="str">
            <v>-31.94502, -65.19027</v>
          </cell>
        </row>
        <row r="129">
          <cell r="B129">
            <v>140443800</v>
          </cell>
          <cell r="C129" t="str">
            <v>Instituto Superior Cruz Roja Argentina Filial Cordoba</v>
          </cell>
          <cell r="D129" t="str">
            <v>Córdoba</v>
          </cell>
          <cell r="E129" t="str">
            <v>Capital</v>
          </cell>
          <cell r="F129" t="str">
            <v>Córdoba</v>
          </cell>
          <cell r="G129">
            <v>5000</v>
          </cell>
          <cell r="H129" t="str">
            <v>Privado</v>
          </cell>
          <cell r="I129" t="str">
            <v>Institución de ETP</v>
          </cell>
          <cell r="J129" t="str">
            <v>Juan de Garay 2096</v>
          </cell>
          <cell r="K129" t="str">
            <v>351-4527161</v>
          </cell>
          <cell r="L129" t="str">
            <v>educa.cordoba@institutocruzrojacordoba.net.ar</v>
          </cell>
          <cell r="M129" t="str">
            <v>Sofía Nassif</v>
          </cell>
          <cell r="N129" t="str">
            <v>Directora</v>
          </cell>
          <cell r="O129" t="str">
            <v>351-4527161</v>
          </cell>
          <cell r="P129" t="str">
            <v>snassif@institutocruzrojacordoba.net.ar</v>
          </cell>
          <cell r="Q129" t="str">
            <v>Gisella Aguirre</v>
          </cell>
          <cell r="R129" t="str">
            <v>Coordinadora de Enseñanza Superior</v>
          </cell>
          <cell r="S129" t="str">
            <v>351-155376550</v>
          </cell>
          <cell r="T129" t="str">
            <v>gaguirre@institutocruzrojacordoba.net.ar</v>
          </cell>
          <cell r="U129">
            <v>2016</v>
          </cell>
          <cell r="V129" t="str">
            <v>-31.414218277917236, -64.19055799923217</v>
          </cell>
        </row>
        <row r="130">
          <cell r="B130">
            <v>140463300</v>
          </cell>
          <cell r="C130" t="str">
            <v>Escuela Superior de Enfermería N° 1260234 Cruz Roja Argentina Rio Cuarto</v>
          </cell>
          <cell r="D130" t="str">
            <v>Córdoba</v>
          </cell>
          <cell r="E130" t="str">
            <v>Rio Cuarto</v>
          </cell>
          <cell r="F130" t="str">
            <v>Rio Cuarto</v>
          </cell>
          <cell r="G130">
            <v>5800</v>
          </cell>
          <cell r="H130" t="str">
            <v>Privado</v>
          </cell>
          <cell r="I130" t="str">
            <v>Institución de ETP</v>
          </cell>
          <cell r="J130" t="str">
            <v>KOWALK 168</v>
          </cell>
          <cell r="K130" t="str">
            <v>358-4627080</v>
          </cell>
          <cell r="L130" t="str">
            <v>cruzrojariocuarto@fibertel.com.ar</v>
          </cell>
          <cell r="M130" t="str">
            <v>MGTER ELIAS CLAUDIO ASAAD</v>
          </cell>
          <cell r="N130" t="str">
            <v>REP. LEGAL</v>
          </cell>
          <cell r="O130" t="str">
            <v>358-4627080</v>
          </cell>
          <cell r="P130" t="str">
            <v>claudioasaad@gmail. Com</v>
          </cell>
          <cell r="Q130" t="str">
            <v>LIC. JORGE ADRIAN POSSIO</v>
          </cell>
          <cell r="R130" t="str">
            <v>DIRECTOR</v>
          </cell>
          <cell r="S130" t="str">
            <v>358-5093150</v>
          </cell>
          <cell r="T130" t="str">
            <v>jorgepossio@hotmail.com</v>
          </cell>
          <cell r="U130">
            <v>2016</v>
          </cell>
          <cell r="V130" t="str">
            <v>-33.12315, -64.34934</v>
          </cell>
        </row>
        <row r="131">
          <cell r="B131">
            <v>140488900</v>
          </cell>
          <cell r="C131" t="str">
            <v>Escuela Superior de Enfermería Cruz Roja Argentina</v>
          </cell>
          <cell r="D131" t="str">
            <v>Córdoba</v>
          </cell>
          <cell r="E131" t="str">
            <v>Río Segundo</v>
          </cell>
          <cell r="F131" t="str">
            <v>Villa del Rosario</v>
          </cell>
          <cell r="G131">
            <v>5963</v>
          </cell>
          <cell r="H131" t="str">
            <v>Privado</v>
          </cell>
          <cell r="I131" t="str">
            <v>Institución de ETP</v>
          </cell>
          <cell r="J131" t="str">
            <v>9 de Julio 536</v>
          </cell>
          <cell r="K131" t="str">
            <v>3573-444927</v>
          </cell>
          <cell r="L131" t="str">
            <v>areapedagogicaiscra@gmail.com</v>
          </cell>
          <cell r="M131" t="str">
            <v>María Ernesta Gaido</v>
          </cell>
          <cell r="N131" t="str">
            <v>Directora</v>
          </cell>
          <cell r="O131" t="str">
            <v>3573-444927</v>
          </cell>
          <cell r="P131" t="str">
            <v>mariaernestagaido@gmail.com</v>
          </cell>
          <cell r="Q131" t="str">
            <v>Claudia Bertoni</v>
          </cell>
          <cell r="R131" t="str">
            <v>Coordinadora de Enseñanza Superior</v>
          </cell>
          <cell r="S131" t="str">
            <v>3573-469134</v>
          </cell>
          <cell r="T131" t="str">
            <v>claudiabbertoni@gmail.com</v>
          </cell>
          <cell r="U131">
            <v>2016</v>
          </cell>
          <cell r="V131" t="str">
            <v>-31.554980825921863, -63.5351510656837</v>
          </cell>
        </row>
        <row r="132">
          <cell r="B132">
            <v>140510100</v>
          </cell>
          <cell r="C132" t="str">
            <v>Instituto "S.E.P San Nicolás" (Sindicato de Empleados Públicos)</v>
          </cell>
          <cell r="D132" t="str">
            <v>Córdoba</v>
          </cell>
          <cell r="E132" t="str">
            <v>Capital</v>
          </cell>
          <cell r="F132" t="str">
            <v>Córdoba</v>
          </cell>
          <cell r="G132">
            <v>5000</v>
          </cell>
          <cell r="H132" t="str">
            <v>Privado</v>
          </cell>
          <cell r="I132" t="str">
            <v>Institución de ETP</v>
          </cell>
          <cell r="J132" t="str">
            <v>Av. Maipú 354</v>
          </cell>
          <cell r="K132" t="str">
            <v>351-4297276</v>
          </cell>
          <cell r="L132" t="str">
            <v>institutosep@sep.org.ar</v>
          </cell>
          <cell r="M132" t="str">
            <v>Lic. Fabian Castello</v>
          </cell>
          <cell r="N132" t="str">
            <v>Director</v>
          </cell>
          <cell r="O132" t="str">
            <v>351-4297276</v>
          </cell>
          <cell r="P132" t="str">
            <v>fabiancastello26@gmail.com</v>
          </cell>
          <cell r="Q132" t="str">
            <v>Elda Acevedo</v>
          </cell>
          <cell r="R132" t="str">
            <v>Coordinadora</v>
          </cell>
          <cell r="S132" t="str">
            <v>351-7304745</v>
          </cell>
          <cell r="T132" t="str">
            <v>eacevedo@sep.org.ar</v>
          </cell>
          <cell r="U132">
            <v>2018</v>
          </cell>
          <cell r="V132" t="str">
            <v>-31.42015638070726, -64.174705072156</v>
          </cell>
        </row>
        <row r="133">
          <cell r="B133">
            <v>140510101</v>
          </cell>
          <cell r="C133" t="str">
            <v>Instituto "S.E.P San Nicolás" (Sindicato de Empleados Públicos) -Anexo Cosquín</v>
          </cell>
          <cell r="D133" t="str">
            <v>Córdoba</v>
          </cell>
          <cell r="E133" t="str">
            <v>Punilla</v>
          </cell>
          <cell r="F133" t="str">
            <v>Cosquin</v>
          </cell>
          <cell r="G133">
            <v>5166</v>
          </cell>
          <cell r="H133" t="str">
            <v>Privado</v>
          </cell>
          <cell r="I133" t="str">
            <v>Institución de ETP</v>
          </cell>
          <cell r="J133" t="str">
            <v>PEDRO ORTIZ 571</v>
          </cell>
          <cell r="K133" t="str">
            <v>3541-458120</v>
          </cell>
          <cell r="L133" t="str">
            <v>coordenfpunilla@sep.org.ar</v>
          </cell>
          <cell r="M133" t="str">
            <v>Castello Fabian Rodolfo</v>
          </cell>
          <cell r="N133" t="str">
            <v xml:space="preserve">Director </v>
          </cell>
          <cell r="O133" t="str">
            <v>351-458120</v>
          </cell>
          <cell r="P133" t="str">
            <v>fcastello@sep.org.ar</v>
          </cell>
          <cell r="Q133" t="str">
            <v xml:space="preserve"> Calder Myriam Mabel</v>
          </cell>
          <cell r="R133" t="str">
            <v>Coordinadora</v>
          </cell>
          <cell r="S133" t="str">
            <v>3541-15512904</v>
          </cell>
          <cell r="T133" t="str">
            <v>coordenfpunilla@sep.org.ar</v>
          </cell>
          <cell r="U133">
            <v>2018</v>
          </cell>
          <cell r="V133" t="str">
            <v>-31.24513155915342, -64.46943404445827</v>
          </cell>
        </row>
        <row r="134">
          <cell r="B134">
            <v>140510102</v>
          </cell>
          <cell r="C134" t="str">
            <v>Instituto "S.E.P San Nicolás" (Sindicato de Empleados Públicos) -Anexo Colón</v>
          </cell>
          <cell r="D134" t="str">
            <v>Córdoba</v>
          </cell>
          <cell r="E134" t="str">
            <v>Colón</v>
          </cell>
          <cell r="F134" t="str">
            <v>Jesus Maria</v>
          </cell>
          <cell r="G134">
            <v>5220</v>
          </cell>
          <cell r="H134" t="str">
            <v>Privado</v>
          </cell>
          <cell r="I134" t="str">
            <v>Institución de ETP</v>
          </cell>
          <cell r="J134" t="str">
            <v>Cordoba N° 1050</v>
          </cell>
          <cell r="K134" t="str">
            <v>3525-685920</v>
          </cell>
          <cell r="L134" t="str">
            <v>jesusmaria@sep.org.ar</v>
          </cell>
          <cell r="M134" t="str">
            <v xml:space="preserve">CASTELLO FABIAN </v>
          </cell>
          <cell r="N134" t="str">
            <v>Director</v>
          </cell>
          <cell r="O134" t="str">
            <v>351-685920</v>
          </cell>
          <cell r="P134" t="str">
            <v>institutosep@sep.org.ar</v>
          </cell>
          <cell r="Q134" t="str">
            <v>ALMADA LAURA DEL ROSARIO</v>
          </cell>
          <cell r="R134" t="str">
            <v>Coordinadora</v>
          </cell>
          <cell r="S134" t="str">
            <v>3525-410202</v>
          </cell>
          <cell r="T134" t="str">
            <v>coordenfjesusmaria@sep.org.ar</v>
          </cell>
          <cell r="U134">
            <v>2018</v>
          </cell>
          <cell r="V134" t="str">
            <v>-30.98057068862732, -64.09598866426599</v>
          </cell>
        </row>
        <row r="135">
          <cell r="B135">
            <v>140510103</v>
          </cell>
          <cell r="C135" t="str">
            <v>Instituto "S.E.P San Nicolás" (Sindicato de Empleados Públicos) -Anexo Oliva</v>
          </cell>
          <cell r="D135" t="str">
            <v>Córdoba</v>
          </cell>
          <cell r="E135" t="str">
            <v>Tercero Arriba</v>
          </cell>
          <cell r="F135" t="str">
            <v>Oliva</v>
          </cell>
          <cell r="G135">
            <v>5980</v>
          </cell>
          <cell r="H135" t="str">
            <v>Privado</v>
          </cell>
          <cell r="I135" t="str">
            <v>Institución de ETP</v>
          </cell>
          <cell r="J135" t="str">
            <v>Sarmiento 250</v>
          </cell>
          <cell r="K135" t="str">
            <v>3532-422723</v>
          </cell>
          <cell r="L135" t="str">
            <v xml:space="preserve">Coordenfoliva@sep.org.ar </v>
          </cell>
          <cell r="M135" t="str">
            <v>Castello Fabian</v>
          </cell>
          <cell r="N135" t="str">
            <v>Director</v>
          </cell>
          <cell r="O135" t="str">
            <v>351-422723</v>
          </cell>
          <cell r="P135" t="str">
            <v>institutosep@sep.org.ar</v>
          </cell>
          <cell r="Q135" t="str">
            <v xml:space="preserve">Ferreyra Genoveva  Beatriz </v>
          </cell>
          <cell r="R135" t="str">
            <v>Coordinadora</v>
          </cell>
          <cell r="S135" t="str">
            <v>3532-408119</v>
          </cell>
          <cell r="T135" t="str">
            <v xml:space="preserve">Genovevaferreyrabeatriz@gmail.com </v>
          </cell>
          <cell r="U135">
            <v>2018</v>
          </cell>
          <cell r="V135" t="str">
            <v>-32.04206113911118, -63.569641987551854</v>
          </cell>
        </row>
        <row r="136">
          <cell r="B136">
            <v>140510104</v>
          </cell>
          <cell r="C136" t="str">
            <v>Instituto "S.E.P San Nicolás" (Sindicato de Empleados Públicos) -Anexo Cruz del Eje</v>
          </cell>
          <cell r="D136" t="str">
            <v>Córdoba</v>
          </cell>
          <cell r="E136" t="str">
            <v>Cruz del Eje</v>
          </cell>
          <cell r="F136" t="str">
            <v>Cruz del Eje</v>
          </cell>
          <cell r="G136">
            <v>5280</v>
          </cell>
          <cell r="H136" t="str">
            <v>Privado</v>
          </cell>
          <cell r="I136" t="str">
            <v>Institución de ETP</v>
          </cell>
          <cell r="J136" t="str">
            <v>SOLDADO ROMERO 249</v>
          </cell>
          <cell r="K136" t="str">
            <v>-3549-421531</v>
          </cell>
          <cell r="L136" t="str">
            <v>COORDEANFCRUZDELEJE@SEP.ORG.AR</v>
          </cell>
          <cell r="M136" t="str">
            <v>CORZO KARINA EMILSE</v>
          </cell>
          <cell r="N136" t="str">
            <v>COORDINADORA</v>
          </cell>
          <cell r="O136" t="str">
            <v>-3549-421531</v>
          </cell>
          <cell r="P136" t="str">
            <v>CORZOKARINAEMILSE@GMAIL.COM.AR</v>
          </cell>
          <cell r="Q136" t="str">
            <v>CASTELLO FABIAN</v>
          </cell>
          <cell r="R136" t="str">
            <v>DIRECTOR</v>
          </cell>
          <cell r="S136" t="str">
            <v>351-6430818-6430818</v>
          </cell>
          <cell r="T136" t="str">
            <v>INSTITUTOSEP@SEP.ORG.AR</v>
          </cell>
          <cell r="U136">
            <v>2018</v>
          </cell>
          <cell r="V136" t="str">
            <v>-30.72644574252002, -64.8110048000622</v>
          </cell>
        </row>
        <row r="137">
          <cell r="B137">
            <v>140510105</v>
          </cell>
          <cell r="C137" t="str">
            <v>Instituto "S.E.P San Nicolás" (Sindicato de Empleados Públicos) -Anexo Marcos Juarez</v>
          </cell>
          <cell r="D137" t="str">
            <v>Córdoba</v>
          </cell>
          <cell r="E137" t="str">
            <v>Marcos Juarez</v>
          </cell>
          <cell r="F137" t="str">
            <v>Marcos Juarez</v>
          </cell>
          <cell r="G137">
            <v>2580</v>
          </cell>
          <cell r="H137" t="str">
            <v>Privado</v>
          </cell>
          <cell r="I137" t="str">
            <v>Institución de ETP</v>
          </cell>
          <cell r="J137" t="str">
            <v>MENDOZA 1482 SUR</v>
          </cell>
          <cell r="K137" t="str">
            <v>3472-440389</v>
          </cell>
          <cell r="L137" t="str">
            <v>lauradominguez135@hotmail.com</v>
          </cell>
          <cell r="M137" t="str">
            <v xml:space="preserve">FABIAN CASTELLO </v>
          </cell>
          <cell r="N137" t="str">
            <v xml:space="preserve">Director </v>
          </cell>
          <cell r="O137" t="str">
            <v>351-440389</v>
          </cell>
          <cell r="P137">
            <v>0</v>
          </cell>
          <cell r="Q137" t="str">
            <v xml:space="preserve">Laura Griselda Dominguez </v>
          </cell>
          <cell r="R137" t="str">
            <v>COORDINADORA extención aulica Marcos Juarez</v>
          </cell>
          <cell r="S137" t="str">
            <v>3472-625539</v>
          </cell>
          <cell r="T137" t="str">
            <v>lauradominguez135@hotmail.com</v>
          </cell>
          <cell r="U137">
            <v>2018</v>
          </cell>
          <cell r="V137" t="str">
            <v>-32.69367528636069, -62.10284392810125</v>
          </cell>
        </row>
        <row r="138">
          <cell r="B138">
            <v>140510106</v>
          </cell>
          <cell r="C138" t="str">
            <v>Instituto "S.E.P San Nicolás" (Sindicato de Empleados Públicos) -Anexo Río Cuarto</v>
          </cell>
          <cell r="D138" t="str">
            <v>Córdoba</v>
          </cell>
          <cell r="E138" t="str">
            <v>Rio Cuarto</v>
          </cell>
          <cell r="F138" t="str">
            <v>Rio Cuarto</v>
          </cell>
          <cell r="G138">
            <v>5800</v>
          </cell>
          <cell r="H138" t="str">
            <v>Privado</v>
          </cell>
          <cell r="I138" t="str">
            <v>Institución de ETP</v>
          </cell>
          <cell r="J138" t="str">
            <v>25 DE MAYO 722</v>
          </cell>
          <cell r="K138" t="str">
            <v>358-4643503/4640469</v>
          </cell>
          <cell r="L138" t="str">
            <v>eenfermeririocuarto@sep.org.ar</v>
          </cell>
          <cell r="M138" t="str">
            <v>Lic. FABIAN CASTELLO</v>
          </cell>
          <cell r="N138" t="str">
            <v>DIRECTOR</v>
          </cell>
          <cell r="O138" t="str">
            <v>351-4643503/4640469</v>
          </cell>
          <cell r="P138" t="str">
            <v>institutosep@sep.org.ar</v>
          </cell>
          <cell r="Q138" t="str">
            <v>Lic. Esp. Jose Luis Gallardo</v>
          </cell>
          <cell r="R138" t="str">
            <v>Coordinador</v>
          </cell>
          <cell r="S138" t="str">
            <v>358-4209354</v>
          </cell>
          <cell r="T138" t="str">
            <v>gallardojose1970@gmail.com</v>
          </cell>
          <cell r="U138">
            <v>2018</v>
          </cell>
          <cell r="V138" t="str">
            <v>-33.12267141327133, -64.3408167266876</v>
          </cell>
        </row>
        <row r="139">
          <cell r="B139">
            <v>140510107</v>
          </cell>
          <cell r="C139" t="str">
            <v>Instituto "S.E.P San Nicolás" (Sindicato de Empleados Públicos) -Anexo Villa María</v>
          </cell>
          <cell r="D139" t="str">
            <v>Córdoba</v>
          </cell>
          <cell r="E139" t="str">
            <v>General San Martín</v>
          </cell>
          <cell r="F139" t="str">
            <v xml:space="preserve">Villa Maria </v>
          </cell>
          <cell r="G139">
            <v>5900</v>
          </cell>
          <cell r="H139" t="str">
            <v>Privado</v>
          </cell>
          <cell r="I139" t="str">
            <v>Institución de ETP</v>
          </cell>
          <cell r="J139" t="str">
            <v xml:space="preserve">Catamarca 1268 </v>
          </cell>
          <cell r="K139" t="str">
            <v>353-4534846</v>
          </cell>
          <cell r="L139" t="str">
            <v>coordenfvillamaria@sep.org.ar</v>
          </cell>
          <cell r="M139" t="str">
            <v>Lic. Fabián Castello</v>
          </cell>
          <cell r="N139" t="str">
            <v>Director</v>
          </cell>
          <cell r="O139" t="str">
            <v>351-4534846</v>
          </cell>
          <cell r="P139">
            <v>0</v>
          </cell>
          <cell r="Q139" t="str">
            <v xml:space="preserve">Viviana Soledad Rodríguez </v>
          </cell>
          <cell r="R139" t="str">
            <v xml:space="preserve">Coordinación </v>
          </cell>
          <cell r="S139" t="str">
            <v>3584-497421</v>
          </cell>
          <cell r="T139" t="str">
            <v>sole_vivi@hotmail.com</v>
          </cell>
          <cell r="U139">
            <v>2018</v>
          </cell>
          <cell r="V139" t="str">
            <v>-32.41804575917341, -63.2433402259931</v>
          </cell>
        </row>
        <row r="140">
          <cell r="B140">
            <v>140510108</v>
          </cell>
          <cell r="C140" t="str">
            <v>Instituto "S.E.P San Nicolás" (Sindicato de Empleados Públicos) -Anexo Deán Funes</v>
          </cell>
          <cell r="D140" t="str">
            <v>Córdoba</v>
          </cell>
          <cell r="E140" t="str">
            <v>Ischilín</v>
          </cell>
          <cell r="F140" t="str">
            <v>Deán Funes</v>
          </cell>
          <cell r="G140">
            <v>5200</v>
          </cell>
          <cell r="H140" t="str">
            <v>Privado</v>
          </cell>
          <cell r="I140" t="str">
            <v>Institución de ETP</v>
          </cell>
          <cell r="J140" t="str">
            <v xml:space="preserve">TTE MORANDINI 355 – B° CENTRO </v>
          </cell>
          <cell r="K140" t="str">
            <v>3521-423205</v>
          </cell>
          <cell r="L140" t="str">
            <v>deanfunes@sep.org.ar</v>
          </cell>
          <cell r="M140" t="str">
            <v>LIC. FABIÁN CASTELLO</v>
          </cell>
          <cell r="N140" t="str">
            <v>DIRECTOR</v>
          </cell>
          <cell r="O140" t="str">
            <v>351-423205</v>
          </cell>
          <cell r="P140" t="str">
            <v>institutosep@sep.org.ar</v>
          </cell>
          <cell r="Q140" t="str">
            <v xml:space="preserve">CARIGNANO PATRICIA </v>
          </cell>
          <cell r="R140" t="str">
            <v>COORDINADORA</v>
          </cell>
          <cell r="S140" t="str">
            <v>3521-15401507</v>
          </cell>
          <cell r="T140" t="str">
            <v>coordenfdeanfunes@sep.org.ar</v>
          </cell>
          <cell r="U140">
            <v>2018</v>
          </cell>
          <cell r="V140" t="str">
            <v>-30.422441313447045, -64.34990796908448</v>
          </cell>
        </row>
        <row r="141">
          <cell r="B141">
            <v>140510300</v>
          </cell>
          <cell r="C141" t="str">
            <v>Instituto Tecnologico Foro de los Ríos</v>
          </cell>
          <cell r="D141" t="str">
            <v>Córdoba</v>
          </cell>
          <cell r="E141" t="str">
            <v>Calamuchita</v>
          </cell>
          <cell r="F141" t="str">
            <v>Villa General Belgrano</v>
          </cell>
          <cell r="G141">
            <v>5194</v>
          </cell>
          <cell r="H141" t="str">
            <v>Estatal</v>
          </cell>
          <cell r="I141" t="str">
            <v>Institución de ETP</v>
          </cell>
          <cell r="J141" t="str">
            <v xml:space="preserve">Corrientes s/n </v>
          </cell>
          <cell r="K141" t="str">
            <v>3546-463486</v>
          </cell>
          <cell r="L141" t="str">
            <v>itecvgb@gmail.com</v>
          </cell>
          <cell r="M141" t="str">
            <v>VASEK Cristina Adriana</v>
          </cell>
          <cell r="N141" t="str">
            <v>DIRECTORA</v>
          </cell>
          <cell r="O141" t="str">
            <v>3546-463486</v>
          </cell>
          <cell r="P141" t="str">
            <v>vasek.cris@gmail.com</v>
          </cell>
          <cell r="Q141" t="str">
            <v>GÓNZALEZ OVIEDO Federico Ezequiel</v>
          </cell>
          <cell r="R141" t="str">
            <v xml:space="preserve">Profesor </v>
          </cell>
          <cell r="S141" t="str">
            <v>3546-798854</v>
          </cell>
          <cell r="T141" t="str">
            <v>fegoviedo@yahoo.com</v>
          </cell>
          <cell r="U141">
            <v>2016</v>
          </cell>
          <cell r="V141" t="str">
            <v>-31.97766, -64.55941</v>
          </cell>
        </row>
        <row r="142">
          <cell r="B142">
            <v>140532900</v>
          </cell>
          <cell r="C142" t="str">
            <v>Instituto Superior Madre Teresa de Calcuta</v>
          </cell>
          <cell r="D142" t="str">
            <v>Córdoba</v>
          </cell>
          <cell r="E142" t="str">
            <v>San Justo</v>
          </cell>
          <cell r="F142" t="str">
            <v>San Francisco</v>
          </cell>
          <cell r="G142">
            <v>2400</v>
          </cell>
          <cell r="H142" t="str">
            <v>Privado</v>
          </cell>
          <cell r="I142" t="str">
            <v>Institución de ETP</v>
          </cell>
          <cell r="J142" t="str">
            <v>Belgrano 2158</v>
          </cell>
          <cell r="K142" t="str">
            <v>3564-15504942</v>
          </cell>
          <cell r="L142" t="str">
            <v>m.teresadecalcuta@hotmail.com</v>
          </cell>
          <cell r="M142" t="str">
            <v>Carla Andrea Gastaldi</v>
          </cell>
          <cell r="N142" t="str">
            <v>directora</v>
          </cell>
          <cell r="O142" t="str">
            <v>3564-15504942</v>
          </cell>
          <cell r="P142" t="str">
            <v>carlandrea:08@hotmail.com</v>
          </cell>
          <cell r="Q142">
            <v>0</v>
          </cell>
          <cell r="R142">
            <v>0</v>
          </cell>
          <cell r="S142" t="str">
            <v>-</v>
          </cell>
          <cell r="T142">
            <v>0</v>
          </cell>
          <cell r="U142">
            <v>2021</v>
          </cell>
          <cell r="V142" t="str">
            <v>-31.424867362191108, -62.08430152184563</v>
          </cell>
        </row>
        <row r="143">
          <cell r="B143">
            <v>140535004</v>
          </cell>
          <cell r="C143" t="str">
            <v>Instituto Superior Técnico "Anexo Dependiente de Inspecciòn- Malvinas Argentinas"</v>
          </cell>
          <cell r="D143" t="str">
            <v>Córdoba</v>
          </cell>
          <cell r="E143" t="str">
            <v>Colón</v>
          </cell>
          <cell r="F143" t="str">
            <v>Malvinas Argentinas</v>
          </cell>
          <cell r="G143">
            <v>5125</v>
          </cell>
          <cell r="H143" t="str">
            <v>Estatal</v>
          </cell>
          <cell r="I143" t="str">
            <v>Institución de ETP</v>
          </cell>
          <cell r="J143" t="str">
            <v>Hermanos de La Salle 651</v>
          </cell>
          <cell r="K143" t="str">
            <v>351-3373172</v>
          </cell>
          <cell r="L143" t="str">
            <v>licsartori@gmail.com</v>
          </cell>
          <cell r="M143" t="str">
            <v>Lic. Vanesa Sartori</v>
          </cell>
          <cell r="N143" t="str">
            <v>Referente Institucional</v>
          </cell>
          <cell r="O143" t="str">
            <v>3513373172-3373172</v>
          </cell>
          <cell r="P143" t="str">
            <v>licsartori@gmail.com</v>
          </cell>
          <cell r="Q143">
            <v>0</v>
          </cell>
          <cell r="R143">
            <v>0</v>
          </cell>
          <cell r="S143" t="str">
            <v>-</v>
          </cell>
          <cell r="T143">
            <v>0</v>
          </cell>
          <cell r="U143">
            <v>2018</v>
          </cell>
          <cell r="V143" t="str">
            <v>-31.384420213396012, -64.05603184498017</v>
          </cell>
        </row>
        <row r="144">
          <cell r="B144">
            <v>140544100</v>
          </cell>
          <cell r="C144" t="str">
            <v>Instituto Técnico Superior Córdoba</v>
          </cell>
          <cell r="D144" t="str">
            <v>Córdoba</v>
          </cell>
          <cell r="E144" t="str">
            <v>Capital</v>
          </cell>
          <cell r="F144" t="str">
            <v>Córdoba</v>
          </cell>
          <cell r="G144">
            <v>5000</v>
          </cell>
          <cell r="H144" t="str">
            <v>Estatal</v>
          </cell>
          <cell r="I144" t="str">
            <v>Institución de ETP</v>
          </cell>
          <cell r="J144" t="str">
            <v>RIO NEGRO 77</v>
          </cell>
          <cell r="K144" t="str">
            <v>351-4897942</v>
          </cell>
          <cell r="L144" t="str">
            <v>itscordoba2015@gmail.com</v>
          </cell>
          <cell r="M144" t="str">
            <v>TRAD. PROF MARIA EUGENIA RODRIGUEZ</v>
          </cell>
          <cell r="N144" t="str">
            <v>DIRECTORA</v>
          </cell>
          <cell r="O144" t="str">
            <v>351-4897942</v>
          </cell>
          <cell r="P144" t="str">
            <v>itscordoba2015@gmail.com</v>
          </cell>
          <cell r="Q144" t="str">
            <v>MGTER. ROSAICELA IVON AGUILERA BASTIDAS</v>
          </cell>
          <cell r="R144" t="str">
            <v>Coordinadora del Área de Salud</v>
          </cell>
          <cell r="S144" t="str">
            <v>351-2049691</v>
          </cell>
          <cell r="T144" t="str">
            <v>aguilerabivon@hotmail.com</v>
          </cell>
          <cell r="U144">
            <v>2016</v>
          </cell>
          <cell r="V144" t="str">
            <v>-31.414218277917236, -64.19055799923217</v>
          </cell>
        </row>
        <row r="145">
          <cell r="B145">
            <v>140544101</v>
          </cell>
          <cell r="C145" t="str">
            <v>Instituto Superior Técnico "Córdoba -Anexo Juarez Celman"</v>
          </cell>
          <cell r="D145" t="str">
            <v>Córdoba</v>
          </cell>
          <cell r="E145" t="str">
            <v>Colón</v>
          </cell>
          <cell r="F145" t="str">
            <v>Estación Juárez Celman</v>
          </cell>
          <cell r="G145">
            <v>5145</v>
          </cell>
          <cell r="H145" t="str">
            <v>Estatal</v>
          </cell>
          <cell r="I145" t="str">
            <v>Institución de ETP</v>
          </cell>
          <cell r="J145" t="str">
            <v>Los claves 196 B° Villa los Llanos</v>
          </cell>
          <cell r="K145" t="str">
            <v>-</v>
          </cell>
          <cell r="L145" t="str">
            <v>enfermeria.juarezcelman@itscordoba.edu.ar</v>
          </cell>
          <cell r="M145" t="str">
            <v>Maria Eugenia Rodriguez</v>
          </cell>
          <cell r="N145" t="str">
            <v>Directora</v>
          </cell>
          <cell r="O145" t="str">
            <v>351-</v>
          </cell>
          <cell r="P145" t="str">
            <v>itscordoba2015@gmail.com</v>
          </cell>
          <cell r="Q145" t="str">
            <v>Claudia Jimenez Rodriguez</v>
          </cell>
          <cell r="R145" t="str">
            <v>Coordinadora de Nivel Superior</v>
          </cell>
          <cell r="S145" t="str">
            <v>351-6097800</v>
          </cell>
          <cell r="T145" t="str">
            <v>calejandrajimenez@gmail.com</v>
          </cell>
          <cell r="U145">
            <v>2019</v>
          </cell>
          <cell r="V145" t="str">
            <v>-31.27546686706104, -64.1644518195736</v>
          </cell>
        </row>
        <row r="146">
          <cell r="B146">
            <v>140544105</v>
          </cell>
          <cell r="C146" t="str">
            <v>Instituto Superior Técnico "Córdoba Anexo La France"</v>
          </cell>
          <cell r="D146" t="str">
            <v>Córdoba</v>
          </cell>
          <cell r="E146" t="str">
            <v>Capital</v>
          </cell>
          <cell r="F146" t="str">
            <v>Cordoba</v>
          </cell>
          <cell r="G146">
            <v>5008</v>
          </cell>
          <cell r="H146" t="str">
            <v>Estatal</v>
          </cell>
          <cell r="I146" t="str">
            <v>Institución de ETP</v>
          </cell>
          <cell r="J146" t="str">
            <v>Manuel Cardeñosa 2915</v>
          </cell>
          <cell r="K146" t="str">
            <v>351--156571416</v>
          </cell>
          <cell r="L146" t="str">
            <v>zamaragustin@gmail.com</v>
          </cell>
          <cell r="M146" t="str">
            <v>Maria Eugenia Rodriguez</v>
          </cell>
          <cell r="N146" t="str">
            <v>Directora</v>
          </cell>
          <cell r="O146" t="str">
            <v>351-156571416</v>
          </cell>
          <cell r="P146" t="str">
            <v>meuguerodriguez@hotmail.com</v>
          </cell>
          <cell r="Q146" t="str">
            <v>Sergio Agustin Zamar</v>
          </cell>
          <cell r="R146" t="str">
            <v>Coordinador</v>
          </cell>
          <cell r="S146" t="str">
            <v>351--6571416</v>
          </cell>
          <cell r="T146" t="str">
            <v>zamaragustin@gmail.com</v>
          </cell>
          <cell r="U146">
            <v>2018</v>
          </cell>
          <cell r="V146" t="str">
            <v>-31.37189677732148, -64.20785856460344</v>
          </cell>
        </row>
        <row r="147">
          <cell r="B147">
            <v>140544107</v>
          </cell>
          <cell r="C147" t="str">
            <v>Instituto Superior Técnico "Córdoba Anexo Villa del Libertador"</v>
          </cell>
          <cell r="D147" t="str">
            <v>Córdoba</v>
          </cell>
          <cell r="E147" t="str">
            <v>Capital</v>
          </cell>
          <cell r="F147" t="str">
            <v>Córdoba</v>
          </cell>
          <cell r="G147">
            <v>5000</v>
          </cell>
          <cell r="H147" t="str">
            <v>Estatal</v>
          </cell>
          <cell r="I147" t="str">
            <v>Institución de ETP</v>
          </cell>
          <cell r="J147" t="str">
            <v>DEFENSA N°60 ESQ. CACHEUTA - B° VILLA EL LIBERTADOR</v>
          </cell>
          <cell r="K147" t="str">
            <v>351-4897942</v>
          </cell>
          <cell r="L147" t="str">
            <v>itscordoba2015@gmail.com</v>
          </cell>
          <cell r="M147" t="str">
            <v>TRAD. PROF MARIA EUGENIA RODRIGUEZ</v>
          </cell>
          <cell r="N147" t="str">
            <v>DIRECTORA</v>
          </cell>
          <cell r="O147" t="str">
            <v>351-4897942</v>
          </cell>
          <cell r="P147" t="str">
            <v>itscordoba2015@gmail.com</v>
          </cell>
          <cell r="Q147" t="str">
            <v>MGTER. ROSAICELA IVON AGUILERA BASTIDAS</v>
          </cell>
          <cell r="R147" t="str">
            <v>Coordinadora del Área de Salud</v>
          </cell>
          <cell r="S147" t="str">
            <v>351-2049691</v>
          </cell>
          <cell r="T147" t="str">
            <v>aguilerabivon@hotmail.com</v>
          </cell>
          <cell r="U147">
            <v>2018</v>
          </cell>
          <cell r="V147" t="str">
            <v>-31.474339655136042, -64.22276214222616</v>
          </cell>
        </row>
        <row r="148">
          <cell r="B148">
            <v>180041100</v>
          </cell>
          <cell r="C148" t="str">
            <v>Instituto de Educación Superior (I.E.S.) De Servicio Social Remedios Escalada de San Martín</v>
          </cell>
          <cell r="D148" t="str">
            <v>Corrientes</v>
          </cell>
          <cell r="E148" t="str">
            <v>Capital</v>
          </cell>
          <cell r="F148" t="str">
            <v>Corrientes</v>
          </cell>
          <cell r="G148">
            <v>3400</v>
          </cell>
          <cell r="H148" t="str">
            <v>Estatal</v>
          </cell>
          <cell r="I148" t="str">
            <v>Institución de ETP</v>
          </cell>
          <cell r="J148" t="str">
            <v>Yrigoyen 2145</v>
          </cell>
          <cell r="K148" t="str">
            <v>-</v>
          </cell>
          <cell r="L148" t="str">
            <v>isss.ctes@mec.gob.ar</v>
          </cell>
          <cell r="M148" t="str">
            <v>Cesar Daniel Castillo</v>
          </cell>
          <cell r="N148" t="str">
            <v>rector</v>
          </cell>
          <cell r="O148" t="str">
            <v>3794-</v>
          </cell>
          <cell r="P148" t="str">
            <v>kastillocesar@hotmail.com</v>
          </cell>
          <cell r="Q148" t="str">
            <v>Martha Espindola</v>
          </cell>
          <cell r="R148" t="str">
            <v>vicerectora</v>
          </cell>
          <cell r="S148" t="str">
            <v>3794-789155</v>
          </cell>
          <cell r="T148" t="str">
            <v>marthaespindola@yahoo.com.ar</v>
          </cell>
          <cell r="U148">
            <v>2017</v>
          </cell>
          <cell r="V148" t="str">
            <v>-27.46921, -58.83063</v>
          </cell>
        </row>
        <row r="149">
          <cell r="B149">
            <v>180121600</v>
          </cell>
          <cell r="C149" t="str">
            <v>Centro Educativo Irupe</v>
          </cell>
          <cell r="D149" t="str">
            <v>Corrientes</v>
          </cell>
          <cell r="E149" t="str">
            <v>Santo Tomé</v>
          </cell>
          <cell r="F149" t="str">
            <v>Santo Tomé</v>
          </cell>
          <cell r="G149">
            <v>3340</v>
          </cell>
          <cell r="H149" t="str">
            <v>Privado</v>
          </cell>
          <cell r="I149" t="str">
            <v>Institución de ETP</v>
          </cell>
          <cell r="J149" t="str">
            <v>San Martín n° 448</v>
          </cell>
          <cell r="K149" t="str">
            <v>3756-439073</v>
          </cell>
          <cell r="L149" t="str">
            <v>1801216-00@privada.mec.gob.ar</v>
          </cell>
          <cell r="M149" t="str">
            <v>Lic. Julia Susana Alegre de Buján</v>
          </cell>
          <cell r="N149" t="str">
            <v>Rectora</v>
          </cell>
          <cell r="O149" t="str">
            <v>3756-439073</v>
          </cell>
          <cell r="P149" t="str">
            <v>juliasusanaalegre@hotmail.com</v>
          </cell>
          <cell r="Q149" t="str">
            <v>Lic. Ana Luján Ayala</v>
          </cell>
          <cell r="R149" t="str">
            <v>Coordinadora de Carrera</v>
          </cell>
          <cell r="S149" t="str">
            <v>3756-535605</v>
          </cell>
          <cell r="T149" t="str">
            <v>analujana@yahoo.com</v>
          </cell>
          <cell r="U149">
            <v>2018</v>
          </cell>
          <cell r="V149" t="str">
            <v>-28.550034537717373, -56.04507478383396</v>
          </cell>
        </row>
        <row r="150">
          <cell r="B150">
            <v>180141300</v>
          </cell>
          <cell r="C150" t="str">
            <v>Instituto de Educación Superior de Formación Docente Dr. J. Alfredo Ferreira</v>
          </cell>
          <cell r="D150" t="str">
            <v>Corrientes</v>
          </cell>
          <cell r="E150" t="str">
            <v>Esquina</v>
          </cell>
          <cell r="F150" t="str">
            <v>Esquina</v>
          </cell>
          <cell r="G150">
            <v>3196</v>
          </cell>
          <cell r="H150" t="str">
            <v>Estatal</v>
          </cell>
          <cell r="I150" t="str">
            <v>Institución de Otro Nivel y/o Modalidad</v>
          </cell>
          <cell r="J150" t="str">
            <v>Mitre N: 956</v>
          </cell>
          <cell r="K150" t="str">
            <v>-</v>
          </cell>
          <cell r="L150" t="str">
            <v>1801413@mec.gob.ar</v>
          </cell>
          <cell r="M150" t="str">
            <v>Lic. Candida Franco</v>
          </cell>
          <cell r="N150" t="str">
            <v>Rectora</v>
          </cell>
          <cell r="O150" t="str">
            <v>-</v>
          </cell>
          <cell r="P150" t="str">
            <v>candi_franco@hotmail.com</v>
          </cell>
          <cell r="Q150" t="str">
            <v>Eduardo Angel Davicino</v>
          </cell>
          <cell r="R150" t="str">
            <v>Coordinador</v>
          </cell>
          <cell r="S150" t="str">
            <v>-3777621453</v>
          </cell>
          <cell r="T150" t="str">
            <v>eduardoangeldavicino@hotmail.com</v>
          </cell>
          <cell r="U150">
            <v>2017</v>
          </cell>
          <cell r="V150" t="str">
            <v>-30.01606839337122, -59.522274070432616</v>
          </cell>
        </row>
        <row r="151">
          <cell r="B151">
            <v>180141400</v>
          </cell>
          <cell r="C151" t="str">
            <v>Instituto de Educación Superior de Formación Docente Mercedes</v>
          </cell>
          <cell r="D151" t="str">
            <v>Corrientes</v>
          </cell>
          <cell r="E151" t="str">
            <v>Mercedes</v>
          </cell>
          <cell r="F151" t="str">
            <v>Mercedes</v>
          </cell>
          <cell r="G151">
            <v>3470</v>
          </cell>
          <cell r="H151" t="str">
            <v>Estatal</v>
          </cell>
          <cell r="I151" t="str">
            <v>Institución de Otro Nivel y/o Modalidad</v>
          </cell>
          <cell r="J151" t="str">
            <v>José Maria Gómez y Yatay</v>
          </cell>
          <cell r="K151" t="str">
            <v>3446-641935</v>
          </cell>
          <cell r="L151" t="str">
            <v>ifdmercedes@hotmail.com</v>
          </cell>
          <cell r="M151" t="str">
            <v>Lucía María Kozlowski</v>
          </cell>
          <cell r="N151" t="str">
            <v>Rectora</v>
          </cell>
          <cell r="O151" t="str">
            <v>3446-641935</v>
          </cell>
          <cell r="P151" t="str">
            <v>kozlowskilucia@gmail.com</v>
          </cell>
          <cell r="Q151" t="str">
            <v>Ofelia Monzón</v>
          </cell>
          <cell r="R151" t="str">
            <v>Directora de Carrera</v>
          </cell>
          <cell r="S151" t="str">
            <v>3773-431011</v>
          </cell>
          <cell r="T151" t="str">
            <v>ofelia_monzon@hotmail.com</v>
          </cell>
          <cell r="U151">
            <v>2016</v>
          </cell>
          <cell r="V151" t="str">
            <v>-29.2004, -58.06912</v>
          </cell>
        </row>
        <row r="152">
          <cell r="B152">
            <v>180141500</v>
          </cell>
          <cell r="C152" t="str">
            <v>Instituto de Educación Superior de Formación Docente Profesor Agustín Gómez</v>
          </cell>
          <cell r="D152" t="str">
            <v>Corrientes</v>
          </cell>
          <cell r="E152" t="str">
            <v>Paso de los Libres</v>
          </cell>
          <cell r="F152" t="str">
            <v>Paso de los Libres</v>
          </cell>
          <cell r="G152">
            <v>3230</v>
          </cell>
          <cell r="H152" t="str">
            <v>Estatal</v>
          </cell>
          <cell r="I152" t="str">
            <v>Institución de Otro Nivel y/o Modalidad</v>
          </cell>
          <cell r="J152" t="str">
            <v>Belgrano 927/933 - Madariaga 1350</v>
          </cell>
          <cell r="K152" t="str">
            <v>3772-425037</v>
          </cell>
          <cell r="L152" t="str">
            <v>isfdpag@gmail.com // 1801415-00@mec.gob.ar</v>
          </cell>
          <cell r="M152" t="str">
            <v>Lidia Elena Pikarski</v>
          </cell>
          <cell r="N152" t="str">
            <v>Rectora</v>
          </cell>
          <cell r="O152" t="str">
            <v>3772-425037</v>
          </cell>
          <cell r="P152" t="str">
            <v>cp.pikarski@gmail.com // pikarski@arnet.com.ar</v>
          </cell>
          <cell r="Q152" t="str">
            <v>Gustavo Anibal Barrios</v>
          </cell>
          <cell r="R152" t="str">
            <v>Coordinador de Carrera</v>
          </cell>
          <cell r="S152" t="str">
            <v>-3772-406475</v>
          </cell>
          <cell r="T152" t="str">
            <v>gustavobarr@gmil.com</v>
          </cell>
          <cell r="U152">
            <v>2016</v>
          </cell>
          <cell r="V152" t="str">
            <v>-29.71371, -57.08556</v>
          </cell>
        </row>
        <row r="153">
          <cell r="B153">
            <v>180141501</v>
          </cell>
          <cell r="C153" t="str">
            <v>Instituto de Educación Superior de Formación Docente "Profesor Agustín Gómez- Anexo Yapeyú"</v>
          </cell>
          <cell r="D153" t="str">
            <v>Corrientes</v>
          </cell>
          <cell r="E153" t="str">
            <v>San Martín</v>
          </cell>
          <cell r="F153" t="str">
            <v>Yapeyú</v>
          </cell>
          <cell r="G153">
            <v>3231</v>
          </cell>
          <cell r="H153" t="str">
            <v>Estatal</v>
          </cell>
          <cell r="I153" t="str">
            <v>Institución de Otro Nivel y/o Modalidad</v>
          </cell>
          <cell r="J153" t="str">
            <v>Obispo Romero S/N°</v>
          </cell>
          <cell r="K153" t="str">
            <v>379-4356850</v>
          </cell>
          <cell r="L153" t="str">
            <v>isfdyapeyucorrientes@gmail.com</v>
          </cell>
          <cell r="M153" t="str">
            <v>Fagúndez Vanesa Marilin</v>
          </cell>
          <cell r="N153" t="str">
            <v>Coordinadora de Subsede</v>
          </cell>
          <cell r="O153" t="str">
            <v>379-4356850</v>
          </cell>
          <cell r="P153" t="str">
            <v>favane06@gmail.com</v>
          </cell>
          <cell r="Q153" t="str">
            <v>Fontes Patricia Elizabeth</v>
          </cell>
          <cell r="R153" t="str">
            <v>Coordinadora de Carrera</v>
          </cell>
          <cell r="S153" t="str">
            <v>3772-503514</v>
          </cell>
          <cell r="T153" t="str">
            <v>patri-font77@hotmail.com</v>
          </cell>
          <cell r="U153">
            <v>2018</v>
          </cell>
          <cell r="V153" t="str">
            <v>-29.468567699163174, -56.816830202742416</v>
          </cell>
        </row>
        <row r="154">
          <cell r="B154">
            <v>180143000</v>
          </cell>
          <cell r="C154" t="str">
            <v>Instituto de Educación Superior (I.E.S.) Instituto de Formación y Capacitación Cruz Roja Argentina Filial Corrientes</v>
          </cell>
          <cell r="D154" t="str">
            <v>Corrientes</v>
          </cell>
          <cell r="E154" t="str">
            <v>Capital</v>
          </cell>
          <cell r="F154" t="str">
            <v>Corrientes</v>
          </cell>
          <cell r="G154">
            <v>3400</v>
          </cell>
          <cell r="H154" t="str">
            <v>Privado</v>
          </cell>
          <cell r="I154" t="str">
            <v>Institución de ETP</v>
          </cell>
          <cell r="J154" t="str">
            <v>Simón Bolivar Nº 1219</v>
          </cell>
          <cell r="K154" t="str">
            <v>379-4437620</v>
          </cell>
          <cell r="L154" t="str">
            <v>educa.corrientes@cruzroja.org.ar</v>
          </cell>
          <cell r="M154" t="str">
            <v>Lic. Tatiana Sandrigo Ybrán</v>
          </cell>
          <cell r="N154" t="str">
            <v>Representante Legal</v>
          </cell>
          <cell r="O154" t="str">
            <v>379-4437620</v>
          </cell>
          <cell r="P154" t="str">
            <v>educa.corrientes@cruzroja.org.ar</v>
          </cell>
          <cell r="Q154" t="str">
            <v>Mgtr. Javier Quiroga</v>
          </cell>
          <cell r="R154" t="str">
            <v>Director</v>
          </cell>
          <cell r="S154" t="str">
            <v>379-4569700</v>
          </cell>
          <cell r="T154" t="str">
            <v>javier_quiroga@hotmail.com.ar</v>
          </cell>
          <cell r="U154">
            <v>2016</v>
          </cell>
          <cell r="V154" t="str">
            <v>-27.46921, -58.83063</v>
          </cell>
        </row>
        <row r="155">
          <cell r="B155">
            <v>180145100</v>
          </cell>
          <cell r="C155" t="str">
            <v>Instituto de Educación Superior de Formación Docente Julio Cortázar</v>
          </cell>
          <cell r="D155" t="str">
            <v>Corrientes</v>
          </cell>
          <cell r="E155" t="str">
            <v>Empedrado</v>
          </cell>
          <cell r="F155" t="str">
            <v>Empedrado</v>
          </cell>
          <cell r="G155">
            <v>3418</v>
          </cell>
          <cell r="H155" t="str">
            <v>Estatal</v>
          </cell>
          <cell r="I155" t="str">
            <v>Institución de Otro Nivel y/o Modalidad</v>
          </cell>
          <cell r="J155" t="str">
            <v>BARTOLOMÉ MITRE Y CAMBACERES</v>
          </cell>
          <cell r="K155" t="str">
            <v>3794-723541</v>
          </cell>
          <cell r="L155" t="str">
            <v>1801451-00@mec.gob.ar</v>
          </cell>
          <cell r="M155" t="str">
            <v>ÁNGEL ALCIDES ROMERO</v>
          </cell>
          <cell r="N155" t="str">
            <v>RECTOR</v>
          </cell>
          <cell r="O155" t="str">
            <v>3794-723541</v>
          </cell>
          <cell r="P155" t="str">
            <v>liliana_alegre70@hotmail.com</v>
          </cell>
          <cell r="Q155" t="str">
            <v>PÉREZ, MIGUEL ÁNGEL</v>
          </cell>
          <cell r="R155" t="str">
            <v>COORDINADOR DE CARRERA</v>
          </cell>
          <cell r="S155" t="str">
            <v>3794-512907</v>
          </cell>
          <cell r="T155" t="str">
            <v>perezvista2001@yahoo.com.ar</v>
          </cell>
          <cell r="U155">
            <v>2018</v>
          </cell>
          <cell r="V155" t="str">
            <v>-27.95080741044176, -58.8031583669677</v>
          </cell>
        </row>
        <row r="156">
          <cell r="B156">
            <v>180146600</v>
          </cell>
          <cell r="C156" t="str">
            <v>Instituto de Educación Superior de Formación Docente Juan García de Cossio</v>
          </cell>
          <cell r="D156" t="str">
            <v>Corrientes</v>
          </cell>
          <cell r="E156" t="str">
            <v>San Roque</v>
          </cell>
          <cell r="F156" t="str">
            <v>San Roque</v>
          </cell>
          <cell r="G156">
            <v>3448</v>
          </cell>
          <cell r="H156" t="str">
            <v>Estatal</v>
          </cell>
          <cell r="I156" t="str">
            <v>Institución de Otro Nivel y/o Modalidad</v>
          </cell>
          <cell r="J156" t="str">
            <v>San Martín Nº 1145</v>
          </cell>
          <cell r="K156" t="str">
            <v>3777-554857</v>
          </cell>
          <cell r="L156" t="str">
            <v>1801466-00@mec.gob.ar</v>
          </cell>
          <cell r="M156" t="str">
            <v>Insaurralde Lilian Elizabeth</v>
          </cell>
          <cell r="N156" t="str">
            <v>Rectora</v>
          </cell>
          <cell r="O156" t="str">
            <v>3777-554857</v>
          </cell>
          <cell r="P156" t="str">
            <v>lilianins@gmail.com</v>
          </cell>
          <cell r="Q156" t="str">
            <v>Arce ,Carlos Martín</v>
          </cell>
          <cell r="R156" t="str">
            <v>Coordinador de C arrera (Suplente)</v>
          </cell>
          <cell r="S156" t="str">
            <v>3777-543416</v>
          </cell>
          <cell r="T156" t="str">
            <v>cmarce83@yahoo.com.ar</v>
          </cell>
          <cell r="U156">
            <v>2016</v>
          </cell>
          <cell r="V156" t="str">
            <v>-28.576472936704544, -58.70883059749467</v>
          </cell>
        </row>
        <row r="157">
          <cell r="B157">
            <v>180146700</v>
          </cell>
          <cell r="C157" t="str">
            <v>Instituto de Educación Superior de Formación Docente María Luisa Román de Frechou</v>
          </cell>
          <cell r="D157" t="str">
            <v>Corrientes</v>
          </cell>
          <cell r="E157" t="str">
            <v>Saladas</v>
          </cell>
          <cell r="F157" t="str">
            <v>Saladas</v>
          </cell>
          <cell r="G157">
            <v>3420</v>
          </cell>
          <cell r="H157" t="str">
            <v>Estatal</v>
          </cell>
          <cell r="I157" t="str">
            <v>Institución de Otro Nivel y/o Modalidad</v>
          </cell>
          <cell r="J157" t="str">
            <v>ALVEAR 1491</v>
          </cell>
          <cell r="K157" t="str">
            <v>3782-434417</v>
          </cell>
          <cell r="L157" t="str">
            <v>1801467-00@mec.gob.ar</v>
          </cell>
          <cell r="M157" t="str">
            <v>LADY SIMONI</v>
          </cell>
          <cell r="N157" t="str">
            <v>RECTORA</v>
          </cell>
          <cell r="O157" t="str">
            <v>3782-434417</v>
          </cell>
          <cell r="P157" t="str">
            <v>ladysimoni@hotmail.com</v>
          </cell>
          <cell r="Q157" t="str">
            <v>GALARZA RAUL ALBERTO</v>
          </cell>
          <cell r="R157" t="str">
            <v>COORDINADOR DE CARRERA</v>
          </cell>
          <cell r="S157" t="str">
            <v>3782-439453</v>
          </cell>
          <cell r="T157" t="str">
            <v>raulalbertogalarza16@gmail.com</v>
          </cell>
          <cell r="U157">
            <v>2016</v>
          </cell>
          <cell r="V157" t="str">
            <v>-28.2437, -58.61691</v>
          </cell>
        </row>
        <row r="158">
          <cell r="B158">
            <v>180176500</v>
          </cell>
          <cell r="C158" t="str">
            <v>Instituto Superior de Formación Docente de Caa Cati</v>
          </cell>
          <cell r="D158" t="str">
            <v>Corrientes</v>
          </cell>
          <cell r="E158" t="str">
            <v>General Paz</v>
          </cell>
          <cell r="F158" t="str">
            <v>N. Sra. del Rosario de Caa Cati</v>
          </cell>
          <cell r="G158">
            <v>3407</v>
          </cell>
          <cell r="H158" t="str">
            <v>Estatal</v>
          </cell>
          <cell r="I158" t="str">
            <v>Institución de Otro Nivel y/o Modalidad</v>
          </cell>
          <cell r="J158" t="str">
            <v>ALBERDI 255</v>
          </cell>
          <cell r="K158" t="str">
            <v>3781-484877</v>
          </cell>
          <cell r="L158" t="str">
            <v>1801765-00@mec.gob.ar</v>
          </cell>
          <cell r="M158" t="str">
            <v>ERCOLANI MARIA EMILCE</v>
          </cell>
          <cell r="N158" t="str">
            <v xml:space="preserve">RECTORA </v>
          </cell>
          <cell r="O158" t="str">
            <v>3781-484877</v>
          </cell>
          <cell r="P158" t="str">
            <v>emilceercolani@hotmail.com</v>
          </cell>
          <cell r="Q158" t="str">
            <v>MILESI GISELA MARILIN</v>
          </cell>
          <cell r="R158" t="str">
            <v>COORDINADORA DE CARRERA</v>
          </cell>
          <cell r="S158" t="str">
            <v>3795-0-20447</v>
          </cell>
          <cell r="T158" t="str">
            <v>gisemilesi@gmail.com</v>
          </cell>
          <cell r="U158">
            <v>2019</v>
          </cell>
          <cell r="V158" t="str">
            <v>-27.749777344088454, -57.620726534641626</v>
          </cell>
        </row>
        <row r="159">
          <cell r="B159">
            <v>180176600</v>
          </cell>
          <cell r="C159" t="str">
            <v> Instituto de Educación Superior de Formación Docente Santa Lucía</v>
          </cell>
          <cell r="D159" t="str">
            <v>Corrientes</v>
          </cell>
          <cell r="E159" t="str">
            <v>Lavalle</v>
          </cell>
          <cell r="F159" t="str">
            <v>Santa Lucia</v>
          </cell>
          <cell r="G159">
            <v>3440</v>
          </cell>
          <cell r="H159" t="str">
            <v>Estatal</v>
          </cell>
          <cell r="I159" t="str">
            <v>Institución de Otro Nivel y/o Modalidad</v>
          </cell>
          <cell r="J159" t="str">
            <v>Avenida Italia N° 212</v>
          </cell>
          <cell r="K159" t="str">
            <v>3777-413809</v>
          </cell>
          <cell r="L159" t="str">
            <v>isslucia@hotmail.com</v>
          </cell>
          <cell r="M159" t="str">
            <v>HEINE, Diego Alejandro</v>
          </cell>
          <cell r="N159" t="str">
            <v>Rector</v>
          </cell>
          <cell r="O159" t="str">
            <v>3777-413809</v>
          </cell>
          <cell r="P159" t="str">
            <v>diego_heine@hotmail.com</v>
          </cell>
          <cell r="Q159" t="str">
            <v>Acevedo Silvio Alejandro</v>
          </cell>
          <cell r="R159" t="str">
            <v>Coordinador de Carrera</v>
          </cell>
          <cell r="S159" t="str">
            <v>3777-319359</v>
          </cell>
          <cell r="T159" t="str">
            <v>cardiogoya@gmail.com</v>
          </cell>
          <cell r="U159">
            <v>2017</v>
          </cell>
          <cell r="V159" t="str">
            <v>-28.99571, -59.17026</v>
          </cell>
        </row>
        <row r="160">
          <cell r="B160">
            <v>180182900</v>
          </cell>
          <cell r="C160" t="str">
            <v>ISFD y Técnico "Itatí"</v>
          </cell>
          <cell r="D160" t="str">
            <v>Corrientes</v>
          </cell>
          <cell r="E160" t="str">
            <v>Itatí</v>
          </cell>
          <cell r="F160" t="str">
            <v>Itati</v>
          </cell>
          <cell r="G160">
            <v>3414</v>
          </cell>
          <cell r="H160" t="str">
            <v>Estatal</v>
          </cell>
          <cell r="I160" t="str">
            <v>Institución de Otro Nivel y/o Modalidad</v>
          </cell>
          <cell r="J160" t="str">
            <v>Avda San Luis del Palmar y Calle Neop</v>
          </cell>
          <cell r="K160" t="str">
            <v>3794-116670</v>
          </cell>
          <cell r="L160" t="str">
            <v>1801829_00@superior.mec.gob.ar</v>
          </cell>
          <cell r="M160" t="str">
            <v>Fariña Núñez Luis Enrique</v>
          </cell>
          <cell r="N160" t="str">
            <v xml:space="preserve">Rector </v>
          </cell>
          <cell r="O160" t="str">
            <v>3794-116670</v>
          </cell>
          <cell r="P160" t="str">
            <v>luisenriqfn@gmail.com</v>
          </cell>
          <cell r="Q160" t="str">
            <v>Zaracho Juana Itati</v>
          </cell>
          <cell r="R160" t="str">
            <v>Coordinador de carrera</v>
          </cell>
          <cell r="S160" t="str">
            <v>1125-215312</v>
          </cell>
          <cell r="T160" t="str">
            <v>juanaitatizaracho31@gmail.com</v>
          </cell>
          <cell r="U160">
            <v>2019</v>
          </cell>
          <cell r="V160" t="str">
            <v>-27.273090725950535, -58.244150958937894</v>
          </cell>
        </row>
        <row r="161">
          <cell r="B161">
            <v>220089900</v>
          </cell>
          <cell r="C161" t="str">
            <v>Escuela Superior de Salud Pública N° 1453</v>
          </cell>
          <cell r="D161" t="str">
            <v>Chaco</v>
          </cell>
          <cell r="E161" t="str">
            <v>San Fernando</v>
          </cell>
          <cell r="F161" t="str">
            <v>Resistencia</v>
          </cell>
          <cell r="G161">
            <v>3500</v>
          </cell>
          <cell r="H161" t="str">
            <v>Estatal</v>
          </cell>
          <cell r="I161" t="str">
            <v>Institución de ETP</v>
          </cell>
          <cell r="J161" t="str">
            <v>LISANDRO LATORRE 264</v>
          </cell>
          <cell r="K161" t="str">
            <v>-3624-4431951</v>
          </cell>
          <cell r="L161" t="str">
            <v>escuelasuperiordesaludchaco@gmail.com</v>
          </cell>
          <cell r="M161" t="str">
            <v>Brenda Leguiza</v>
          </cell>
          <cell r="N161" t="str">
            <v>DIRECTORA</v>
          </cell>
          <cell r="O161" t="str">
            <v>362-4702042-3624-4431951</v>
          </cell>
          <cell r="P161" t="str">
            <v>brendaleguiza21@gmail.com</v>
          </cell>
          <cell r="Q161" t="str">
            <v>MAIDANA LORENA ROSALBA</v>
          </cell>
          <cell r="R161" t="str">
            <v>DIRECTORA ESTUDIO</v>
          </cell>
          <cell r="S161" t="str">
            <v>362-4561820</v>
          </cell>
          <cell r="T161" t="str">
            <v>lorenamaidana7@hotmail.com</v>
          </cell>
          <cell r="U161">
            <v>2016</v>
          </cell>
          <cell r="V161" t="str">
            <v>-27.46033, -58.98513</v>
          </cell>
        </row>
        <row r="162">
          <cell r="B162">
            <v>220089901</v>
          </cell>
          <cell r="C162" t="str">
            <v>Instituto de Educación Superior (I. E. S.) N° 1453 Escuela Superior de Salud Pública - Anexo Presidencia R. S. Peña</v>
          </cell>
          <cell r="D162" t="str">
            <v>Chaco</v>
          </cell>
          <cell r="E162" t="str">
            <v>Comandante Fernández</v>
          </cell>
          <cell r="F162" t="str">
            <v>Presidencia R. S. Peña</v>
          </cell>
          <cell r="G162">
            <v>3700</v>
          </cell>
          <cell r="H162" t="str">
            <v>Estatal</v>
          </cell>
          <cell r="I162" t="str">
            <v>Institución de ETP</v>
          </cell>
          <cell r="U162">
            <v>2022</v>
          </cell>
          <cell r="V162"/>
        </row>
        <row r="163">
          <cell r="B163">
            <v>220089902</v>
          </cell>
          <cell r="C163" t="str">
            <v>Instituto de Educación Superior (I. E. S.) N° 1453 Escuela Superior de Salud Pública - Anexo Pampa del Indio</v>
          </cell>
          <cell r="D163" t="str">
            <v>Chaco</v>
          </cell>
          <cell r="E163" t="str">
            <v>Libertador General de San Martín</v>
          </cell>
          <cell r="F163" t="str">
            <v>Pampa Del Indio</v>
          </cell>
          <cell r="G163">
            <v>3531</v>
          </cell>
          <cell r="H163" t="str">
            <v>Estatal</v>
          </cell>
          <cell r="I163" t="str">
            <v>Institución de ETP</v>
          </cell>
          <cell r="J163">
            <v>0</v>
          </cell>
          <cell r="K163" t="str">
            <v>362-4702042-4431951</v>
          </cell>
          <cell r="L163" t="str">
            <v>escuelasuperiordesaludchaco@gmail.com</v>
          </cell>
          <cell r="M163" t="str">
            <v>Brenda Leguiza</v>
          </cell>
          <cell r="N163" t="str">
            <v>DIRECTORA</v>
          </cell>
          <cell r="O163" t="str">
            <v>362-4702042-4431951</v>
          </cell>
          <cell r="P163" t="str">
            <v>brendaleguiza21@gmail.com</v>
          </cell>
          <cell r="Q163" t="str">
            <v xml:space="preserve">LIC GUSTAVO MORALES </v>
          </cell>
          <cell r="R163" t="str">
            <v xml:space="preserve">COORDINADOR EXTENSIONES AULICAS </v>
          </cell>
          <cell r="S163" t="str">
            <v>362-4638172</v>
          </cell>
          <cell r="T163" t="str">
            <v>gustavomorales1873@hotmail.com</v>
          </cell>
          <cell r="U163">
            <v>2017</v>
          </cell>
          <cell r="V163" t="str">
            <v>-26.047133868102527, -59.9416402650988</v>
          </cell>
        </row>
        <row r="164">
          <cell r="B164">
            <v>220089903</v>
          </cell>
          <cell r="C164" t="str">
            <v>Instituto de Educación Superior (I. E. S.) N° 1453 Escuela Superior de Salud Pública - Anexo Villa Ángela</v>
          </cell>
          <cell r="D164" t="str">
            <v>Chaco</v>
          </cell>
          <cell r="E164" t="str">
            <v>Mayor Jorge Luis Fontana</v>
          </cell>
          <cell r="F164" t="str">
            <v xml:space="preserve">Villa Angela </v>
          </cell>
          <cell r="G164">
            <v>3540</v>
          </cell>
          <cell r="H164" t="str">
            <v>Estatal</v>
          </cell>
          <cell r="I164" t="str">
            <v>Institución de ETP</v>
          </cell>
          <cell r="J164" t="str">
            <v>MAIPU Y BOLIVAR OBLIGADO</v>
          </cell>
          <cell r="K164" t="str">
            <v>362-4702042-4431951</v>
          </cell>
          <cell r="L164" t="str">
            <v>escuelasuperiordesaludchaco@gmail.com</v>
          </cell>
          <cell r="M164" t="str">
            <v>Brenda Leguiza</v>
          </cell>
          <cell r="N164" t="str">
            <v>DIRECTORA</v>
          </cell>
          <cell r="O164" t="str">
            <v>362-4702042-4431951</v>
          </cell>
          <cell r="P164" t="str">
            <v>brendaleguiza21@gmail.com</v>
          </cell>
          <cell r="Q164" t="str">
            <v xml:space="preserve">LIC GUSTAVO MORALES </v>
          </cell>
          <cell r="R164" t="str">
            <v xml:space="preserve">COORDINADOR EXTENSIONES AULICAS </v>
          </cell>
          <cell r="S164" t="str">
            <v>362-4638172</v>
          </cell>
          <cell r="T164" t="str">
            <v>gustavomorales1873@hotmail.com</v>
          </cell>
          <cell r="U164">
            <v>2017</v>
          </cell>
          <cell r="V164" t="str">
            <v>-27.573545430358166, -60.71199048779186</v>
          </cell>
        </row>
        <row r="165">
          <cell r="B165">
            <v>220089904</v>
          </cell>
          <cell r="C165" t="str">
            <v>Instituto de Educación Superior (I. E. S.) N° 1453 Escuela Superior de Salud Pública - Anexo Castelli</v>
          </cell>
          <cell r="D165" t="str">
            <v>Chaco</v>
          </cell>
          <cell r="E165" t="str">
            <v>General Güemes</v>
          </cell>
          <cell r="F165" t="str">
            <v>Juan Jose Castelli</v>
          </cell>
          <cell r="G165">
            <v>3705</v>
          </cell>
          <cell r="H165" t="str">
            <v>Estatal</v>
          </cell>
          <cell r="I165" t="str">
            <v>Institución de ETP</v>
          </cell>
          <cell r="J165" t="str">
            <v>AV SAN MARTIN S/N</v>
          </cell>
          <cell r="K165" t="str">
            <v>362-4431951</v>
          </cell>
          <cell r="L165" t="str">
            <v>escuelasuperiordesaludchaco@gmail.com</v>
          </cell>
          <cell r="M165" t="str">
            <v>Brenda Leguiza</v>
          </cell>
          <cell r="N165" t="str">
            <v xml:space="preserve">DIRECTORA </v>
          </cell>
          <cell r="O165" t="str">
            <v>362-4431951</v>
          </cell>
          <cell r="P165" t="str">
            <v>brendaleguiza21@gmail.com</v>
          </cell>
          <cell r="Q165" t="str">
            <v xml:space="preserve">LIC GUSTAVO MORALES </v>
          </cell>
          <cell r="R165" t="str">
            <v xml:space="preserve">COORDINADOR EXTENSIONES AULICAS </v>
          </cell>
          <cell r="S165" t="str">
            <v>362-4638172</v>
          </cell>
          <cell r="T165" t="str">
            <v>gustavomorales1873@hotmail.com</v>
          </cell>
          <cell r="U165">
            <v>2017</v>
          </cell>
          <cell r="V165" t="str">
            <v>-25.94371503992257, -60.622053285018524</v>
          </cell>
        </row>
        <row r="166">
          <cell r="B166">
            <v>220089905</v>
          </cell>
          <cell r="C166" t="str">
            <v>Instituto de Educación Superior (I. E. S.) N° 1453 Escuela Superior de Salud Pública - Anexo Puerto Tirol</v>
          </cell>
          <cell r="D166" t="str">
            <v>Chaco</v>
          </cell>
          <cell r="E166" t="str">
            <v>Libertad</v>
          </cell>
          <cell r="F166" t="str">
            <v>Puerto Tirol</v>
          </cell>
          <cell r="G166">
            <v>3505</v>
          </cell>
          <cell r="H166" t="str">
            <v>Estatal</v>
          </cell>
          <cell r="I166" t="str">
            <v>Institución de ETP</v>
          </cell>
          <cell r="J166" t="str">
            <v>JUAN JOSE PASO</v>
          </cell>
          <cell r="K166" t="str">
            <v>362-4431951</v>
          </cell>
          <cell r="L166" t="str">
            <v>escuelasuperiordesaludchaco@gmail.com</v>
          </cell>
          <cell r="M166" t="str">
            <v>Brenda Leguiza</v>
          </cell>
          <cell r="N166" t="str">
            <v>DIRECTORA</v>
          </cell>
          <cell r="O166" t="str">
            <v>362-4431951</v>
          </cell>
          <cell r="P166" t="str">
            <v>brendaleguiza21@gmail.com</v>
          </cell>
          <cell r="Q166" t="str">
            <v xml:space="preserve">LIC GUSTAVO MORALES </v>
          </cell>
          <cell r="R166" t="str">
            <v xml:space="preserve">COORDINADOR EXTENSIONES AULICAS </v>
          </cell>
          <cell r="S166" t="str">
            <v>362-4638172</v>
          </cell>
          <cell r="T166" t="str">
            <v>gustavomorales1873@hotmail.com</v>
          </cell>
          <cell r="U166">
            <v>2017</v>
          </cell>
          <cell r="V166" t="str">
            <v>-27.382142287923543, -59.08810441721445</v>
          </cell>
        </row>
        <row r="167">
          <cell r="B167">
            <v>220089907</v>
          </cell>
          <cell r="C167" t="str">
            <v>Instituto de Educación Superior (I. E. S.) N° 1453 Escuela Superior de Salud Pública - Anexo Charata</v>
          </cell>
          <cell r="D167" t="str">
            <v>Chaco</v>
          </cell>
          <cell r="E167" t="str">
            <v>Chacabuco</v>
          </cell>
          <cell r="F167" t="str">
            <v>Charata</v>
          </cell>
          <cell r="G167">
            <v>3730</v>
          </cell>
          <cell r="H167" t="str">
            <v>Estatal</v>
          </cell>
          <cell r="I167" t="str">
            <v>Institución de ETP</v>
          </cell>
          <cell r="U167">
            <v>2023</v>
          </cell>
          <cell r="V167"/>
        </row>
        <row r="168">
          <cell r="B168">
            <v>220089908</v>
          </cell>
          <cell r="C168" t="str">
            <v>Instituto de Educación Superior (I. E. S.) N° 1453 Escuela Superior de Salud Pública - Anexo Nueva Pompeya</v>
          </cell>
          <cell r="D168" t="str">
            <v>Chaco</v>
          </cell>
          <cell r="E168" t="str">
            <v>General Güemes</v>
          </cell>
          <cell r="F168" t="str">
            <v>Nueva Pompeya</v>
          </cell>
          <cell r="G168">
            <v>3705</v>
          </cell>
          <cell r="H168" t="str">
            <v>Estatal</v>
          </cell>
          <cell r="I168" t="str">
            <v>Institución de ETP</v>
          </cell>
          <cell r="U168">
            <v>2023</v>
          </cell>
          <cell r="V168"/>
        </row>
        <row r="169">
          <cell r="B169">
            <v>220089909</v>
          </cell>
          <cell r="C169" t="str">
            <v>Instituto de Educación Superior (I. E. S.) N° 1453 Escuela Superior de Salud Pública - Anexo Puerto Bermejo</v>
          </cell>
          <cell r="D169" t="str">
            <v>Chaco</v>
          </cell>
          <cell r="E169" t="str">
            <v>Bermejo</v>
          </cell>
          <cell r="F169" t="str">
            <v>Puerto Bermejo</v>
          </cell>
          <cell r="G169">
            <v>3524</v>
          </cell>
          <cell r="H169" t="str">
            <v>Estatal</v>
          </cell>
          <cell r="I169" t="str">
            <v>Institución de ETP</v>
          </cell>
          <cell r="U169">
            <v>2023</v>
          </cell>
          <cell r="V169"/>
        </row>
        <row r="170">
          <cell r="B170">
            <v>220089910</v>
          </cell>
          <cell r="C170" t="str">
            <v>Instituto de Educación Superior (I. E. S.) N° 1453 Escuela Superior de Salud Pública - Anexo Puerto Bermejo</v>
          </cell>
          <cell r="D170" t="str">
            <v>Chaco</v>
          </cell>
          <cell r="E170" t="str">
            <v>Sargento Cabral</v>
          </cell>
          <cell r="F170" t="str">
            <v>Las Garcitas</v>
          </cell>
          <cell r="G170">
            <v>3515</v>
          </cell>
          <cell r="H170" t="str">
            <v>Estatal</v>
          </cell>
          <cell r="I170" t="str">
            <v>Institución de ETP</v>
          </cell>
          <cell r="U170">
            <v>2023</v>
          </cell>
          <cell r="V170"/>
        </row>
        <row r="171">
          <cell r="B171">
            <v>220089911</v>
          </cell>
          <cell r="C171" t="str">
            <v>Instituto de Educación Superior (I. E. S.) N° 1453 Escuela Superior de Salud Pública - Anexo Puerto Bermejo</v>
          </cell>
          <cell r="D171" t="str">
            <v>Chaco</v>
          </cell>
          <cell r="E171" t="str">
            <v>Libertador General San Martín</v>
          </cell>
          <cell r="F171" t="str">
            <v>General Jose de San Martin</v>
          </cell>
          <cell r="G171">
            <v>3509</v>
          </cell>
          <cell r="H171" t="str">
            <v>Estatal</v>
          </cell>
          <cell r="I171" t="str">
            <v>Institución de ETP</v>
          </cell>
          <cell r="U171">
            <v>2023</v>
          </cell>
          <cell r="V171"/>
        </row>
        <row r="172">
          <cell r="B172">
            <v>260061100</v>
          </cell>
          <cell r="C172" t="str">
            <v>Inst. de Docencia, Investigación y Capacitación Laboral de la Sanidad Nº 1818</v>
          </cell>
          <cell r="D172" t="str">
            <v>Chubut</v>
          </cell>
          <cell r="E172" t="str">
            <v>Trelew</v>
          </cell>
          <cell r="F172" t="str">
            <v>Trelew</v>
          </cell>
          <cell r="G172">
            <v>9100</v>
          </cell>
          <cell r="H172" t="str">
            <v>Privado</v>
          </cell>
          <cell r="I172" t="str">
            <v>Institución de ETP</v>
          </cell>
          <cell r="J172" t="str">
            <v xml:space="preserve">Marconi 171 </v>
          </cell>
          <cell r="K172" t="str">
            <v>280-4432468</v>
          </cell>
          <cell r="L172" t="str">
            <v>atsachubut@gov .ar</v>
          </cell>
          <cell r="M172" t="str">
            <v>Sara Gianardo</v>
          </cell>
          <cell r="N172" t="str">
            <v>Secretaria Academica</v>
          </cell>
          <cell r="O172" t="str">
            <v>280-4432468</v>
          </cell>
          <cell r="P172" t="str">
            <v>saragianardo@hotmail.com</v>
          </cell>
          <cell r="Q172" t="str">
            <v>Lic Martha Bravo</v>
          </cell>
          <cell r="R172" t="str">
            <v xml:space="preserve">Director </v>
          </cell>
          <cell r="S172" t="str">
            <v>280-4352275</v>
          </cell>
          <cell r="T172" t="str">
            <v>angelcholi@hotmail.com</v>
          </cell>
          <cell r="U172">
            <v>2021</v>
          </cell>
          <cell r="V172" t="str">
            <v>-43.25206028584147, -65.3003549927664</v>
          </cell>
        </row>
        <row r="173">
          <cell r="B173">
            <v>260061101</v>
          </cell>
          <cell r="C173" t="str">
            <v>Instituto de Docencia, Investigación y Capacitación Laboral de la Sanidad</v>
          </cell>
          <cell r="D173" t="str">
            <v>Chubut</v>
          </cell>
          <cell r="E173" t="str">
            <v>Escalante</v>
          </cell>
          <cell r="F173" t="str">
            <v>Comodoro Rivadavia</v>
          </cell>
          <cell r="H173" t="str">
            <v>Privado</v>
          </cell>
          <cell r="U173">
            <v>2023</v>
          </cell>
          <cell r="V173"/>
        </row>
        <row r="174">
          <cell r="B174">
            <v>300029300</v>
          </cell>
          <cell r="C174" t="str">
            <v>Instituto de Educación Superior N° D- 74 Cruz Roja Argentina -Filial Paraná</v>
          </cell>
          <cell r="D174" t="str">
            <v>Entre Ríos</v>
          </cell>
          <cell r="E174" t="str">
            <v>Paraná</v>
          </cell>
          <cell r="F174" t="str">
            <v>Paraná</v>
          </cell>
          <cell r="G174">
            <v>3100</v>
          </cell>
          <cell r="H174" t="str">
            <v>Privado</v>
          </cell>
          <cell r="I174" t="str">
            <v>Institución de ETP</v>
          </cell>
          <cell r="J174" t="str">
            <v>ANDREZ PAZOS 301</v>
          </cell>
          <cell r="K174" t="str">
            <v>343-4210100</v>
          </cell>
          <cell r="L174" t="str">
            <v>EDUCA.PARANA@CRUZROJA.ORG.AR</v>
          </cell>
          <cell r="M174" t="str">
            <v>SR. ULRICH ALBERTO</v>
          </cell>
          <cell r="N174" t="str">
            <v>APODERADO LEGAL</v>
          </cell>
          <cell r="O174" t="str">
            <v>343-4210100</v>
          </cell>
          <cell r="P174" t="str">
            <v>AFULRICH@CRUZROJA.ORG.AR</v>
          </cell>
          <cell r="Q174" t="str">
            <v>PROF. NANI MARTIN JOSE MARIA</v>
          </cell>
          <cell r="R174" t="str">
            <v>RECTOR</v>
          </cell>
          <cell r="S174" t="str">
            <v>343-1544257387</v>
          </cell>
          <cell r="T174" t="str">
            <v>MNANI@CRUZROJA.ORG.AR</v>
          </cell>
          <cell r="U174">
            <v>2016</v>
          </cell>
          <cell r="V174" t="str">
            <v>-31.743806320755507, -60.518397647656826</v>
          </cell>
        </row>
        <row r="175">
          <cell r="B175">
            <v>300078400</v>
          </cell>
          <cell r="C175" t="str">
            <v>Instituto de Educación Superior P. O Bottegal</v>
          </cell>
          <cell r="D175" t="str">
            <v>Entre Ríos</v>
          </cell>
          <cell r="E175" t="str">
            <v>Paraná</v>
          </cell>
          <cell r="F175" t="str">
            <v>Hasenkamp</v>
          </cell>
          <cell r="G175">
            <v>3134</v>
          </cell>
          <cell r="H175" t="str">
            <v>Estatal</v>
          </cell>
          <cell r="I175" t="str">
            <v>Institución de ETP</v>
          </cell>
          <cell r="J175" t="str">
            <v>Libertad 214</v>
          </cell>
          <cell r="K175" t="str">
            <v>343-4930334</v>
          </cell>
          <cell r="L175" t="str">
            <v>ifdhasenkamp@yahoo.com</v>
          </cell>
          <cell r="M175" t="str">
            <v>Fabián Gomar</v>
          </cell>
          <cell r="N175" t="str">
            <v>Rector</v>
          </cell>
          <cell r="O175" t="str">
            <v>3434-4930334</v>
          </cell>
          <cell r="P175" t="str">
            <v>fabiangomar@yahoo.com.ar</v>
          </cell>
          <cell r="Q175" t="str">
            <v>Adriana Faes</v>
          </cell>
          <cell r="R175" t="str">
            <v>Coordinadora de carrera</v>
          </cell>
          <cell r="S175" t="str">
            <v>3435-108114</v>
          </cell>
          <cell r="T175" t="str">
            <v>adrianafaes@hotmail.com</v>
          </cell>
          <cell r="U175">
            <v>2016</v>
          </cell>
          <cell r="V175" t="str">
            <v>-31.512, -59.8362</v>
          </cell>
        </row>
        <row r="176">
          <cell r="B176">
            <v>300122100</v>
          </cell>
          <cell r="C176" t="str">
            <v>Instituto de Educación Superior de Formación Docente Localidad Villa Paranacito</v>
          </cell>
          <cell r="D176" t="str">
            <v>Entre Ríos</v>
          </cell>
          <cell r="E176" t="str">
            <v>Islas del Ibicuy</v>
          </cell>
          <cell r="F176" t="str">
            <v>Villa Paranacito</v>
          </cell>
          <cell r="G176">
            <v>2823</v>
          </cell>
          <cell r="H176" t="str">
            <v>Estatal</v>
          </cell>
          <cell r="I176" t="str">
            <v>Institución de Otro Nivel y/o Modalidad</v>
          </cell>
          <cell r="J176" t="str">
            <v>Av. Entre Ríos 222</v>
          </cell>
          <cell r="K176" t="str">
            <v>3446-495035</v>
          </cell>
          <cell r="L176" t="str">
            <v>isfdcvilla@gmail.com</v>
          </cell>
          <cell r="M176" t="str">
            <v>Graciela Velásquez</v>
          </cell>
          <cell r="N176" t="str">
            <v>Rectora</v>
          </cell>
          <cell r="O176" t="str">
            <v>3446-495035</v>
          </cell>
          <cell r="P176" t="str">
            <v>gracielve@gmail.com</v>
          </cell>
          <cell r="Q176" t="str">
            <v>María Luz Larrosa</v>
          </cell>
          <cell r="R176" t="str">
            <v>Coordinadora</v>
          </cell>
          <cell r="S176" t="str">
            <v>3446-558904</v>
          </cell>
          <cell r="T176" t="str">
            <v>larosamarialuz@gmail.com</v>
          </cell>
          <cell r="U176">
            <v>2017</v>
          </cell>
          <cell r="V176" t="str">
            <v>-33.71463, -58.65833</v>
          </cell>
        </row>
        <row r="177">
          <cell r="B177">
            <v>300129700</v>
          </cell>
          <cell r="C177" t="str">
            <v>Instituto de Educación Superior de Formación Docente Ramón de la Cruz Moreno</v>
          </cell>
          <cell r="D177" t="str">
            <v>Entre Ríos</v>
          </cell>
          <cell r="E177" t="str">
            <v xml:space="preserve">Feliciano </v>
          </cell>
          <cell r="F177" t="str">
            <v>San José de Feliciano</v>
          </cell>
          <cell r="G177">
            <v>3187</v>
          </cell>
          <cell r="H177" t="str">
            <v>Estatal</v>
          </cell>
          <cell r="I177" t="str">
            <v>Institución de Otro Nivel y/o Modalidad</v>
          </cell>
          <cell r="J177" t="str">
            <v>Rivadavia 165</v>
          </cell>
          <cell r="K177" t="str">
            <v>-</v>
          </cell>
          <cell r="L177" t="str">
            <v>normal_feliciano@hotmail.com</v>
          </cell>
          <cell r="M177" t="str">
            <v>María Lorena García</v>
          </cell>
          <cell r="N177" t="str">
            <v>Rectora</v>
          </cell>
          <cell r="O177" t="str">
            <v>3458-</v>
          </cell>
          <cell r="P177" t="str">
            <v>mlgarcia1708@hotamil.com</v>
          </cell>
          <cell r="Q177" t="str">
            <v>Mauro Ricardo Avalos</v>
          </cell>
          <cell r="R177" t="str">
            <v>Coordinador de Carrera</v>
          </cell>
          <cell r="S177" t="str">
            <v>3458-456405</v>
          </cell>
          <cell r="T177" t="str">
            <v>mauro_avalos@outlook.com</v>
          </cell>
          <cell r="U177">
            <v>2022</v>
          </cell>
          <cell r="V177" t="str">
            <v>-30.38575680056792, -58.751141824937456</v>
          </cell>
        </row>
        <row r="178">
          <cell r="B178">
            <v>300148300</v>
          </cell>
          <cell r="C178" t="str">
            <v>Escuela Secundaria y Superior N° 4 Dr. Julio Ossola</v>
          </cell>
          <cell r="D178" t="str">
            <v>Entre Ríos</v>
          </cell>
          <cell r="E178" t="str">
            <v>Tala</v>
          </cell>
          <cell r="F178" t="str">
            <v>Rosario del Tala</v>
          </cell>
          <cell r="G178">
            <v>3174</v>
          </cell>
          <cell r="H178" t="str">
            <v>Estatal</v>
          </cell>
          <cell r="I178" t="str">
            <v>Institución de Otro Nivel y/o Modalidad</v>
          </cell>
          <cell r="J178" t="str">
            <v>Urquiza 144</v>
          </cell>
          <cell r="K178" t="str">
            <v>3445421836-</v>
          </cell>
          <cell r="L178" t="str">
            <v>ess.ossola.tl@entrerios.edu.ar</v>
          </cell>
          <cell r="M178" t="str">
            <v>Carina Mabel Trapp</v>
          </cell>
          <cell r="N178" t="str">
            <v>Rectora</v>
          </cell>
          <cell r="O178" t="str">
            <v>3445-</v>
          </cell>
          <cell r="P178" t="str">
            <v>carinamtrap@gmail.com</v>
          </cell>
          <cell r="Q178" t="str">
            <v>Diego Ivan Zapata</v>
          </cell>
          <cell r="R178" t="str">
            <v>Coordinador</v>
          </cell>
          <cell r="S178" t="str">
            <v>3445-419192</v>
          </cell>
          <cell r="T178" t="str">
            <v>diz1983-26@hotmail.com</v>
          </cell>
          <cell r="U178">
            <v>2016</v>
          </cell>
          <cell r="V178" t="str">
            <v>-32.30323, -59.14432</v>
          </cell>
        </row>
        <row r="179">
          <cell r="B179">
            <v>300152300</v>
          </cell>
          <cell r="C179" t="str">
            <v>Instituto de Educación Superior de Formación Docente María Inés Elizalde</v>
          </cell>
          <cell r="D179" t="str">
            <v>Entre Ríos</v>
          </cell>
          <cell r="E179" t="str">
            <v>Gualeguaychu</v>
          </cell>
          <cell r="F179" t="str">
            <v>Gualeguaychu</v>
          </cell>
          <cell r="G179">
            <v>2820</v>
          </cell>
          <cell r="H179" t="str">
            <v>Estatal</v>
          </cell>
          <cell r="I179" t="str">
            <v>Institución de Otro Nivel y/o Modalidad</v>
          </cell>
          <cell r="J179" t="str">
            <v>GERVASIO MENDEZ      676</v>
          </cell>
          <cell r="K179" t="str">
            <v>3446-431324</v>
          </cell>
          <cell r="L179" t="str">
            <v>isfdelizalde@yahoo.com.ar</v>
          </cell>
          <cell r="M179" t="str">
            <v>Cerrato, Maria Elba</v>
          </cell>
          <cell r="N179" t="str">
            <v>Rectora</v>
          </cell>
          <cell r="O179" t="str">
            <v>03446--431324</v>
          </cell>
          <cell r="P179" t="str">
            <v>mariaelbacerrato@yahoo.com.ar</v>
          </cell>
          <cell r="Q179" t="str">
            <v>HEIDENREICH, KEILA YAMILA</v>
          </cell>
          <cell r="R179" t="str">
            <v>COORDINADORA DE CARRERA</v>
          </cell>
          <cell r="S179" t="str">
            <v>3446-582931</v>
          </cell>
          <cell r="T179" t="str">
            <v>keila_heidenreich@yahoo.com.ar</v>
          </cell>
          <cell r="U179">
            <v>2016</v>
          </cell>
          <cell r="V179" t="str">
            <v>-33.00777, -58.51116</v>
          </cell>
        </row>
        <row r="180">
          <cell r="B180">
            <v>300155100</v>
          </cell>
          <cell r="C180" t="str">
            <v>Instituto de Educación Superior Diamante</v>
          </cell>
          <cell r="D180" t="str">
            <v>Entre Ríos</v>
          </cell>
          <cell r="E180" t="str">
            <v>Diamante</v>
          </cell>
          <cell r="F180" t="str">
            <v>Diamante</v>
          </cell>
          <cell r="G180">
            <v>3105</v>
          </cell>
          <cell r="H180" t="str">
            <v>Estatal</v>
          </cell>
          <cell r="I180" t="str">
            <v>Institución de ETP</v>
          </cell>
          <cell r="J180" t="str">
            <v>Sarmiento 325</v>
          </cell>
          <cell r="K180" t="str">
            <v>343-5361381</v>
          </cell>
          <cell r="L180" t="str">
            <v>insti_sup_dte@hotmail.com</v>
          </cell>
          <cell r="M180" t="str">
            <v>Carolina Elizabeth Gorostegui</v>
          </cell>
          <cell r="N180" t="str">
            <v>Rectora</v>
          </cell>
          <cell r="O180" t="str">
            <v>343-5361381</v>
          </cell>
          <cell r="P180" t="str">
            <v>carogorostegui@hotmail.com.ar</v>
          </cell>
          <cell r="Q180" t="str">
            <v>Ramona Noemì Pèrez</v>
          </cell>
          <cell r="R180" t="str">
            <v>Coordinadora de Carrera</v>
          </cell>
          <cell r="S180" t="str">
            <v>343-4690704</v>
          </cell>
          <cell r="T180" t="str">
            <v>noemiperezrocket@hotmail.com</v>
          </cell>
          <cell r="U180">
            <v>2017</v>
          </cell>
          <cell r="V180" t="str">
            <v>-26.687222531886658, -64.94522081372355</v>
          </cell>
        </row>
        <row r="181">
          <cell r="B181">
            <v>300164300</v>
          </cell>
          <cell r="C181" t="str">
            <v>Instituto de Educación Superior de Formación Docente  Dr. Luis Alberto Esteban Arienti</v>
          </cell>
          <cell r="D181" t="str">
            <v>Entre Ríos</v>
          </cell>
          <cell r="E181" t="str">
            <v>Federal</v>
          </cell>
          <cell r="F181" t="str">
            <v>Federal</v>
          </cell>
          <cell r="G181">
            <v>3180</v>
          </cell>
          <cell r="H181" t="str">
            <v>Estatal</v>
          </cell>
          <cell r="I181" t="str">
            <v>Institución de Otro Nivel y/o Modalidad</v>
          </cell>
          <cell r="J181" t="str">
            <v>Antelo 625</v>
          </cell>
          <cell r="K181" t="str">
            <v>3454-421045</v>
          </cell>
          <cell r="L181" t="str">
            <v>profesoradoarienti@yahoo.com.ar</v>
          </cell>
          <cell r="M181" t="str">
            <v>Ava, Lorena Analia</v>
          </cell>
          <cell r="N181" t="str">
            <v>Rectora</v>
          </cell>
          <cell r="O181" t="str">
            <v>3454-421045</v>
          </cell>
          <cell r="P181" t="str">
            <v>ava_553@hotmail.com</v>
          </cell>
          <cell r="Q181" t="str">
            <v>Morales, Carlos</v>
          </cell>
          <cell r="R181" t="str">
            <v>Coordinador</v>
          </cell>
          <cell r="S181" t="str">
            <v>3454-411216</v>
          </cell>
          <cell r="T181" t="str">
            <v>carlosmoral_25@hotmail.com</v>
          </cell>
          <cell r="U181">
            <v>2022</v>
          </cell>
          <cell r="V181" t="str">
            <v>-30.956749367989325, -58.78100344453061</v>
          </cell>
        </row>
        <row r="182">
          <cell r="B182">
            <v>300173900</v>
          </cell>
          <cell r="C182" t="str">
            <v>Instituto de Educación Superior de Formación Docente N° 715 Profesor Rogelio Leites</v>
          </cell>
          <cell r="D182" t="str">
            <v>Entre Ríos</v>
          </cell>
          <cell r="E182" t="str">
            <v xml:space="preserve">La Paz </v>
          </cell>
          <cell r="F182" t="str">
            <v xml:space="preserve">La Paz </v>
          </cell>
          <cell r="G182">
            <v>3190</v>
          </cell>
          <cell r="H182" t="str">
            <v>Estatal</v>
          </cell>
          <cell r="I182" t="str">
            <v>Institución de Otro Nivel y/o Modalidad</v>
          </cell>
          <cell r="J182" t="str">
            <v xml:space="preserve">Echague y Berutti </v>
          </cell>
          <cell r="K182" t="str">
            <v>3437-423908</v>
          </cell>
          <cell r="L182" t="str">
            <v>ifdc715lapaz@yahoo.com.ar</v>
          </cell>
          <cell r="M182" t="str">
            <v>Flavia Flores</v>
          </cell>
          <cell r="N182" t="str">
            <v xml:space="preserve">Rectora </v>
          </cell>
          <cell r="O182" t="str">
            <v>3437-423908</v>
          </cell>
          <cell r="P182" t="str">
            <v>f.flavia0@gmail.com</v>
          </cell>
          <cell r="Q182" t="str">
            <v>Alejandro Barolin</v>
          </cell>
          <cell r="R182" t="str">
            <v xml:space="preserve">Coordinador de la carrera TSE </v>
          </cell>
          <cell r="S182" t="str">
            <v>3437-608606</v>
          </cell>
          <cell r="T182" t="str">
            <v>alejandrobarolin@gmail.com</v>
          </cell>
          <cell r="U182">
            <v>2017</v>
          </cell>
          <cell r="V182" t="str">
            <v>-30.743816765458458, -59.63204145144409</v>
          </cell>
        </row>
        <row r="183">
          <cell r="B183">
            <v>300178300</v>
          </cell>
          <cell r="C183" t="str">
            <v>Escuela Normal Superior N° 4 "Dr. Antonio Sagarna"</v>
          </cell>
          <cell r="D183" t="str">
            <v>Entre Ríos</v>
          </cell>
          <cell r="E183" t="str">
            <v>Nogoyá</v>
          </cell>
          <cell r="F183" t="str">
            <v xml:space="preserve">Nogoyá </v>
          </cell>
          <cell r="G183">
            <v>3150</v>
          </cell>
          <cell r="H183" t="str">
            <v>Estatal</v>
          </cell>
          <cell r="I183" t="str">
            <v>Institución de ETP</v>
          </cell>
          <cell r="J183" t="str">
            <v>Bv. Sarmiento N°1056</v>
          </cell>
          <cell r="K183" t="str">
            <v>3435-421212</v>
          </cell>
          <cell r="L183" t="str">
            <v xml:space="preserve">escuelasagarna@yahoo.com.ar </v>
          </cell>
          <cell r="M183" t="str">
            <v>Haydeé  Edith Riffel</v>
          </cell>
          <cell r="N183" t="str">
            <v>Rectora</v>
          </cell>
          <cell r="O183" t="str">
            <v>3435-421212</v>
          </cell>
          <cell r="P183" t="str">
            <v xml:space="preserve">haydeeedith30@yahoo.com.ar </v>
          </cell>
          <cell r="Q183" t="str">
            <v>Noelia Diazc</v>
          </cell>
          <cell r="R183" t="str">
            <v>Coordinadora de Carrera</v>
          </cell>
          <cell r="S183" t="str">
            <v>3435-452181</v>
          </cell>
          <cell r="T183" t="str">
            <v>noe.d0408@gmail.com</v>
          </cell>
          <cell r="U183">
            <v>2020</v>
          </cell>
          <cell r="V183" t="str">
            <v>-32.388292385172164, -59.79311324255546</v>
          </cell>
        </row>
        <row r="184">
          <cell r="B184">
            <v>300185800</v>
          </cell>
          <cell r="C184" t="str">
            <v>Escuela Normal Superior Victorino Viale</v>
          </cell>
          <cell r="D184" t="str">
            <v>Entre Ríos</v>
          </cell>
          <cell r="E184" t="str">
            <v>Paraná</v>
          </cell>
          <cell r="F184" t="str">
            <v>Viale</v>
          </cell>
          <cell r="G184">
            <v>3109</v>
          </cell>
          <cell r="H184" t="str">
            <v>Estatal</v>
          </cell>
          <cell r="I184" t="str">
            <v>Institución de Otro Nivel y/o Modalidad</v>
          </cell>
          <cell r="J184" t="str">
            <v>CORRIENTES Nº272</v>
          </cell>
          <cell r="K184" t="str">
            <v>O343-4920137</v>
          </cell>
          <cell r="L184" t="str">
            <v>rectoriaensvictorinoviale@gmail.com</v>
          </cell>
          <cell r="M184" t="str">
            <v>ARIEL HEREDIA</v>
          </cell>
          <cell r="N184" t="str">
            <v>RECTOR</v>
          </cell>
          <cell r="O184" t="str">
            <v>343-4920137</v>
          </cell>
          <cell r="P184" t="str">
            <v>rectoriaensvictorinoviale@gmail.com</v>
          </cell>
          <cell r="Q184" t="str">
            <v>LIC. PROFESORA ESP. ALEXIA IVANA CARDOSO</v>
          </cell>
          <cell r="R184" t="str">
            <v>COORDINADOR GENERAL</v>
          </cell>
          <cell r="S184" t="str">
            <v>343-5180979</v>
          </cell>
          <cell r="T184" t="str">
            <v>alexiacardoso115@gmail.com</v>
          </cell>
          <cell r="U184">
            <v>2017</v>
          </cell>
          <cell r="V184" t="str">
            <v>-31.867884641562316, -60.00982537784319</v>
          </cell>
        </row>
        <row r="185">
          <cell r="B185">
            <v>300201100</v>
          </cell>
          <cell r="C185" t="str">
            <v>Instituto de Educación Superior N° 80 Instituto Superior Cruz Roja Argentina Filial Concordia</v>
          </cell>
          <cell r="D185" t="str">
            <v>Entre Ríos</v>
          </cell>
          <cell r="E185" t="str">
            <v>Concordia</v>
          </cell>
          <cell r="F185" t="str">
            <v>Concordia</v>
          </cell>
          <cell r="G185">
            <v>3200</v>
          </cell>
          <cell r="H185" t="str">
            <v>Privado</v>
          </cell>
          <cell r="I185" t="str">
            <v>Institución de ETP</v>
          </cell>
          <cell r="J185" t="str">
            <v>Entre Rios N° 238</v>
          </cell>
          <cell r="K185" t="str">
            <v>-3454213349</v>
          </cell>
          <cell r="L185" t="str">
            <v>secretariad80@gmail.com/educa.comcordia@cruzroja.org.ar</v>
          </cell>
          <cell r="M185" t="str">
            <v>RAQUEL MARIA RODRIGUEZ</v>
          </cell>
          <cell r="N185" t="str">
            <v>RECTORA</v>
          </cell>
          <cell r="O185" t="str">
            <v>345-3454213349</v>
          </cell>
          <cell r="P185" t="str">
            <v>raquelmariarodri@gmail.com/raquelmariarodri.-69@hotmail.com</v>
          </cell>
          <cell r="Q185">
            <v>0</v>
          </cell>
          <cell r="R185">
            <v>0</v>
          </cell>
          <cell r="S185" t="str">
            <v>-</v>
          </cell>
          <cell r="T185">
            <v>0</v>
          </cell>
          <cell r="U185">
            <v>2016</v>
          </cell>
          <cell r="V185" t="str">
            <v>-31.38150159668095, -58.018786620286434</v>
          </cell>
        </row>
        <row r="186">
          <cell r="B186">
            <v>300251300</v>
          </cell>
          <cell r="C186" t="str">
            <v>Instituto de Educación Superior N° 79 Cruz Roja - Gualeguay</v>
          </cell>
          <cell r="D186" t="str">
            <v>Entre Ríos</v>
          </cell>
          <cell r="E186" t="str">
            <v>Gualeguay</v>
          </cell>
          <cell r="F186" t="str">
            <v>Gualeguay</v>
          </cell>
          <cell r="G186">
            <v>2840</v>
          </cell>
          <cell r="H186" t="str">
            <v>Privado</v>
          </cell>
          <cell r="I186" t="str">
            <v>Institución de ETP</v>
          </cell>
          <cell r="J186" t="str">
            <v>REMEDIOS ESCALADA DE SAN MARTÍN 5</v>
          </cell>
          <cell r="K186" t="str">
            <v>3444-424313</v>
          </cell>
          <cell r="L186" t="str">
            <v>cruzrojagualeguay@yahoo.com.ar</v>
          </cell>
          <cell r="M186" t="str">
            <v>Lic. Florencia Costa</v>
          </cell>
          <cell r="N186" t="str">
            <v>RECTORA</v>
          </cell>
          <cell r="O186" t="str">
            <v>3444-424313</v>
          </cell>
          <cell r="P186" t="str">
            <v>florcostaabrahan@gmail.com</v>
          </cell>
          <cell r="Q186" t="str">
            <v>Lic. Maldonado Gabriela</v>
          </cell>
          <cell r="R186" t="str">
            <v>docente instructora</v>
          </cell>
          <cell r="S186" t="str">
            <v>3444-442877</v>
          </cell>
          <cell r="T186" t="str">
            <v>maldonadogabriela1975@gmail.com</v>
          </cell>
          <cell r="U186">
            <v>2016</v>
          </cell>
          <cell r="V186" t="str">
            <v>-33.15032, -59.31046</v>
          </cell>
        </row>
        <row r="187">
          <cell r="B187">
            <v>300306900</v>
          </cell>
          <cell r="C187" t="str">
            <v>Instituto de Educación Superior Gaspar Lucilo Benavento</v>
          </cell>
          <cell r="D187" t="str">
            <v>Entre Ríos</v>
          </cell>
          <cell r="E187" t="str">
            <v>Victoria</v>
          </cell>
          <cell r="F187" t="str">
            <v>Victoria</v>
          </cell>
          <cell r="G187">
            <v>3153</v>
          </cell>
          <cell r="H187" t="str">
            <v>Estatal</v>
          </cell>
          <cell r="I187" t="str">
            <v>Institución de ETP</v>
          </cell>
          <cell r="J187" t="str">
            <v>AVENIDA CONGRESO 726</v>
          </cell>
          <cell r="K187" t="str">
            <v>3436-422878</v>
          </cell>
          <cell r="L187" t="str">
            <v>institutogasparbenavento@hotmail.com</v>
          </cell>
          <cell r="M187" t="str">
            <v>CEFERINO TEJEIRA</v>
          </cell>
          <cell r="N187" t="str">
            <v>RECTOR</v>
          </cell>
          <cell r="O187" t="str">
            <v>3436-422878</v>
          </cell>
          <cell r="P187" t="str">
            <v>ceferinotejeira@gmail.com</v>
          </cell>
          <cell r="Q187" t="str">
            <v>NORMA RAMIREZ</v>
          </cell>
          <cell r="R187" t="str">
            <v>COORDINADORA</v>
          </cell>
          <cell r="S187" t="str">
            <v>3436-404881</v>
          </cell>
          <cell r="T187" t="str">
            <v>normaramy@gmail.com</v>
          </cell>
          <cell r="U187">
            <v>2018</v>
          </cell>
          <cell r="V187" t="str">
            <v>-32.62281018087569, -60.15365550438877</v>
          </cell>
        </row>
        <row r="188">
          <cell r="B188">
            <v>380081400</v>
          </cell>
          <cell r="C188" t="str">
            <v>Instituto en Formación, Capacitación y Superación Lic. Myriam Beatriz Gloss</v>
          </cell>
          <cell r="D188" t="str">
            <v>Jujuy</v>
          </cell>
          <cell r="E188" t="str">
            <v>Dr. Manuel Belgrano</v>
          </cell>
          <cell r="F188" t="str">
            <v>San Salvador de Jujuy</v>
          </cell>
          <cell r="G188">
            <v>4600</v>
          </cell>
          <cell r="H188" t="str">
            <v>Privado</v>
          </cell>
          <cell r="I188" t="str">
            <v>Institución de ETP</v>
          </cell>
          <cell r="J188" t="str">
            <v xml:space="preserve">Pasaje Tres Sargentos esquina Pasaje Suecia </v>
          </cell>
          <cell r="K188" t="str">
            <v>388-4222936</v>
          </cell>
          <cell r="L188" t="str">
            <v xml:space="preserve">isupmyriamgloss@gmail.com </v>
          </cell>
          <cell r="M188" t="str">
            <v xml:space="preserve">YOLANDA ESTER CANCHI </v>
          </cell>
          <cell r="N188" t="str">
            <v xml:space="preserve">RECTORA </v>
          </cell>
          <cell r="O188" t="str">
            <v>388-4222936</v>
          </cell>
          <cell r="P188">
            <v>0</v>
          </cell>
          <cell r="Q188" t="str">
            <v xml:space="preserve">CLAUDIA VIVIANA DEL ROSARIO  LOPEZ </v>
          </cell>
          <cell r="R188" t="str">
            <v xml:space="preserve">Vice Rectora </v>
          </cell>
          <cell r="S188" t="str">
            <v>388-5718538</v>
          </cell>
          <cell r="T188" t="str">
            <v xml:space="preserve">vivijuy21@hotmail.com </v>
          </cell>
          <cell r="U188">
            <v>2021</v>
          </cell>
          <cell r="V188" t="str">
            <v>-24.192667174933973, -65.29570293519566</v>
          </cell>
        </row>
        <row r="189">
          <cell r="B189">
            <v>380081401</v>
          </cell>
          <cell r="C189" t="str">
            <v>Instituto en Formación, Capacitación y Superación Lic. Myriam Beatriz Gloss - Anexo San Pedro</v>
          </cell>
          <cell r="D189" t="str">
            <v>Jujuy</v>
          </cell>
          <cell r="E189" t="str">
            <v>San Pedro</v>
          </cell>
          <cell r="F189" t="str">
            <v>San Pedro de Jujuy</v>
          </cell>
          <cell r="G189">
            <v>4500</v>
          </cell>
          <cell r="H189" t="str">
            <v>Privado</v>
          </cell>
          <cell r="I189" t="str">
            <v>Institución de ETP</v>
          </cell>
          <cell r="J189" t="str">
            <v>Juan Bautista Alberdi Nº 435</v>
          </cell>
          <cell r="K189" t="str">
            <v>3888-425631</v>
          </cell>
          <cell r="L189" t="str">
            <v>yolandacanchi201@hotmail.com</v>
          </cell>
          <cell r="M189" t="str">
            <v xml:space="preserve">Yolanda Ester Canchi </v>
          </cell>
          <cell r="N189" t="str">
            <v xml:space="preserve">Rectora </v>
          </cell>
          <cell r="O189" t="str">
            <v>388-425631</v>
          </cell>
          <cell r="P189">
            <v>0</v>
          </cell>
          <cell r="Q189" t="str">
            <v xml:space="preserve">Clara Martina Gaspar </v>
          </cell>
          <cell r="R189" t="str">
            <v xml:space="preserve">Secretaria Academica </v>
          </cell>
          <cell r="S189" t="str">
            <v>3888-446498</v>
          </cell>
          <cell r="T189" t="str">
            <v>vivijuy21@hotmail.com</v>
          </cell>
          <cell r="U189">
            <v>2021</v>
          </cell>
          <cell r="V189" t="str">
            <v>-24.234564669513748, -64.8701348747696</v>
          </cell>
        </row>
        <row r="190">
          <cell r="B190">
            <v>380081402</v>
          </cell>
          <cell r="C190" t="str">
            <v>Instituto en Formación, Capacitación y Superación Lic. Myriam Beatriz Gloss - Anexo La Quiaca</v>
          </cell>
          <cell r="D190" t="str">
            <v>Jujuy</v>
          </cell>
          <cell r="E190" t="str">
            <v>Yavi</v>
          </cell>
          <cell r="F190" t="str">
            <v xml:space="preserve">La Quiaca </v>
          </cell>
          <cell r="G190">
            <v>4650</v>
          </cell>
          <cell r="H190" t="str">
            <v>Privado</v>
          </cell>
          <cell r="I190" t="str">
            <v>Institución de ETP</v>
          </cell>
          <cell r="J190" t="str">
            <v xml:space="preserve">Avenida Paraguay Nº 432 - Bº San Salvador </v>
          </cell>
          <cell r="K190" t="str">
            <v>3885-423016</v>
          </cell>
          <cell r="L190" t="str">
            <v xml:space="preserve">institutomyriamgloss21@gmail.com </v>
          </cell>
          <cell r="M190" t="str">
            <v xml:space="preserve">YOLANDA ESTER CANCHI </v>
          </cell>
          <cell r="N190" t="str">
            <v xml:space="preserve">RECTORA </v>
          </cell>
          <cell r="O190" t="str">
            <v>388-423016</v>
          </cell>
          <cell r="P190">
            <v>0</v>
          </cell>
          <cell r="Q190" t="str">
            <v xml:space="preserve">Nelly Burgos </v>
          </cell>
          <cell r="R190" t="str">
            <v xml:space="preserve">Cordinadora </v>
          </cell>
          <cell r="S190" t="str">
            <v>-388 5959221</v>
          </cell>
          <cell r="T190" t="str">
            <v>vivijuy21@hotmail.com</v>
          </cell>
          <cell r="U190">
            <v>2021</v>
          </cell>
          <cell r="V190" t="str">
            <v>-22.10583615115379, -65.59864644920151</v>
          </cell>
        </row>
        <row r="191">
          <cell r="B191">
            <v>380092800</v>
          </cell>
          <cell r="C191" t="str">
            <v>Instituto Superior en Ciencias de la Salud</v>
          </cell>
          <cell r="D191" t="str">
            <v>Jujuy</v>
          </cell>
          <cell r="E191" t="str">
            <v>Dr. Manuel Belgrano</v>
          </cell>
          <cell r="F191" t="str">
            <v>San Salvador de Jujuy</v>
          </cell>
          <cell r="G191">
            <v>4600</v>
          </cell>
          <cell r="H191" t="str">
            <v>Privado</v>
          </cell>
          <cell r="I191" t="str">
            <v>Institución de ETP</v>
          </cell>
          <cell r="U191">
            <v>2023</v>
          </cell>
          <cell r="V191"/>
        </row>
        <row r="192">
          <cell r="B192">
            <v>380094900</v>
          </cell>
          <cell r="C192" t="str">
            <v>Instituto Superior San Gregorio</v>
          </cell>
          <cell r="D192" t="str">
            <v>Jujuy</v>
          </cell>
          <cell r="E192" t="str">
            <v>San Pedro</v>
          </cell>
          <cell r="F192" t="str">
            <v>La Mendieta</v>
          </cell>
          <cell r="G192">
            <v>4500</v>
          </cell>
          <cell r="H192" t="str">
            <v>Privado</v>
          </cell>
          <cell r="I192" t="str">
            <v>Institución de ETP</v>
          </cell>
          <cell r="U192">
            <v>2023</v>
          </cell>
          <cell r="V192"/>
        </row>
        <row r="193">
          <cell r="B193">
            <v>380097800</v>
          </cell>
          <cell r="C193" t="str">
            <v xml:space="preserve">Instituto de Educación Superior N° 11 </v>
          </cell>
          <cell r="D193" t="str">
            <v>Jujuy</v>
          </cell>
          <cell r="E193" t="str">
            <v>Dr. Manuel Belgrano</v>
          </cell>
          <cell r="F193" t="str">
            <v>San Salvador de Jujuy</v>
          </cell>
          <cell r="G193">
            <v>4600</v>
          </cell>
          <cell r="H193" t="str">
            <v>Estatal</v>
          </cell>
          <cell r="I193" t="str">
            <v>Institución de ETP</v>
          </cell>
          <cell r="J193" t="str">
            <v>ALVEAR 1151</v>
          </cell>
          <cell r="K193" t="str">
            <v>388-6014588</v>
          </cell>
          <cell r="L193" t="str">
            <v>ies11educacacion@gmail.com</v>
          </cell>
          <cell r="M193" t="str">
            <v>MEDRANO FEDERICO RAMÓN</v>
          </cell>
          <cell r="N193" t="str">
            <v>RECTOR</v>
          </cell>
          <cell r="O193" t="str">
            <v>388-6014588</v>
          </cell>
          <cell r="P193" t="str">
            <v>federicomedranocj@hotmail.com</v>
          </cell>
          <cell r="Q193" t="str">
            <v>BAEZ, HAYEÉ IRMA</v>
          </cell>
          <cell r="R193" t="str">
            <v>COORDINADORA DE LA CARRERA</v>
          </cell>
          <cell r="S193" t="str">
            <v>388-4074821</v>
          </cell>
          <cell r="T193" t="str">
            <v>haydeebaez7@gmail.com</v>
          </cell>
          <cell r="U193">
            <v>2017</v>
          </cell>
          <cell r="V193" t="str">
            <v>-24.18578, -65.29947</v>
          </cell>
        </row>
        <row r="194">
          <cell r="B194">
            <v>500124000</v>
          </cell>
          <cell r="C194" t="str">
            <v xml:space="preserve">Instituto de Educación Superior (I.E.S.) N° 9015 </v>
          </cell>
          <cell r="D194" t="str">
            <v>Mendoza</v>
          </cell>
          <cell r="E194" t="str">
            <v>San Carlos</v>
          </cell>
          <cell r="F194" t="str">
            <v>La Consulta</v>
          </cell>
          <cell r="G194">
            <v>5567</v>
          </cell>
          <cell r="H194" t="str">
            <v>Estatal</v>
          </cell>
          <cell r="I194" t="str">
            <v>Institución de ETP</v>
          </cell>
          <cell r="J194" t="str">
            <v xml:space="preserve">San Martin 418 </v>
          </cell>
          <cell r="K194" t="str">
            <v>2622-470439</v>
          </cell>
          <cell r="L194" t="str">
            <v>secretaria@iesvu.edu.ar</v>
          </cell>
          <cell r="M194" t="str">
            <v>Lic. Daniel Antonio GALLARDO</v>
          </cell>
          <cell r="N194" t="str">
            <v>Rector</v>
          </cell>
          <cell r="O194" t="str">
            <v>2622-470439</v>
          </cell>
          <cell r="P194" t="str">
            <v>rectoria@iesvu.edu.ar</v>
          </cell>
          <cell r="Q194" t="str">
            <v>Lic.Sandra MORENO</v>
          </cell>
          <cell r="R194" t="str">
            <v>Coordinadora Disciplinar</v>
          </cell>
          <cell r="S194" t="str">
            <v>2622-430741</v>
          </cell>
          <cell r="T194" t="str">
            <v>sandra_moreno@iesvu.edu.ar</v>
          </cell>
          <cell r="U194">
            <v>2016</v>
          </cell>
          <cell r="V194" t="str">
            <v>-33.73392, -69.1199</v>
          </cell>
        </row>
        <row r="195">
          <cell r="B195">
            <v>500124001</v>
          </cell>
          <cell r="C195" t="str">
            <v>Instituto de Educación Superior (I.E.S.) N° 9015 Unidad académica  Guaymallén</v>
          </cell>
          <cell r="D195" t="str">
            <v>Mendoza</v>
          </cell>
          <cell r="E195" t="str">
            <v>Guaymallén</v>
          </cell>
          <cell r="F195" t="str">
            <v>Rodeo de la Cruz</v>
          </cell>
          <cell r="G195">
            <v>5521</v>
          </cell>
          <cell r="H195" t="str">
            <v>Estatal</v>
          </cell>
          <cell r="I195" t="str">
            <v>Institución de ETP</v>
          </cell>
          <cell r="J195" t="str">
            <v>Bandera de Los Andes y Bonfanti</v>
          </cell>
          <cell r="K195" t="str">
            <v>2622-470439</v>
          </cell>
          <cell r="L195" t="str">
            <v>secretaria@iesvu.edu.ar</v>
          </cell>
          <cell r="M195" t="str">
            <v>Lic. Daniel Antonio GALLARDO</v>
          </cell>
          <cell r="N195" t="str">
            <v>Rector</v>
          </cell>
          <cell r="O195" t="str">
            <v>2622-470439</v>
          </cell>
          <cell r="P195" t="str">
            <v>rectoria@iesvu.edu.ar</v>
          </cell>
          <cell r="Q195" t="str">
            <v>Lic.Cristina Carbajal</v>
          </cell>
          <cell r="R195" t="str">
            <v>Coordinadora Disciplinar</v>
          </cell>
          <cell r="S195" t="str">
            <v>261-5522178</v>
          </cell>
          <cell r="T195" t="str">
            <v xml:space="preserve">cristina_carbajal@iesvu.edu.ar </v>
          </cell>
          <cell r="U195">
            <v>2016</v>
          </cell>
          <cell r="V195" t="str">
            <v>-32.92312, -68.73849</v>
          </cell>
        </row>
        <row r="196">
          <cell r="B196">
            <v>500124002</v>
          </cell>
          <cell r="C196" t="str">
            <v>Instituto de Educación Superior (I.E.S.) N° 9-015  Unidad Académica Capital</v>
          </cell>
          <cell r="D196" t="str">
            <v>Mendoza</v>
          </cell>
          <cell r="E196" t="str">
            <v>Capital</v>
          </cell>
          <cell r="F196" t="str">
            <v>Mendoza</v>
          </cell>
          <cell r="G196">
            <v>5500</v>
          </cell>
          <cell r="H196" t="str">
            <v>Estatal</v>
          </cell>
          <cell r="I196" t="str">
            <v>Institución de ETP</v>
          </cell>
          <cell r="J196" t="str">
            <v>Mitre Nº602-Ciudad-Instituto De Paolis</v>
          </cell>
          <cell r="K196" t="str">
            <v>2622-470439</v>
          </cell>
          <cell r="L196" t="str">
            <v>secretaria@iesvu.edu.ar</v>
          </cell>
          <cell r="M196" t="str">
            <v>Lic. Daniel Antonio GALLARDO</v>
          </cell>
          <cell r="N196" t="str">
            <v>Rector</v>
          </cell>
          <cell r="O196" t="str">
            <v>2622-470439</v>
          </cell>
          <cell r="P196" t="str">
            <v>rectoria@iesvu.edu.ar</v>
          </cell>
          <cell r="Q196" t="str">
            <v>Lic.Patricia Barbarán- Lic. Marta Escudero</v>
          </cell>
          <cell r="R196" t="str">
            <v>Coordinadora Disciplinar</v>
          </cell>
          <cell r="S196" t="str">
            <v>261-6812260 -5696885</v>
          </cell>
          <cell r="T196" t="str">
            <v>patricia_barbaran@iesvu.edu.ar -marta_escudero@iesvu.edu.ar</v>
          </cell>
          <cell r="U196">
            <v>2016</v>
          </cell>
          <cell r="V196" t="str">
            <v>-32.88945, -68.84583</v>
          </cell>
        </row>
        <row r="197">
          <cell r="B197">
            <v>500124003</v>
          </cell>
          <cell r="C197" t="str">
            <v>Instituto de Educación Superior (I.E.S.) N° 9-015 Unidad Académica San Rafael</v>
          </cell>
          <cell r="D197" t="str">
            <v>Mendoza</v>
          </cell>
          <cell r="E197" t="str">
            <v>San Rafael</v>
          </cell>
          <cell r="F197" t="str">
            <v>San Rafael</v>
          </cell>
          <cell r="G197">
            <v>5600</v>
          </cell>
          <cell r="H197" t="str">
            <v>Estatal</v>
          </cell>
          <cell r="I197" t="str">
            <v>Institución de ETP</v>
          </cell>
          <cell r="J197" t="str">
            <v>Comandante Salas Nº859 y Alsina-San Rafael - Escuela Iselín Nº1-270</v>
          </cell>
          <cell r="K197" t="str">
            <v>2622-470439</v>
          </cell>
          <cell r="L197" t="str">
            <v>secretaria@iesvu.edu.ar</v>
          </cell>
          <cell r="M197" t="str">
            <v>Lic. Daniel Antonio GALLARDO</v>
          </cell>
          <cell r="N197" t="str">
            <v>Rector</v>
          </cell>
          <cell r="O197" t="str">
            <v>2622-470439</v>
          </cell>
          <cell r="P197" t="str">
            <v>rectoria@iesvu.edu.ar</v>
          </cell>
          <cell r="Q197" t="str">
            <v>Lic. Margarita TOLEDO</v>
          </cell>
          <cell r="R197" t="str">
            <v>Coordinadora Disciplinar</v>
          </cell>
          <cell r="S197" t="str">
            <v>260-4841220</v>
          </cell>
          <cell r="T197" t="str">
            <v>margarita_toledo@iesvu.edu.ar</v>
          </cell>
          <cell r="U197">
            <v>2016</v>
          </cell>
          <cell r="V197" t="str">
            <v>-34.62240162528944, -68.34237738853584</v>
          </cell>
        </row>
        <row r="198">
          <cell r="B198">
            <v>500124004</v>
          </cell>
          <cell r="C198" t="str">
            <v>Instituto de Educación Superior (I.E.S.) N° 9-015 Unidad Académica Tunuyán</v>
          </cell>
          <cell r="D198" t="str">
            <v>Mendoza</v>
          </cell>
          <cell r="E198" t="str">
            <v>Tunuyán</v>
          </cell>
          <cell r="F198" t="str">
            <v>Tunuyán</v>
          </cell>
          <cell r="G198">
            <v>5560</v>
          </cell>
          <cell r="H198" t="str">
            <v>Estatal</v>
          </cell>
          <cell r="I198" t="str">
            <v>Institución de ETP</v>
          </cell>
          <cell r="J198" t="str">
            <v xml:space="preserve">Juan B.Justo y Alem -Escuela José Hernandez </v>
          </cell>
          <cell r="K198" t="str">
            <v>2622-470439</v>
          </cell>
          <cell r="L198" t="str">
            <v>secretaria@iesvu.edu.ar</v>
          </cell>
          <cell r="M198" t="str">
            <v>Lic. Daniel Antonio GALLARDO</v>
          </cell>
          <cell r="N198" t="str">
            <v>Rector</v>
          </cell>
          <cell r="O198" t="str">
            <v>2622-470439</v>
          </cell>
          <cell r="P198" t="str">
            <v>rectoria@iesvu.edu.ar</v>
          </cell>
          <cell r="Q198" t="str">
            <v>Lic. MIGUEL LOPEZ, Silvina</v>
          </cell>
          <cell r="R198" t="str">
            <v>Coordinadora Disciplinar</v>
          </cell>
          <cell r="S198" t="str">
            <v>2622-410561</v>
          </cell>
          <cell r="T198" t="str">
            <v>silvina_miguel@iesvu.edu.ar</v>
          </cell>
          <cell r="U198">
            <v>2016</v>
          </cell>
          <cell r="V198" t="str">
            <v>-33.58131, -69.01533</v>
          </cell>
        </row>
        <row r="199">
          <cell r="B199">
            <v>500124005</v>
          </cell>
          <cell r="C199" t="str">
            <v>Instituto de Educación Superior (I.E.S.) N° 9-015 Unidad Académica Maipú</v>
          </cell>
          <cell r="D199" t="str">
            <v>Mendoza</v>
          </cell>
          <cell r="E199" t="str">
            <v>Maipú</v>
          </cell>
          <cell r="F199" t="str">
            <v>Coquimbito</v>
          </cell>
          <cell r="G199">
            <v>5513</v>
          </cell>
          <cell r="H199" t="str">
            <v>Estatal</v>
          </cell>
          <cell r="I199" t="str">
            <v>Institución de ETP</v>
          </cell>
          <cell r="J199" t="str">
            <v xml:space="preserve">Roca Oeste S/N </v>
          </cell>
          <cell r="K199" t="str">
            <v>2622-470439</v>
          </cell>
          <cell r="L199" t="str">
            <v>secretaria@iesvu.edu.ar</v>
          </cell>
          <cell r="M199" t="str">
            <v>Lic. Daniel Antonio GALLARDO</v>
          </cell>
          <cell r="N199" t="str">
            <v>Rector</v>
          </cell>
          <cell r="O199" t="str">
            <v>2622-470439</v>
          </cell>
          <cell r="P199" t="str">
            <v>rectoria@iesvu.edu.ar</v>
          </cell>
          <cell r="Q199" t="str">
            <v>Lic. Cristina CARBAJAL</v>
          </cell>
          <cell r="R199" t="str">
            <v>Coordinadora Disciplinar</v>
          </cell>
          <cell r="S199" t="str">
            <v>261-5522178</v>
          </cell>
          <cell r="T199" t="str">
            <v>cristina_carbajal@iesvu.edu.ar</v>
          </cell>
          <cell r="U199">
            <v>2016</v>
          </cell>
          <cell r="V199" t="str">
            <v>-32.96864, -68.75577</v>
          </cell>
        </row>
        <row r="200">
          <cell r="B200">
            <v>500124006</v>
          </cell>
          <cell r="C200" t="str">
            <v>Instituto de Educación Superior (I.E.S.) N° 9-015 Unidad Académica Rivadavia</v>
          </cell>
          <cell r="D200" t="str">
            <v>Mendoza</v>
          </cell>
          <cell r="E200" t="str">
            <v>Rivadavia</v>
          </cell>
          <cell r="F200" t="str">
            <v>Rivadavia</v>
          </cell>
          <cell r="G200">
            <v>5577</v>
          </cell>
          <cell r="H200" t="str">
            <v>Estatal</v>
          </cell>
          <cell r="I200" t="str">
            <v>Institución de ETP</v>
          </cell>
          <cell r="J200" t="str">
            <v>José Hernandez 250</v>
          </cell>
          <cell r="K200" t="str">
            <v>2622-470439</v>
          </cell>
          <cell r="L200" t="str">
            <v>secretaria@iesvu.edu.ar</v>
          </cell>
          <cell r="M200" t="str">
            <v>Lic. Daniel Antonio GALLARDO</v>
          </cell>
          <cell r="N200" t="str">
            <v>Rector</v>
          </cell>
          <cell r="O200" t="str">
            <v>2622-470439</v>
          </cell>
          <cell r="P200" t="str">
            <v>rectoria@iesvu.edu.ar</v>
          </cell>
          <cell r="Q200" t="str">
            <v>Lic. Oscar FARIAS</v>
          </cell>
          <cell r="R200" t="str">
            <v>Coordinador Disciplinar</v>
          </cell>
          <cell r="S200" t="str">
            <v>263-4594984</v>
          </cell>
          <cell r="T200" t="str">
            <v>oscar_farias@iesvu.edu.ar</v>
          </cell>
          <cell r="U200">
            <v>2016</v>
          </cell>
          <cell r="V200" t="str">
            <v>-33.19106, -68.45762</v>
          </cell>
        </row>
        <row r="201">
          <cell r="B201">
            <v>500124007</v>
          </cell>
          <cell r="C201" t="str">
            <v>Instituto de Educación Superior (I.E.S.) N° 9-015 Unidad Académica Luján de Cuyo</v>
          </cell>
          <cell r="D201" t="str">
            <v>Mendoza</v>
          </cell>
          <cell r="E201" t="str">
            <v>Luján de Cuyo</v>
          </cell>
          <cell r="F201" t="str">
            <v>Chacras de Coria</v>
          </cell>
          <cell r="G201">
            <v>5505</v>
          </cell>
          <cell r="H201" t="str">
            <v>Estatal</v>
          </cell>
          <cell r="I201" t="str">
            <v>Institución de ETP</v>
          </cell>
          <cell r="J201" t="str">
            <v>Besares 294 -Escuela Mosconi</v>
          </cell>
          <cell r="K201" t="str">
            <v>2622-470439</v>
          </cell>
          <cell r="L201" t="str">
            <v>secretaria@iesvu.edu.ar</v>
          </cell>
          <cell r="M201" t="str">
            <v>Lic. Daniel Antonio GALLARDO</v>
          </cell>
          <cell r="N201" t="str">
            <v>Rector</v>
          </cell>
          <cell r="O201" t="str">
            <v>2622-470439</v>
          </cell>
          <cell r="P201" t="str">
            <v>rectoria@iesvu.edu.ar</v>
          </cell>
          <cell r="Q201" t="str">
            <v>Lic. Adriana VILLEGAS</v>
          </cell>
          <cell r="R201" t="str">
            <v>Coordinadora Disciplinar</v>
          </cell>
          <cell r="S201" t="str">
            <v>261-6945586</v>
          </cell>
          <cell r="T201" t="str">
            <v>maria_villegas@iesvu.edu.ar</v>
          </cell>
          <cell r="U201">
            <v>2016</v>
          </cell>
          <cell r="V201" t="str">
            <v>-32.9809, -68.8769</v>
          </cell>
        </row>
        <row r="202">
          <cell r="B202">
            <v>500124009</v>
          </cell>
          <cell r="C202" t="str">
            <v>Instituto de Educación Superior (I.E.S.) N° 9-015 Unidad Académica Santa Rosa</v>
          </cell>
          <cell r="D202" t="str">
            <v>Mendoza</v>
          </cell>
          <cell r="E202" t="str">
            <v>Santa Rosa</v>
          </cell>
          <cell r="F202" t="str">
            <v>Las Catitas</v>
          </cell>
          <cell r="G202">
            <v>5594</v>
          </cell>
          <cell r="H202" t="str">
            <v>Estatal</v>
          </cell>
          <cell r="I202" t="str">
            <v>Institución de ETP</v>
          </cell>
          <cell r="J202" t="str">
            <v>Ruta Prov.50 KM 983 -Los Lotes- Las Catitas-Sta. Rosa</v>
          </cell>
          <cell r="K202" t="str">
            <v>2622-470439</v>
          </cell>
          <cell r="L202" t="str">
            <v>secretaria@iesvu.edu.ar</v>
          </cell>
          <cell r="M202" t="str">
            <v>Lic. Daniel Antonio GALLARDO</v>
          </cell>
          <cell r="N202" t="str">
            <v>Rector</v>
          </cell>
          <cell r="O202" t="str">
            <v>2622-470439</v>
          </cell>
          <cell r="P202" t="str">
            <v>rectoria@iesvu.edu.ar</v>
          </cell>
          <cell r="Q202" t="str">
            <v>Lic. Carmen ROSAS</v>
          </cell>
          <cell r="R202" t="str">
            <v>Coordinadora Disciplinar</v>
          </cell>
          <cell r="S202" t="str">
            <v>263-4516683</v>
          </cell>
          <cell r="T202" t="str">
            <v>carmen_rosas@iesvu.edu.ar</v>
          </cell>
          <cell r="U202">
            <v>2016</v>
          </cell>
          <cell r="V202" t="str">
            <v>-33.2982, -68.04746</v>
          </cell>
        </row>
        <row r="203">
          <cell r="B203">
            <v>500132400</v>
          </cell>
          <cell r="C203" t="str">
            <v>Instituto de Educación Superior (I.E.S.) N° 71 Cruz Roja Argentina Filial San Rafael</v>
          </cell>
          <cell r="D203" t="str">
            <v>Mendoza</v>
          </cell>
          <cell r="E203" t="str">
            <v>San Rafael</v>
          </cell>
          <cell r="F203" t="str">
            <v>San Rafael</v>
          </cell>
          <cell r="G203">
            <v>5600</v>
          </cell>
          <cell r="H203" t="str">
            <v>Privado</v>
          </cell>
          <cell r="I203" t="str">
            <v>Institución de ETP</v>
          </cell>
          <cell r="J203" t="str">
            <v>Godoy Cruz 270</v>
          </cell>
          <cell r="K203" t="str">
            <v>260-4421079</v>
          </cell>
          <cell r="L203" t="str">
            <v>educa.srafael@cruzroja.org.ar</v>
          </cell>
          <cell r="M203" t="str">
            <v>Cristian Rodriguez</v>
          </cell>
          <cell r="N203" t="str">
            <v xml:space="preserve">Rector </v>
          </cell>
          <cell r="O203" t="str">
            <v>260-4421079</v>
          </cell>
          <cell r="P203" t="str">
            <v>crodriguez@cruzroja.org.ar</v>
          </cell>
          <cell r="Q203" t="str">
            <v>Mariela Herrero</v>
          </cell>
          <cell r="R203" t="str">
            <v>Coord. Simulación</v>
          </cell>
          <cell r="S203" t="str">
            <v>260-4680234</v>
          </cell>
          <cell r="T203" t="str">
            <v>marielalab@yahoo.com.ar</v>
          </cell>
          <cell r="U203">
            <v>2016</v>
          </cell>
          <cell r="V203" t="str">
            <v>-34.62240162528944, -68.34237738853584</v>
          </cell>
        </row>
        <row r="204">
          <cell r="B204">
            <v>500134800</v>
          </cell>
          <cell r="C204" t="str">
            <v>Instituto de Educación Superior (I.E.S.) N° 9-007 Dr. Salvador Calafat</v>
          </cell>
          <cell r="D204" t="str">
            <v>Mendoza</v>
          </cell>
          <cell r="E204" t="str">
            <v>General Alvear</v>
          </cell>
          <cell r="F204" t="str">
            <v>General Alvear</v>
          </cell>
          <cell r="G204">
            <v>5620</v>
          </cell>
          <cell r="H204" t="str">
            <v>Estatal</v>
          </cell>
          <cell r="I204" t="str">
            <v>Institución de Otro Nivel y/o Modalidad</v>
          </cell>
          <cell r="J204" t="str">
            <v>Roca 327</v>
          </cell>
          <cell r="K204" t="str">
            <v>2625-423122</v>
          </cell>
          <cell r="L204" t="str">
            <v>ies9007@gmail.com</v>
          </cell>
          <cell r="M204" t="str">
            <v>José Mauro Torres</v>
          </cell>
          <cell r="N204" t="str">
            <v>Rector</v>
          </cell>
          <cell r="O204" t="str">
            <v>2625-423122</v>
          </cell>
          <cell r="P204" t="str">
            <v>maurotorres2001@yahoo.com.ar</v>
          </cell>
          <cell r="Q204" t="str">
            <v>Melina Mateo</v>
          </cell>
          <cell r="R204" t="str">
            <v>Coordinadora</v>
          </cell>
          <cell r="S204" t="str">
            <v>2625-666520</v>
          </cell>
          <cell r="T204" t="str">
            <v>melymateo24@hotmail.com</v>
          </cell>
          <cell r="U204">
            <v>2016</v>
          </cell>
          <cell r="V204" t="str">
            <v>-34.97798, -67.68938</v>
          </cell>
        </row>
        <row r="205">
          <cell r="B205">
            <v>500180400</v>
          </cell>
          <cell r="C205" t="str">
            <v>Instituto Privado Nº 172 Instituto de Docencia, Investigación y Capacitación Laboral de la Sanidad</v>
          </cell>
          <cell r="D205" t="str">
            <v>Mendoza</v>
          </cell>
          <cell r="E205" t="str">
            <v>Capital</v>
          </cell>
          <cell r="F205" t="str">
            <v>Mendoza</v>
          </cell>
          <cell r="G205">
            <v>5527</v>
          </cell>
          <cell r="H205" t="str">
            <v>Privado</v>
          </cell>
          <cell r="I205" t="str">
            <v>Institución de ETP</v>
          </cell>
          <cell r="J205" t="str">
            <v xml:space="preserve">Morón 265 </v>
          </cell>
          <cell r="K205" t="str">
            <v>261-4246600</v>
          </cell>
          <cell r="L205" t="str">
            <v>instisanidadmza@gmail.com</v>
          </cell>
          <cell r="M205" t="str">
            <v>Maria Rosa Reyes</v>
          </cell>
          <cell r="N205" t="str">
            <v>Rectora</v>
          </cell>
          <cell r="O205" t="str">
            <v>261-4246600</v>
          </cell>
          <cell r="P205" t="str">
            <v>meryros@live.com.ar</v>
          </cell>
          <cell r="Q205" t="str">
            <v>Chinellato Pablo</v>
          </cell>
          <cell r="R205" t="str">
            <v>Coordinador</v>
          </cell>
          <cell r="S205" t="str">
            <v>261-5326701</v>
          </cell>
          <cell r="T205" t="str">
            <v>chinellatopenzo@gmail.com</v>
          </cell>
          <cell r="U205">
            <v>2021</v>
          </cell>
          <cell r="V205" t="str">
            <v>-32.8996519637393, -68.83797990255972</v>
          </cell>
        </row>
        <row r="206">
          <cell r="B206">
            <v>500180401</v>
          </cell>
          <cell r="C206" t="str">
            <v>Instituto Privado Nº 172 Instituto de Docencia, Investigación y Capacitación Laboral de la Sanidad Anexo San Martin</v>
          </cell>
          <cell r="D206" t="str">
            <v>Mendoza</v>
          </cell>
          <cell r="E206" t="str">
            <v>San Martin</v>
          </cell>
          <cell r="F206" t="str">
            <v>San Martin</v>
          </cell>
          <cell r="G206">
            <v>5570</v>
          </cell>
          <cell r="H206" t="str">
            <v>Privado</v>
          </cell>
          <cell r="I206" t="str">
            <v>Institución de ETP</v>
          </cell>
          <cell r="J206"/>
          <cell r="K206"/>
          <cell r="L206"/>
          <cell r="M206"/>
          <cell r="N206"/>
          <cell r="O206"/>
          <cell r="P206"/>
          <cell r="Q206"/>
          <cell r="R206"/>
          <cell r="S206"/>
          <cell r="T206"/>
          <cell r="U206">
            <v>2023</v>
          </cell>
          <cell r="V206"/>
        </row>
        <row r="207">
          <cell r="B207">
            <v>500180402</v>
          </cell>
          <cell r="C207" t="str">
            <v>Instituto Privado Nº 172 Instituto de Docencia, Investigación y Capacitación Laboral de la Sanidad Anexo Lavalle</v>
          </cell>
          <cell r="D207" t="str">
            <v>Mendoza</v>
          </cell>
          <cell r="E207" t="str">
            <v>Lavalle</v>
          </cell>
          <cell r="F207" t="str">
            <v>Villa Tulumaya</v>
          </cell>
          <cell r="G207">
            <v>5533</v>
          </cell>
          <cell r="H207" t="str">
            <v>Privado</v>
          </cell>
          <cell r="I207" t="str">
            <v>Institución de ETP</v>
          </cell>
          <cell r="J207"/>
          <cell r="K207"/>
          <cell r="L207"/>
          <cell r="M207"/>
          <cell r="N207"/>
          <cell r="O207"/>
          <cell r="P207"/>
          <cell r="Q207"/>
          <cell r="R207"/>
          <cell r="S207"/>
          <cell r="T207"/>
          <cell r="U207">
            <v>2023</v>
          </cell>
        </row>
        <row r="208">
          <cell r="B208">
            <v>500180404</v>
          </cell>
          <cell r="C208" t="str">
            <v>Instituto Privado Nº 172 Instituto de Docencia, Investigación y Capacitación Laboral de la Sanidad Anexo Tupungato</v>
          </cell>
          <cell r="D208" t="str">
            <v>Mendoza</v>
          </cell>
          <cell r="E208" t="str">
            <v>Tupungato</v>
          </cell>
          <cell r="F208" t="str">
            <v>Tupungato</v>
          </cell>
          <cell r="G208">
            <v>5561</v>
          </cell>
          <cell r="H208" t="str">
            <v>Privado</v>
          </cell>
          <cell r="I208" t="str">
            <v>Institución de ETP</v>
          </cell>
          <cell r="J208"/>
          <cell r="K208"/>
          <cell r="L208"/>
          <cell r="M208"/>
          <cell r="N208"/>
          <cell r="O208"/>
          <cell r="P208"/>
          <cell r="Q208"/>
          <cell r="R208"/>
          <cell r="S208"/>
          <cell r="T208"/>
          <cell r="U208">
            <v>2023</v>
          </cell>
        </row>
        <row r="209">
          <cell r="B209">
            <v>500180406</v>
          </cell>
          <cell r="C209" t="str">
            <v>Instituto Privado Nº 172 Instituto de Docencia, Investigación y Capacitación Laboral de la Sanidad Anexo General Alvear</v>
          </cell>
          <cell r="D209" t="str">
            <v>Mendoza</v>
          </cell>
          <cell r="E209" t="str">
            <v>General Alvear</v>
          </cell>
          <cell r="F209" t="str">
            <v>General Alvear</v>
          </cell>
          <cell r="G209">
            <v>5620</v>
          </cell>
          <cell r="H209" t="str">
            <v>Privado</v>
          </cell>
          <cell r="I209" t="str">
            <v>Institución de ETP</v>
          </cell>
          <cell r="J209"/>
          <cell r="K209"/>
          <cell r="L209"/>
          <cell r="M209"/>
          <cell r="N209"/>
          <cell r="O209"/>
          <cell r="P209"/>
          <cell r="Q209"/>
          <cell r="R209"/>
          <cell r="S209"/>
          <cell r="T209"/>
          <cell r="U209">
            <v>2023</v>
          </cell>
        </row>
        <row r="210">
          <cell r="B210">
            <v>500180407</v>
          </cell>
          <cell r="C210" t="str">
            <v>Instituto Privado Nº 172 Instituto de Docencia, Investigación y Capacitación Laboral de la Sanidad Anexo Malargüe</v>
          </cell>
          <cell r="D210" t="str">
            <v>Mendoza</v>
          </cell>
          <cell r="E210" t="str">
            <v>Malargüe</v>
          </cell>
          <cell r="F210" t="str">
            <v>Malargüe</v>
          </cell>
          <cell r="G210">
            <v>5613</v>
          </cell>
          <cell r="H210" t="str">
            <v>Privado</v>
          </cell>
          <cell r="I210" t="str">
            <v>Institución de ETP</v>
          </cell>
          <cell r="J210"/>
          <cell r="K210"/>
          <cell r="L210"/>
          <cell r="M210"/>
          <cell r="N210"/>
          <cell r="O210"/>
          <cell r="P210"/>
          <cell r="Q210"/>
          <cell r="R210"/>
          <cell r="S210"/>
          <cell r="T210"/>
          <cell r="U210">
            <v>2023</v>
          </cell>
          <cell r="V210"/>
        </row>
        <row r="211">
          <cell r="B211">
            <v>500221200</v>
          </cell>
          <cell r="C211" t="str">
            <v>Instituto de Educación Superior (I.E.S.) N° 9-023</v>
          </cell>
          <cell r="D211" t="str">
            <v>Mendoza</v>
          </cell>
          <cell r="E211" t="str">
            <v>Maipú</v>
          </cell>
          <cell r="F211" t="str">
            <v>Maipú</v>
          </cell>
          <cell r="G211">
            <v>5515</v>
          </cell>
          <cell r="H211" t="str">
            <v>Estatal</v>
          </cell>
          <cell r="I211" t="str">
            <v>Institución de Otro Nivel y/o Modalidad</v>
          </cell>
          <cell r="J211" t="str">
            <v>DONISIO HERRERO 303</v>
          </cell>
          <cell r="K211" t="str">
            <v>261-3014844</v>
          </cell>
          <cell r="L211" t="str">
            <v>infomecatronicamaipu@gmail.com</v>
          </cell>
          <cell r="M211" t="str">
            <v>MARIA VIRGINIA HERNANDEZ</v>
          </cell>
          <cell r="N211" t="str">
            <v>Rectora</v>
          </cell>
          <cell r="O211" t="str">
            <v>261-3014844</v>
          </cell>
          <cell r="P211" t="str">
            <v>hernandezmariavirginia@yahoo.com</v>
          </cell>
          <cell r="Q211" t="str">
            <v xml:space="preserve">SORIA MARIO          </v>
          </cell>
          <cell r="R211" t="str">
            <v>REGENTE</v>
          </cell>
          <cell r="S211" t="str">
            <v>261-5451879</v>
          </cell>
          <cell r="T211" t="str">
            <v>soriamarioedgardo@gmail.com</v>
          </cell>
          <cell r="U211">
            <v>2016</v>
          </cell>
          <cell r="V211" t="str">
            <v>-32.962390039623266, -68.78972717827918</v>
          </cell>
        </row>
        <row r="212">
          <cell r="B212">
            <v>500224900</v>
          </cell>
          <cell r="C212" t="str">
            <v>Instituto de Educación Superior (I.E.S.) N° 9026 Instituto de Educación Superior</v>
          </cell>
          <cell r="D212" t="str">
            <v>Mendoza</v>
          </cell>
          <cell r="E212" t="str">
            <v>Las Heras</v>
          </cell>
          <cell r="F212" t="str">
            <v>Las Heras</v>
          </cell>
          <cell r="G212">
            <v>5539</v>
          </cell>
          <cell r="H212" t="str">
            <v>Estatal</v>
          </cell>
          <cell r="I212" t="str">
            <v>Institución de Otro Nivel y/o Modalidad</v>
          </cell>
          <cell r="J212" t="str">
            <v>Almirante Brown  N° 2600</v>
          </cell>
          <cell r="K212" t="str">
            <v>-</v>
          </cell>
          <cell r="L212" t="str">
            <v>ies9.026lasheras@gmail.com</v>
          </cell>
          <cell r="M212" t="str">
            <v xml:space="preserve">Lic. Valeria Villafranca </v>
          </cell>
          <cell r="N212" t="str">
            <v>Rectora</v>
          </cell>
          <cell r="O212" t="str">
            <v>261-</v>
          </cell>
          <cell r="P212" t="str">
            <v xml:space="preserve">valevillafranca73@gmail.com </v>
          </cell>
          <cell r="Q212" t="str">
            <v>Lic. Paula Bustos</v>
          </cell>
          <cell r="R212" t="str">
            <v>Coordinadora</v>
          </cell>
          <cell r="S212" t="str">
            <v>261-2159987</v>
          </cell>
          <cell r="T212" t="str">
            <v>bustosfunesmariapaula@yahoo.com.ar</v>
          </cell>
          <cell r="U212">
            <v>2016</v>
          </cell>
          <cell r="V212" t="str">
            <v>-32.0761, -68.6957</v>
          </cell>
        </row>
        <row r="213">
          <cell r="B213">
            <v>500238900</v>
          </cell>
          <cell r="C213" t="str">
            <v>Instituto Superior de Enfermería PT 254 Reinalda Balancini</v>
          </cell>
          <cell r="D213" t="str">
            <v>Mendoza</v>
          </cell>
          <cell r="E213" t="str">
            <v>Godoy Cruz</v>
          </cell>
          <cell r="F213" t="str">
            <v>Godoy Cruz</v>
          </cell>
          <cell r="G213">
            <v>5501</v>
          </cell>
          <cell r="H213" t="str">
            <v>Privado</v>
          </cell>
          <cell r="I213" t="str">
            <v>Institución de Otro Nivel y/o Modalidad</v>
          </cell>
          <cell r="J213" t="str">
            <v>JUAN DE GARAY 115</v>
          </cell>
          <cell r="K213" t="str">
            <v>261-7602800</v>
          </cell>
          <cell r="L213" t="str">
            <v>instreinaldabalancini@gmail.com</v>
          </cell>
          <cell r="M213" t="str">
            <v>Mgter. Gabriel Duperut</v>
          </cell>
          <cell r="N213" t="str">
            <v>Rector</v>
          </cell>
          <cell r="O213" t="str">
            <v>261-7602800</v>
          </cell>
          <cell r="P213" t="str">
            <v>gduperut@yahoo.com.ar</v>
          </cell>
          <cell r="Q213" t="str">
            <v>Lic. Cesar Sanchez</v>
          </cell>
          <cell r="R213" t="str">
            <v>Coordinador Disciplinar</v>
          </cell>
          <cell r="S213" t="str">
            <v>261-4697546</v>
          </cell>
          <cell r="T213" t="str">
            <v xml:space="preserve">cjsanchez_23@hotmail.com </v>
          </cell>
          <cell r="U213">
            <v>2020</v>
          </cell>
          <cell r="V213" t="str">
            <v>-32.9328465283876, -68.84505933824992</v>
          </cell>
        </row>
        <row r="214">
          <cell r="B214">
            <v>540027900</v>
          </cell>
          <cell r="C214" t="str">
            <v>Instituto Superior Adventista de Misiones</v>
          </cell>
          <cell r="D214" t="str">
            <v>Misiones</v>
          </cell>
          <cell r="E214" t="str">
            <v xml:space="preserve">Leando N. Alem </v>
          </cell>
          <cell r="F214" t="str">
            <v>Villa Libertad, L.N.Alem. Misiones</v>
          </cell>
          <cell r="G214">
            <v>3315</v>
          </cell>
          <cell r="H214" t="str">
            <v>Privado</v>
          </cell>
          <cell r="I214" t="str">
            <v>Institución de ETP</v>
          </cell>
          <cell r="J214" t="str">
            <v>Avenida Rusia 410</v>
          </cell>
          <cell r="K214" t="str">
            <v>3754-507373</v>
          </cell>
          <cell r="L214" t="str">
            <v>informes@isam.edu.ar     superior@isam.edu.ar</v>
          </cell>
          <cell r="M214" t="str">
            <v xml:space="preserve">Leonardo Bertagni  </v>
          </cell>
          <cell r="N214" t="str">
            <v>Rector</v>
          </cell>
          <cell r="O214" t="str">
            <v>54911-507373</v>
          </cell>
          <cell r="P214" t="str">
            <v>leonardo.bertagni@educacionadventista.org.ar</v>
          </cell>
          <cell r="Q214" t="str">
            <v>Fernando Noel Gutierrez</v>
          </cell>
          <cell r="R214" t="str">
            <v>Director de la carrera de Enfermería</v>
          </cell>
          <cell r="S214" t="str">
            <v>3754-442544</v>
          </cell>
          <cell r="T214" t="str">
            <v>fernando.gutierrez@educacionadventista.org.ar</v>
          </cell>
          <cell r="U214">
            <v>2021</v>
          </cell>
          <cell r="V214" t="str">
            <v>-27.6035344504483, -55.326548975318694</v>
          </cell>
        </row>
        <row r="215">
          <cell r="B215">
            <v>540153300</v>
          </cell>
          <cell r="C215" t="str">
            <v>Instituto Privado de Educación Superior N° 472 "Misionero de Estudios Superiores"</v>
          </cell>
          <cell r="D215" t="str">
            <v>Misiones</v>
          </cell>
          <cell r="E215" t="str">
            <v>Capital</v>
          </cell>
          <cell r="F215" t="str">
            <v>Posadas</v>
          </cell>
          <cell r="G215">
            <v>3300</v>
          </cell>
          <cell r="H215" t="str">
            <v>Privado</v>
          </cell>
          <cell r="I215" t="str">
            <v>Institución de ETP</v>
          </cell>
          <cell r="J215" t="str">
            <v>Av. Santa Catalina N°1778, Piso 4°</v>
          </cell>
          <cell r="K215" t="str">
            <v>3764-835117</v>
          </cell>
          <cell r="L215" t="str">
            <v>rectoria@imes.edu.ar</v>
          </cell>
          <cell r="M215" t="str">
            <v>Maariano Ramiro Pianovi</v>
          </cell>
          <cell r="N215" t="str">
            <v>Rector</v>
          </cell>
          <cell r="O215" t="str">
            <v>3764-835117</v>
          </cell>
          <cell r="P215" t="str">
            <v>pianovimariano@gmail.com</v>
          </cell>
          <cell r="Q215" t="str">
            <v>Marcelo Alejandro Ramírez</v>
          </cell>
          <cell r="R215" t="str">
            <v>Coordinador</v>
          </cell>
          <cell r="S215" t="str">
            <v>3764-677230</v>
          </cell>
          <cell r="T215" t="str">
            <v>marceloram1975@gmail.com</v>
          </cell>
          <cell r="U215">
            <v>2021</v>
          </cell>
          <cell r="V215" t="str">
            <v>-27.380601409157087, -55.9216026000868</v>
          </cell>
        </row>
        <row r="216">
          <cell r="B216">
            <v>540186600</v>
          </cell>
          <cell r="C216" t="str">
            <v>Instituto Superior Huellas Misioneras</v>
          </cell>
          <cell r="D216" t="str">
            <v>Misiones</v>
          </cell>
          <cell r="E216" t="str">
            <v>Eldorado</v>
          </cell>
          <cell r="F216" t="str">
            <v>Eldorado</v>
          </cell>
          <cell r="G216">
            <v>3380</v>
          </cell>
          <cell r="H216" t="str">
            <v>Privado</v>
          </cell>
          <cell r="I216" t="str">
            <v>Institución de ETP</v>
          </cell>
          <cell r="J216" t="str">
            <v>Av. San Martin 1704 2do Piso</v>
          </cell>
          <cell r="K216" t="str">
            <v>3751-378562</v>
          </cell>
          <cell r="L216" t="str">
            <v>info@ishm.edu.ar</v>
          </cell>
          <cell r="M216" t="str">
            <v>Alfredo Otto</v>
          </cell>
          <cell r="N216" t="str">
            <v>Rector</v>
          </cell>
          <cell r="O216" t="str">
            <v>3751-378562</v>
          </cell>
          <cell r="P216" t="str">
            <v>rectoria@ishm.edu.ar</v>
          </cell>
          <cell r="Q216" t="str">
            <v>Susana Marta Medina</v>
          </cell>
          <cell r="R216" t="str">
            <v>Coordinador</v>
          </cell>
          <cell r="S216" t="str">
            <v>3751-315070</v>
          </cell>
          <cell r="T216" t="str">
            <v>susanamartamedina1@gmail.com</v>
          </cell>
          <cell r="U216">
            <v>2021</v>
          </cell>
          <cell r="V216" t="str">
            <v>-26.405864380093632, -54.62855411601151</v>
          </cell>
        </row>
        <row r="217">
          <cell r="B217">
            <v>540207800</v>
          </cell>
          <cell r="C217" t="str">
            <v>Instituto Politécnico Nº 1 Instituto Superior de ETP Misiones</v>
          </cell>
          <cell r="D217" t="str">
            <v>Misiones</v>
          </cell>
          <cell r="E217" t="str">
            <v>Capital</v>
          </cell>
          <cell r="F217" t="str">
            <v>Posadas</v>
          </cell>
          <cell r="G217">
            <v>3300</v>
          </cell>
          <cell r="H217" t="str">
            <v>Estatal</v>
          </cell>
          <cell r="I217" t="str">
            <v>Institución de ETP</v>
          </cell>
          <cell r="J217" t="str">
            <v>Los Cardenales 6992</v>
          </cell>
          <cell r="U217">
            <v>2023</v>
          </cell>
        </row>
        <row r="218">
          <cell r="B218">
            <v>580108100</v>
          </cell>
          <cell r="C218" t="str">
            <v>I.U.C.E - Instituto de Capacitación y Gestión</v>
          </cell>
          <cell r="D218" t="str">
            <v>Neuquen</v>
          </cell>
          <cell r="E218" t="str">
            <v xml:space="preserve">Confluencia </v>
          </cell>
          <cell r="U218">
            <v>2023</v>
          </cell>
          <cell r="V218"/>
        </row>
        <row r="219">
          <cell r="B219">
            <v>580075500</v>
          </cell>
          <cell r="C219" t="str">
            <v>Instituto de Educación Superior (I.E.S.) N° 14 Cruz Roja Argentina Filial Plaza Huincul</v>
          </cell>
          <cell r="D219" t="str">
            <v>Neuquén</v>
          </cell>
          <cell r="E219" t="str">
            <v xml:space="preserve">Confluencia </v>
          </cell>
          <cell r="F219" t="str">
            <v>Plaza Huincul</v>
          </cell>
          <cell r="G219">
            <v>8318</v>
          </cell>
          <cell r="H219" t="str">
            <v>Privado</v>
          </cell>
          <cell r="I219" t="str">
            <v>Institución de ETP</v>
          </cell>
          <cell r="J219" t="str">
            <v>Avenida Cutral Co numero 13</v>
          </cell>
          <cell r="K219" t="str">
            <v>299-4592584   Fijo 4963185</v>
          </cell>
          <cell r="L219" t="str">
            <v>hurra@cruzroja.org.ar</v>
          </cell>
          <cell r="M219" t="str">
            <v>Urra Herminia</v>
          </cell>
          <cell r="N219" t="str">
            <v>Directora</v>
          </cell>
          <cell r="O219" t="str">
            <v>299 4592584-4592584   Fijo 4963185</v>
          </cell>
          <cell r="P219">
            <v>0</v>
          </cell>
          <cell r="Q219" t="str">
            <v xml:space="preserve">Urra Herminia </v>
          </cell>
          <cell r="R219" t="str">
            <v>Directora</v>
          </cell>
          <cell r="S219" t="str">
            <v>299-4592584</v>
          </cell>
          <cell r="T219" t="str">
            <v>hurra@cruzroja.org.ar</v>
          </cell>
          <cell r="U219">
            <v>2016</v>
          </cell>
          <cell r="V219" t="str">
            <v>-38.93081, -69.20344</v>
          </cell>
        </row>
        <row r="220">
          <cell r="B220">
            <v>620100300</v>
          </cell>
          <cell r="C220" t="str">
            <v>Instituto Sup. de Ciencias de la Salud y Gestión</v>
          </cell>
          <cell r="D220" t="str">
            <v>Rio Negro</v>
          </cell>
          <cell r="E220" t="str">
            <v>General Roca</v>
          </cell>
          <cell r="F220" t="str">
            <v>Gral.Roca</v>
          </cell>
          <cell r="G220">
            <v>8332</v>
          </cell>
          <cell r="H220" t="str">
            <v>Privado</v>
          </cell>
          <cell r="I220" t="str">
            <v>Institución de ETP</v>
          </cell>
          <cell r="J220" t="str">
            <v>rodhe 55</v>
          </cell>
          <cell r="K220" t="str">
            <v>298-4432918</v>
          </cell>
          <cell r="L220" t="str">
            <v>institutoissag@gmail.com</v>
          </cell>
          <cell r="M220" t="str">
            <v>Escalada Noemi</v>
          </cell>
          <cell r="N220" t="str">
            <v>Directora</v>
          </cell>
          <cell r="O220" t="str">
            <v>298-4432918</v>
          </cell>
          <cell r="P220" t="str">
            <v>gestion@issag.edu.ar</v>
          </cell>
          <cell r="Q220" t="str">
            <v>Silva Nelson</v>
          </cell>
          <cell r="R220" t="str">
            <v xml:space="preserve">Coordinador </v>
          </cell>
          <cell r="S220" t="str">
            <v>298-4883429</v>
          </cell>
          <cell r="T220" t="str">
            <v>issagenfermeriaac@gmail.com</v>
          </cell>
          <cell r="U220">
            <v>2021</v>
          </cell>
          <cell r="V220" t="str">
            <v>-39.030227908973565, -67.58881238162975</v>
          </cell>
        </row>
        <row r="221">
          <cell r="B221">
            <v>620100301</v>
          </cell>
          <cell r="C221" t="str">
            <v>Superior de Ciencias de la Salud y Gestión Anexo Bariloche</v>
          </cell>
          <cell r="D221" t="str">
            <v>Rio Negro</v>
          </cell>
          <cell r="E221" t="str">
            <v>Bariloche</v>
          </cell>
          <cell r="F221" t="str">
            <v>San Carlos de Bariloche</v>
          </cell>
          <cell r="G221">
            <v>8400</v>
          </cell>
          <cell r="H221" t="str">
            <v>Privado</v>
          </cell>
          <cell r="I221" t="str">
            <v>Institución de ETP</v>
          </cell>
          <cell r="J221" t="str">
            <v>Pje Gutierrez 843</v>
          </cell>
          <cell r="K221" t="str">
            <v>298-4122535</v>
          </cell>
          <cell r="L221" t="str">
            <v>institutoissagbariloche@gmail.com</v>
          </cell>
          <cell r="M221" t="str">
            <v>Escalada, Noemí</v>
          </cell>
          <cell r="N221" t="str">
            <v>Directora</v>
          </cell>
          <cell r="O221" t="str">
            <v>298-</v>
          </cell>
          <cell r="P221" t="str">
            <v>gestion@issag.edu.ar</v>
          </cell>
          <cell r="Q221" t="str">
            <v xml:space="preserve">Parada, Graciela </v>
          </cell>
          <cell r="R221" t="str">
            <v>Coordinadora</v>
          </cell>
          <cell r="S221" t="str">
            <v>294-4795095</v>
          </cell>
          <cell r="T221" t="str">
            <v>gracielaissag@gmail.com</v>
          </cell>
          <cell r="U221">
            <v>2021</v>
          </cell>
          <cell r="V221" t="str">
            <v>-41.15088958864368, -71.30501397544748</v>
          </cell>
        </row>
        <row r="222">
          <cell r="B222">
            <v>620100302</v>
          </cell>
          <cell r="C222" t="str">
            <v>Superior de Ciencias de la Salud y Gestión Anexo Villa Regina</v>
          </cell>
          <cell r="D222" t="str">
            <v>Rio Negro</v>
          </cell>
          <cell r="E222" t="str">
            <v>General Roca</v>
          </cell>
          <cell r="F222" t="str">
            <v>Villa Regina</v>
          </cell>
          <cell r="G222">
            <v>8336</v>
          </cell>
          <cell r="H222" t="str">
            <v>Privado</v>
          </cell>
          <cell r="I222" t="str">
            <v>Institución de ETP</v>
          </cell>
          <cell r="J222" t="str">
            <v xml:space="preserve">Mitre 953 </v>
          </cell>
          <cell r="K222" t="str">
            <v>298-4465972</v>
          </cell>
          <cell r="L222" t="str">
            <v>institutoissagvillaregina@gmail.com</v>
          </cell>
          <cell r="M222" t="str">
            <v xml:space="preserve">Noemi Escalada </v>
          </cell>
          <cell r="N222" t="str">
            <v>Directora</v>
          </cell>
          <cell r="O222" t="str">
            <v>298-4465972</v>
          </cell>
          <cell r="P222" t="str">
            <v xml:space="preserve">gestion@issag.edu.ar </v>
          </cell>
          <cell r="Q222" t="str">
            <v>Nelson Silva</v>
          </cell>
          <cell r="R222" t="str">
            <v>Coordinacion</v>
          </cell>
          <cell r="S222" t="str">
            <v>298-4 88-3429</v>
          </cell>
          <cell r="T222" t="str">
            <v xml:space="preserve">issagenfermeriac@gmail.com </v>
          </cell>
          <cell r="U222">
            <v>2021</v>
          </cell>
          <cell r="V222" t="str">
            <v>-39.100071379697226, -67.08834289240752</v>
          </cell>
        </row>
        <row r="223">
          <cell r="B223">
            <v>620100305</v>
          </cell>
          <cell r="C223" t="str">
            <v>Superior de Ciencias de la Salud y Gestión Anexo Cinco Saltos</v>
          </cell>
          <cell r="D223" t="str">
            <v>Rio Negro</v>
          </cell>
          <cell r="E223" t="str">
            <v>General Roca</v>
          </cell>
          <cell r="F223" t="str">
            <v>Cinco Saltos</v>
          </cell>
          <cell r="G223">
            <v>8303</v>
          </cell>
          <cell r="H223" t="str">
            <v>Privado</v>
          </cell>
          <cell r="I223" t="str">
            <v>Institución de ETP</v>
          </cell>
          <cell r="J223" t="str">
            <v>Rivadavia 461</v>
          </cell>
          <cell r="K223" t="str">
            <v>298-4874436</v>
          </cell>
          <cell r="L223" t="str">
            <v>institutoissagcincosaltos@gmail.com</v>
          </cell>
          <cell r="M223" t="str">
            <v>Escalada Noemi</v>
          </cell>
          <cell r="N223" t="str">
            <v>Directora</v>
          </cell>
          <cell r="O223" t="str">
            <v>298-4874436</v>
          </cell>
          <cell r="P223" t="str">
            <v xml:space="preserve">                           gestion@issag.edu.ar</v>
          </cell>
          <cell r="Q223" t="str">
            <v xml:space="preserve">          Silva Nelson</v>
          </cell>
          <cell r="R223" t="str">
            <v xml:space="preserve">         Coordinador</v>
          </cell>
          <cell r="S223" t="str">
            <v>298-4883429</v>
          </cell>
          <cell r="T223" t="str">
            <v>issagenfermeriac@gmail.com</v>
          </cell>
          <cell r="U223">
            <v>2021</v>
          </cell>
          <cell r="V223" t="str">
            <v>-38.83082394089486, -68.06160510164615</v>
          </cell>
        </row>
        <row r="224">
          <cell r="B224">
            <v>620100306</v>
          </cell>
          <cell r="C224" t="str">
            <v>Superior de Ciencias de la Salud y Gestión Anexo San Antonio Oeste</v>
          </cell>
          <cell r="D224" t="str">
            <v>Rio Negro</v>
          </cell>
          <cell r="E224" t="str">
            <v>San Antonio</v>
          </cell>
          <cell r="F224" t="str">
            <v>San Antonio Oeste</v>
          </cell>
          <cell r="G224">
            <v>8520</v>
          </cell>
          <cell r="H224" t="str">
            <v>Privado</v>
          </cell>
          <cell r="I224" t="str">
            <v>Institución de ETP</v>
          </cell>
          <cell r="J224" t="str">
            <v xml:space="preserve"> PABLO TORELLO</v>
          </cell>
          <cell r="K224" t="str">
            <v>2920-614029</v>
          </cell>
          <cell r="L224" t="str">
            <v>institutoissagsao@gmail.com</v>
          </cell>
          <cell r="M224" t="str">
            <v>Noemi Escalada</v>
          </cell>
          <cell r="N224" t="str">
            <v>Directora</v>
          </cell>
          <cell r="O224" t="str">
            <v>2984-614029</v>
          </cell>
          <cell r="P224" t="str">
            <v>gestion@issag.edu.ar</v>
          </cell>
          <cell r="Q224" t="str">
            <v>Nelson Silva</v>
          </cell>
          <cell r="R224" t="str">
            <v>Coordinador Enfermeria</v>
          </cell>
          <cell r="S224" t="str">
            <v>2984-883429</v>
          </cell>
          <cell r="T224" t="str">
            <v>issagenfermeriaac@gmail.com</v>
          </cell>
          <cell r="U224">
            <v>2021</v>
          </cell>
          <cell r="V224" t="str">
            <v>-40.73294220220488, -64.9529988386742</v>
          </cell>
        </row>
        <row r="225">
          <cell r="B225">
            <v>620100307</v>
          </cell>
          <cell r="C225" t="str">
            <v>Superior de Ciencias de la Salud y Gestión Anexo Viedma</v>
          </cell>
          <cell r="D225" t="str">
            <v>Rio Negro</v>
          </cell>
          <cell r="E225" t="str">
            <v>Adolfo Alsina</v>
          </cell>
          <cell r="F225" t="str">
            <v>Viedma</v>
          </cell>
          <cell r="G225">
            <v>8500</v>
          </cell>
          <cell r="H225" t="str">
            <v>Privado</v>
          </cell>
          <cell r="I225" t="str">
            <v>Institución de ETP</v>
          </cell>
          <cell r="J225" t="str">
            <v>Tucumán Nº 23</v>
          </cell>
          <cell r="K225" t="str">
            <v>2920-421517</v>
          </cell>
          <cell r="L225" t="str">
            <v>issagviedma@gmail.com</v>
          </cell>
          <cell r="M225" t="str">
            <v>Noemi Escalada</v>
          </cell>
          <cell r="N225" t="str">
            <v>Directora</v>
          </cell>
          <cell r="O225" t="str">
            <v>2984-421517</v>
          </cell>
          <cell r="P225" t="str">
            <v>gestion@issag.edu.ar</v>
          </cell>
          <cell r="Q225" t="str">
            <v>Nelson Silva</v>
          </cell>
          <cell r="R225" t="str">
            <v>Coordinador Enfermeria</v>
          </cell>
          <cell r="S225" t="str">
            <v>2984-883429</v>
          </cell>
          <cell r="T225">
            <v>0</v>
          </cell>
          <cell r="U225">
            <v>2021</v>
          </cell>
          <cell r="V225" t="str">
            <v>-40.8176070393477, -62.99396397882129</v>
          </cell>
        </row>
        <row r="226">
          <cell r="B226">
            <v>660057600</v>
          </cell>
          <cell r="C226" t="str">
            <v>Instituto de Educación Superior de Formación Docente Nº 6015</v>
          </cell>
          <cell r="D226" t="str">
            <v>Salta</v>
          </cell>
          <cell r="E226" t="str">
            <v>General José de San Martín</v>
          </cell>
          <cell r="F226" t="str">
            <v>Embarcacion</v>
          </cell>
          <cell r="G226">
            <v>4550</v>
          </cell>
          <cell r="H226" t="str">
            <v>Estatal</v>
          </cell>
          <cell r="I226" t="str">
            <v>Institución de Otro Nivel y/o Modalidad</v>
          </cell>
          <cell r="J226" t="str">
            <v>Hipolito Irigoyen y calle san luis</v>
          </cell>
          <cell r="K226" t="str">
            <v>3878-677011</v>
          </cell>
          <cell r="L226" t="str">
            <v>isfd_6015@hotmail.com</v>
          </cell>
          <cell r="M226" t="str">
            <v>Mariela Morales</v>
          </cell>
          <cell r="N226" t="str">
            <v>Coordinadora Institucional</v>
          </cell>
          <cell r="O226" t="str">
            <v>3878-677011</v>
          </cell>
          <cell r="P226" t="str">
            <v>marielammorales1@gmail.com</v>
          </cell>
          <cell r="Q226" t="str">
            <v>sin autoridad</v>
          </cell>
          <cell r="R226">
            <v>0</v>
          </cell>
          <cell r="S226" t="str">
            <v>-</v>
          </cell>
          <cell r="T226">
            <v>0</v>
          </cell>
          <cell r="U226">
            <v>2022</v>
          </cell>
          <cell r="V226" t="str">
            <v>-23.20834127699357, -64.09746600116667</v>
          </cell>
        </row>
        <row r="227">
          <cell r="B227">
            <v>660063300</v>
          </cell>
          <cell r="C227" t="str">
            <v xml:space="preserve"> Instituto Superior N° 8034 Cruz Roja Argentina Filial Salta</v>
          </cell>
          <cell r="D227" t="str">
            <v>Salta</v>
          </cell>
          <cell r="E227" t="str">
            <v>Capital</v>
          </cell>
          <cell r="F227" t="str">
            <v>Salta</v>
          </cell>
          <cell r="G227">
            <v>4400</v>
          </cell>
          <cell r="H227" t="str">
            <v>Privado</v>
          </cell>
          <cell r="I227" t="str">
            <v>Institución de ETP</v>
          </cell>
          <cell r="J227" t="str">
            <v>PAZ CHAIN N° 52</v>
          </cell>
          <cell r="K227" t="str">
            <v>387-4214433</v>
          </cell>
          <cell r="L227" t="str">
            <v>educa.salta@cruzroja.org.ar</v>
          </cell>
          <cell r="M227" t="str">
            <v>Dante A. Paz</v>
          </cell>
          <cell r="N227" t="str">
            <v>Rector</v>
          </cell>
          <cell r="O227" t="str">
            <v>387-4214433</v>
          </cell>
          <cell r="P227" t="str">
            <v>danteapaz@hotmail.com</v>
          </cell>
          <cell r="Q227" t="str">
            <v>Claudia Silvana Gutierrez</v>
          </cell>
          <cell r="R227" t="str">
            <v>Coordinadora</v>
          </cell>
          <cell r="S227" t="str">
            <v>387-5787564</v>
          </cell>
          <cell r="T227" t="str">
            <v>claudiasilvanag75@gmail.com</v>
          </cell>
          <cell r="U227">
            <v>2016</v>
          </cell>
          <cell r="V227" t="str">
            <v>-24.78212, -65.42319</v>
          </cell>
        </row>
        <row r="228">
          <cell r="B228">
            <v>660117400</v>
          </cell>
          <cell r="C228" t="str">
            <v>Inst. Sup. de Formación y Capacitacion Doctor Ramon Carrillo</v>
          </cell>
          <cell r="D228" t="str">
            <v>Salta</v>
          </cell>
          <cell r="E228" t="str">
            <v>Capital</v>
          </cell>
          <cell r="F228" t="str">
            <v>Salta</v>
          </cell>
          <cell r="G228">
            <v>4400</v>
          </cell>
          <cell r="H228" t="str">
            <v>Privado</v>
          </cell>
          <cell r="I228" t="str">
            <v>Institución de ETP</v>
          </cell>
          <cell r="J228" t="str">
            <v>Pasaje Zorrilla N° 253</v>
          </cell>
          <cell r="K228" t="str">
            <v>387 - 4318963</v>
          </cell>
          <cell r="M228" t="str">
            <v>Lic. Azucena Aguilar</v>
          </cell>
          <cell r="N228" t="str">
            <v>Rectora</v>
          </cell>
          <cell r="O228" t="str">
            <v>387-4872615</v>
          </cell>
          <cell r="P228" t="str">
            <v>azulstella25@hotmail.com</v>
          </cell>
          <cell r="Q228" t="str">
            <v xml:space="preserve">Prof. Daniel Ledesma </v>
          </cell>
          <cell r="R228" t="str">
            <v xml:space="preserve">Vicerrector </v>
          </cell>
          <cell r="S228" t="str">
            <v>387-4147606</v>
          </cell>
          <cell r="U228">
            <v>2021</v>
          </cell>
          <cell r="V228" t="str">
            <v>-24.78770737138161, -65.40636366190625</v>
          </cell>
        </row>
        <row r="229">
          <cell r="B229">
            <v>660117401</v>
          </cell>
          <cell r="C229" t="str">
            <v>Inst. Sup. de Formación y Capacitacion Doctor Ramón Carrillo - Anexo Tartagal</v>
          </cell>
          <cell r="D229" t="str">
            <v>Salta</v>
          </cell>
          <cell r="E229" t="str">
            <v>General José de San Martín</v>
          </cell>
          <cell r="F229" t="str">
            <v xml:space="preserve">Tartagal </v>
          </cell>
          <cell r="G229">
            <v>4560</v>
          </cell>
          <cell r="H229" t="str">
            <v>Privado</v>
          </cell>
          <cell r="I229" t="str">
            <v>Institución de ETP</v>
          </cell>
          <cell r="J229" t="str">
            <v>Coronel Vidt 22</v>
          </cell>
          <cell r="K229" t="str">
            <v>3873-423923</v>
          </cell>
          <cell r="L229">
            <v>0</v>
          </cell>
          <cell r="M229" t="str">
            <v xml:space="preserve">Luciana Carolina Medina </v>
          </cell>
          <cell r="N229" t="str">
            <v xml:space="preserve">Administrativo </v>
          </cell>
          <cell r="O229" t="str">
            <v>3873-423923</v>
          </cell>
          <cell r="P229" t="str">
            <v>luciimediina1922@gmail.com</v>
          </cell>
          <cell r="Q229" t="str">
            <v xml:space="preserve">Marta Salazar </v>
          </cell>
          <cell r="R229" t="str">
            <v xml:space="preserve">Coordinadora </v>
          </cell>
          <cell r="S229" t="str">
            <v>3873-439934</v>
          </cell>
          <cell r="T229" t="str">
            <v>institutotgal@gmail.com</v>
          </cell>
          <cell r="U229">
            <v>2021</v>
          </cell>
          <cell r="V229" t="str">
            <v>-22.521424193795834, -63.80051453411954</v>
          </cell>
        </row>
        <row r="230">
          <cell r="B230">
            <v>660117402</v>
          </cell>
          <cell r="C230" t="str">
            <v>Inst. Sup. de Formación y Capacitacion Doctor Ramón Carrillo - Anexo Rosario de Lerma</v>
          </cell>
          <cell r="D230" t="str">
            <v>Salta</v>
          </cell>
          <cell r="E230" t="str">
            <v xml:space="preserve">Rosario de Lerma </v>
          </cell>
          <cell r="F230" t="str">
            <v xml:space="preserve">Rosario de Lerma </v>
          </cell>
          <cell r="G230">
            <v>4405</v>
          </cell>
          <cell r="H230" t="str">
            <v>Privado</v>
          </cell>
          <cell r="I230" t="str">
            <v>Institución de ETP</v>
          </cell>
          <cell r="J230" t="str">
            <v>Av. San Martín 50</v>
          </cell>
          <cell r="K230" t="str">
            <v>-</v>
          </cell>
          <cell r="L230">
            <v>0</v>
          </cell>
          <cell r="M230" t="str">
            <v xml:space="preserve">Miguel Segovia </v>
          </cell>
          <cell r="N230" t="str">
            <v xml:space="preserve">Administrativo </v>
          </cell>
          <cell r="O230" t="str">
            <v>387-</v>
          </cell>
          <cell r="P230" t="str">
            <v>miguelsegovia50@gmail.com</v>
          </cell>
          <cell r="Q230" t="str">
            <v xml:space="preserve">Tomás Franco Tapia </v>
          </cell>
          <cell r="R230" t="str">
            <v xml:space="preserve">Coordinador </v>
          </cell>
          <cell r="S230" t="str">
            <v>387-5356099</v>
          </cell>
          <cell r="T230" t="str">
            <v>betarusotap@gmail.com</v>
          </cell>
          <cell r="U230">
            <v>2021</v>
          </cell>
          <cell r="V230" t="str">
            <v>-24.980051001909583, -65.58544706551679</v>
          </cell>
        </row>
        <row r="231">
          <cell r="B231">
            <v>660117403</v>
          </cell>
          <cell r="C231" t="str">
            <v>Inst. Sup. de Formación y Capacitacion Doctor Ramón Carrillo - Anexo Oran</v>
          </cell>
          <cell r="D231" t="str">
            <v>Salta</v>
          </cell>
          <cell r="E231" t="str">
            <v xml:space="preserve">Orán </v>
          </cell>
          <cell r="F231" t="str">
            <v xml:space="preserve">San Ramón de la Nueva Orán </v>
          </cell>
          <cell r="G231">
            <v>4530</v>
          </cell>
          <cell r="H231" t="str">
            <v>Privado</v>
          </cell>
          <cell r="I231" t="str">
            <v>Institución de ETP</v>
          </cell>
          <cell r="J231" t="str">
            <v xml:space="preserve">Belgrano 350 </v>
          </cell>
          <cell r="K231" t="str">
            <v>3878-422481</v>
          </cell>
          <cell r="L231">
            <v>0</v>
          </cell>
          <cell r="M231" t="str">
            <v xml:space="preserve">Fabiola Vanesa Aramayo </v>
          </cell>
          <cell r="N231" t="str">
            <v xml:space="preserve">Administrativa </v>
          </cell>
          <cell r="O231" t="str">
            <v>387-422481</v>
          </cell>
          <cell r="P231" t="str">
            <v>fabi3092@gmail.com</v>
          </cell>
          <cell r="Q231" t="str">
            <v xml:space="preserve">Fabiola Vanesa Aramayo </v>
          </cell>
          <cell r="R231" t="str">
            <v xml:space="preserve">Coordinadora </v>
          </cell>
          <cell r="S231" t="str">
            <v>387-5355655</v>
          </cell>
          <cell r="T231" t="str">
            <v>fabi3092@gmail.com</v>
          </cell>
          <cell r="U231">
            <v>2021</v>
          </cell>
          <cell r="V231" t="str">
            <v>-23.13845459952923, -64.31930834685663</v>
          </cell>
        </row>
        <row r="232">
          <cell r="B232">
            <v>660117404</v>
          </cell>
          <cell r="C232" t="str">
            <v>Inst. Sup. de Formación y Capacitacion Doctor Ramón Carrillo - Anexo Gral. Güemes</v>
          </cell>
          <cell r="D232" t="str">
            <v>Salta</v>
          </cell>
          <cell r="E232" t="str">
            <v>General Güemes</v>
          </cell>
          <cell r="F232" t="str">
            <v>General Güemes</v>
          </cell>
          <cell r="G232">
            <v>4430</v>
          </cell>
          <cell r="H232" t="str">
            <v>Privado</v>
          </cell>
          <cell r="I232" t="str">
            <v>Institución de ETP</v>
          </cell>
          <cell r="J232" t="str">
            <v xml:space="preserve">Corriente y Rafael Obligado </v>
          </cell>
          <cell r="K232" t="str">
            <v>-</v>
          </cell>
          <cell r="L232">
            <v>0</v>
          </cell>
          <cell r="M232" t="str">
            <v xml:space="preserve">Adela Agustina Martinez Cachi </v>
          </cell>
          <cell r="N232" t="str">
            <v xml:space="preserve">Administrativa </v>
          </cell>
          <cell r="O232" t="str">
            <v>387-</v>
          </cell>
          <cell r="P232" t="str">
            <v>agustina_ariana_1991@hotmail.com.ar</v>
          </cell>
          <cell r="Q232" t="str">
            <v>Miriam Raquel Temer</v>
          </cell>
          <cell r="R232" t="str">
            <v xml:space="preserve">Coordinadora </v>
          </cell>
          <cell r="S232" t="str">
            <v>387-4691256</v>
          </cell>
          <cell r="T232" t="str">
            <v>miriamtemer@gmail.com</v>
          </cell>
          <cell r="U232">
            <v>2021</v>
          </cell>
          <cell r="V232" t="str">
            <v>-24.66716491786824, -65.05105838780584</v>
          </cell>
        </row>
        <row r="233">
          <cell r="B233">
            <v>660117405</v>
          </cell>
          <cell r="C233" t="str">
            <v>Inst. Sup. de Formación y Capacitacion Doctor Ramón Carrillo - Anexo Joaquín V. González</v>
          </cell>
          <cell r="D233" t="str">
            <v>Salta</v>
          </cell>
          <cell r="E233" t="str">
            <v>Anta</v>
          </cell>
          <cell r="F233" t="str">
            <v xml:space="preserve">Joaquin V. Gonzalez </v>
          </cell>
          <cell r="G233">
            <v>4448</v>
          </cell>
          <cell r="H233" t="str">
            <v>Privado</v>
          </cell>
          <cell r="I233" t="str">
            <v>Institución de ETP</v>
          </cell>
          <cell r="J233" t="str">
            <v>1° de Mayo N° 843</v>
          </cell>
          <cell r="K233" t="str">
            <v>3877-436746</v>
          </cell>
          <cell r="L233">
            <v>0</v>
          </cell>
          <cell r="M233" t="str">
            <v xml:space="preserve">Lic. Azucena Aguilar </v>
          </cell>
          <cell r="N233" t="str">
            <v>Rectora</v>
          </cell>
          <cell r="O233" t="str">
            <v>387-436746</v>
          </cell>
          <cell r="P233" t="str">
            <v>azulstella25@hotmail.com</v>
          </cell>
          <cell r="Q233" t="str">
            <v xml:space="preserve">Prof. Daniel Ledesma </v>
          </cell>
          <cell r="R233" t="str">
            <v xml:space="preserve">Vicerrector </v>
          </cell>
          <cell r="S233" t="str">
            <v>387-4147606</v>
          </cell>
          <cell r="T233" t="str">
            <v>dani-leds32@hotmail.com.ar</v>
          </cell>
          <cell r="U233">
            <v>2021</v>
          </cell>
          <cell r="V233" t="str">
            <v>-25.11757125726951, -64.12967874247634</v>
          </cell>
        </row>
        <row r="234">
          <cell r="B234">
            <v>660117408</v>
          </cell>
          <cell r="C234" t="str">
            <v>Inst. Sup. de Formación y Capacitacion Doctor Ramón Carrillo - Anexo El Carril</v>
          </cell>
          <cell r="D234" t="str">
            <v>Salta</v>
          </cell>
          <cell r="E234" t="str">
            <v>Chicoana</v>
          </cell>
          <cell r="F234" t="str">
            <v xml:space="preserve">El Carril </v>
          </cell>
          <cell r="G234">
            <v>4421</v>
          </cell>
          <cell r="H234" t="str">
            <v>Privado</v>
          </cell>
          <cell r="I234" t="str">
            <v>Institución de ETP</v>
          </cell>
          <cell r="J234" t="str">
            <v>Av. Sarmiento S/N</v>
          </cell>
          <cell r="K234" t="str">
            <v>-</v>
          </cell>
          <cell r="L234">
            <v>0</v>
          </cell>
          <cell r="M234" t="str">
            <v xml:space="preserve">Miguel Segovia </v>
          </cell>
          <cell r="N234" t="str">
            <v xml:space="preserve">Administrativo </v>
          </cell>
          <cell r="O234" t="str">
            <v>387-</v>
          </cell>
          <cell r="P234" t="str">
            <v>miguelsegovia50@gmail.com</v>
          </cell>
          <cell r="Q234" t="str">
            <v>Felix Faustino Rios</v>
          </cell>
          <cell r="R234" t="str">
            <v>Coordinador</v>
          </cell>
          <cell r="S234" t="str">
            <v>387-4203510</v>
          </cell>
          <cell r="T234">
            <v>0</v>
          </cell>
          <cell r="U234">
            <v>2021</v>
          </cell>
          <cell r="V234" t="str">
            <v>-25.074713985132973, -65.49374929458546</v>
          </cell>
        </row>
        <row r="235">
          <cell r="B235">
            <v>660117410</v>
          </cell>
          <cell r="C235" t="str">
            <v>Inst. Sup. de Formación y Capacitacion Doctor Ramón Carrillo - Anexo Rosario de la Frontera</v>
          </cell>
          <cell r="D235" t="str">
            <v>Salta</v>
          </cell>
          <cell r="E235" t="str">
            <v xml:space="preserve">Rosario de la Frontera </v>
          </cell>
          <cell r="F235" t="str">
            <v xml:space="preserve">Rosario de la Frontera </v>
          </cell>
          <cell r="G235">
            <v>4190</v>
          </cell>
          <cell r="H235" t="str">
            <v>Privado</v>
          </cell>
          <cell r="I235" t="str">
            <v>Institución de ETP</v>
          </cell>
          <cell r="J235" t="str">
            <v xml:space="preserve">Tucumán y 9 de Julio </v>
          </cell>
          <cell r="K235" t="str">
            <v>3876-482344</v>
          </cell>
          <cell r="L235">
            <v>0</v>
          </cell>
          <cell r="M235" t="str">
            <v xml:space="preserve">Gabriela Alejandra Humacata </v>
          </cell>
          <cell r="N235" t="str">
            <v xml:space="preserve">Administrativa </v>
          </cell>
          <cell r="O235" t="str">
            <v>3876-482344</v>
          </cell>
          <cell r="P235" t="str">
            <v>hgaby05@hotmail.com</v>
          </cell>
          <cell r="Q235" t="str">
            <v>Mirta Orellana</v>
          </cell>
          <cell r="R235" t="str">
            <v>Coordinadora del Instituto</v>
          </cell>
          <cell r="S235" t="str">
            <v>3876-407754</v>
          </cell>
          <cell r="T235" t="str">
            <v>mirtaorellana11@hotmail.com</v>
          </cell>
          <cell r="U235">
            <v>2021</v>
          </cell>
          <cell r="V235" t="str">
            <v>-25.790940800901748, -64.96508490485631</v>
          </cell>
        </row>
        <row r="236">
          <cell r="B236">
            <v>660150700</v>
          </cell>
          <cell r="C236" t="str">
            <v xml:space="preserve">Instituto de Educación Superior (I.E.S.) Nº 6047 </v>
          </cell>
          <cell r="D236" t="str">
            <v>Salta</v>
          </cell>
          <cell r="E236" t="str">
            <v>Cachi</v>
          </cell>
          <cell r="F236" t="str">
            <v>Cachi</v>
          </cell>
          <cell r="G236">
            <v>4417</v>
          </cell>
          <cell r="H236" t="str">
            <v>Estatal</v>
          </cell>
          <cell r="I236" t="str">
            <v>Institución de ETP</v>
          </cell>
          <cell r="J236" t="str">
            <v>SARMIENTO</v>
          </cell>
          <cell r="K236" t="str">
            <v>387-491377</v>
          </cell>
          <cell r="L236" t="str">
            <v>ies6047cachi@gmail.com</v>
          </cell>
          <cell r="M236" t="str">
            <v>LUIS REINALDO COLQUE</v>
          </cell>
          <cell r="N236" t="str">
            <v>RECTOR</v>
          </cell>
          <cell r="O236" t="str">
            <v>387-491377</v>
          </cell>
          <cell r="P236" t="str">
            <v>luisreinaldocolque@gmail.com</v>
          </cell>
          <cell r="Q236" t="str">
            <v>MIGUEL ANGEL PLAZA</v>
          </cell>
          <cell r="R236" t="str">
            <v>DOCENTE</v>
          </cell>
          <cell r="S236" t="str">
            <v>3868-457125</v>
          </cell>
          <cell r="T236" t="str">
            <v>miguelplazacachi@gmail.com</v>
          </cell>
          <cell r="U236">
            <v>2022</v>
          </cell>
          <cell r="V236" t="str">
            <v>-25.120328241500395, -66.16537919069776</v>
          </cell>
        </row>
        <row r="237">
          <cell r="B237">
            <v>820033500</v>
          </cell>
          <cell r="C237" t="str">
            <v>Instituto de Educación Superior de Formación Docente y Técnica (I.S.F.D.yT.) Nº 20 Senador Néstor Juan Zamaro</v>
          </cell>
          <cell r="D237" t="str">
            <v>Santa Fe</v>
          </cell>
          <cell r="E237" t="str">
            <v>San Justo</v>
          </cell>
          <cell r="F237" t="str">
            <v>San Justo</v>
          </cell>
          <cell r="G237">
            <v>3040</v>
          </cell>
          <cell r="H237" t="str">
            <v>Estatal</v>
          </cell>
          <cell r="I237" t="str">
            <v>Institución de Otro Nivel y/o Modalidad</v>
          </cell>
          <cell r="J237" t="str">
            <v>Bv. Patria Nº 2702 . Barrio La Florida</v>
          </cell>
          <cell r="K237" t="str">
            <v>3498-526026</v>
          </cell>
          <cell r="L237" t="str">
            <v>superior20_sanjusto@santafe.edu.ar</v>
          </cell>
          <cell r="M237" t="str">
            <v>MARÍA DANIELA RENTERÍA POZZATO</v>
          </cell>
          <cell r="N237" t="str">
            <v>DIRECTORA</v>
          </cell>
          <cell r="O237" t="str">
            <v>3498-526026</v>
          </cell>
          <cell r="P237" t="str">
            <v>renteriamariadaniela@gmail.com</v>
          </cell>
          <cell r="Q237" t="str">
            <v>Dr. Jorge Roberto Bogni</v>
          </cell>
          <cell r="R237" t="str">
            <v xml:space="preserve">Coordinador </v>
          </cell>
          <cell r="S237" t="str">
            <v>3498-478804</v>
          </cell>
          <cell r="T237" t="str">
            <v>jorgebogni@gmail,com</v>
          </cell>
          <cell r="U237">
            <v>2022</v>
          </cell>
          <cell r="V237" t="str">
            <v>-30.77708178254247, -60.59301303104486</v>
          </cell>
        </row>
        <row r="238">
          <cell r="B238">
            <v>820061900</v>
          </cell>
          <cell r="C238" t="str">
            <v>I.S.P.I N.º 9246 “Fundación Hospital Oliveros”</v>
          </cell>
          <cell r="D238" t="str">
            <v>Santa Fe</v>
          </cell>
          <cell r="E238" t="str">
            <v>Iriondo</v>
          </cell>
          <cell r="F238" t="str">
            <v xml:space="preserve">Oliveros </v>
          </cell>
          <cell r="G238">
            <v>2206</v>
          </cell>
          <cell r="H238" t="str">
            <v>Privado</v>
          </cell>
          <cell r="I238" t="str">
            <v>Institución de ETP</v>
          </cell>
          <cell r="J238" t="str">
            <v>Rioja</v>
          </cell>
          <cell r="K238" t="str">
            <v>3476-498282</v>
          </cell>
          <cell r="L238" t="str">
            <v>ispifholiveros@ispioliveros.com.ar</v>
          </cell>
          <cell r="M238" t="str">
            <v>Anabel Albelo</v>
          </cell>
          <cell r="N238" t="str">
            <v>directora</v>
          </cell>
          <cell r="O238" t="str">
            <v>3476-498282</v>
          </cell>
          <cell r="P238" t="str">
            <v>nabe-74@hotmail.com.ar</v>
          </cell>
          <cell r="Q238" t="str">
            <v>Perez Belinda</v>
          </cell>
          <cell r="R238" t="str">
            <v>Coordinadora docente</v>
          </cell>
          <cell r="S238" t="str">
            <v>3476-628123</v>
          </cell>
          <cell r="T238" t="str">
            <v>belindaperez@ispioliveros.com.ar</v>
          </cell>
          <cell r="U238">
            <v>2021</v>
          </cell>
          <cell r="V238" t="str">
            <v>-32.57437892305788, -60.849920668972096</v>
          </cell>
        </row>
        <row r="239">
          <cell r="B239">
            <v>820061901</v>
          </cell>
          <cell r="C239" t="str">
            <v>I.S.P.I N.º 9246 “Fundación Hospital Oliveros” Anexo Rosario</v>
          </cell>
          <cell r="D239" t="str">
            <v>Santa Fe</v>
          </cell>
          <cell r="E239" t="str">
            <v>Rosario</v>
          </cell>
          <cell r="F239" t="str">
            <v>Rosario</v>
          </cell>
          <cell r="G239">
            <v>2000</v>
          </cell>
          <cell r="H239" t="str">
            <v>Privado</v>
          </cell>
          <cell r="I239" t="str">
            <v>Institución de ETP</v>
          </cell>
          <cell r="J239" t="str">
            <v>Suipacha 888</v>
          </cell>
          <cell r="K239" t="str">
            <v>341-4306030</v>
          </cell>
          <cell r="L239" t="str">
            <v>ispifholiveros@ispioliveros.com.ar</v>
          </cell>
          <cell r="M239" t="str">
            <v>Anabel Albelo</v>
          </cell>
          <cell r="N239" t="str">
            <v>Directora</v>
          </cell>
          <cell r="O239" t="str">
            <v>3476-4306030</v>
          </cell>
          <cell r="P239" t="str">
            <v>nabe-74@hotmail.com.ar</v>
          </cell>
          <cell r="Q239" t="str">
            <v>Anabel Albelo</v>
          </cell>
          <cell r="R239" t="str">
            <v>Coordinadora/Docente</v>
          </cell>
          <cell r="S239" t="str">
            <v>3476-358198</v>
          </cell>
          <cell r="T239" t="str">
            <v>nabe-74@hotmail.com.ar</v>
          </cell>
          <cell r="U239">
            <v>2021</v>
          </cell>
          <cell r="V239" t="str">
            <v>-32.94240146111652, -60.66442097493125</v>
          </cell>
        </row>
        <row r="240">
          <cell r="B240">
            <v>820104900</v>
          </cell>
          <cell r="C240" t="str">
            <v xml:space="preserve"> Instituto de Educación Superior Particular Incorporada (I.S.P.I.) N° 4026 "Santisima Virgen Niña"</v>
          </cell>
          <cell r="D240" t="str">
            <v>Santa Fe</v>
          </cell>
          <cell r="E240" t="str">
            <v>Gral. Obligado</v>
          </cell>
          <cell r="F240" t="str">
            <v>Villa Ocampo</v>
          </cell>
          <cell r="G240">
            <v>3580</v>
          </cell>
          <cell r="H240" t="str">
            <v>Privado</v>
          </cell>
          <cell r="I240" t="str">
            <v>Institución de Otro Nivel y/o Modalidad</v>
          </cell>
          <cell r="J240" t="str">
            <v>Fray Luis Beltrán 1523</v>
          </cell>
          <cell r="K240" t="str">
            <v>-03482-466663</v>
          </cell>
          <cell r="L240" t="str">
            <v>ispi4026@gmail.com</v>
          </cell>
          <cell r="M240">
            <v>0</v>
          </cell>
          <cell r="N240">
            <v>0</v>
          </cell>
          <cell r="O240" t="str">
            <v>-03482-466663</v>
          </cell>
          <cell r="P240">
            <v>0</v>
          </cell>
          <cell r="Q240" t="str">
            <v>LEIVA, Silvana Mariela</v>
          </cell>
          <cell r="R240" t="str">
            <v>Directora</v>
          </cell>
          <cell r="S240" t="str">
            <v>3482-641553-641553</v>
          </cell>
          <cell r="T240" t="str">
            <v>silmale76@gmail.com</v>
          </cell>
          <cell r="U240">
            <v>2020</v>
          </cell>
          <cell r="V240" t="str">
            <v>-28.488355973588558, -59.355355785552675</v>
          </cell>
        </row>
        <row r="241">
          <cell r="B241">
            <v>820188400</v>
          </cell>
          <cell r="C241" t="str">
            <v>Instituto de Educación Superior Particular Incorporada (I.S.P.I.) N° 9195 Cruz Roja Argentina</v>
          </cell>
          <cell r="D241" t="str">
            <v>Santa Fe</v>
          </cell>
          <cell r="E241" t="str">
            <v>La Capital</v>
          </cell>
          <cell r="F241" t="str">
            <v>Santa Fe</v>
          </cell>
          <cell r="G241">
            <v>3000</v>
          </cell>
          <cell r="H241" t="str">
            <v>Privado</v>
          </cell>
          <cell r="I241" t="str">
            <v>Institución de ETP</v>
          </cell>
          <cell r="J241" t="str">
            <v>Cruz Roja Argentina 1963</v>
          </cell>
          <cell r="K241" t="str">
            <v>342-4525224</v>
          </cell>
          <cell r="L241" t="str">
            <v>superior9195_santafe@santafe.edu.ar</v>
          </cell>
          <cell r="M241" t="str">
            <v>Emilio Traverso</v>
          </cell>
          <cell r="N241" t="str">
            <v>Representante Legal</v>
          </cell>
          <cell r="O241" t="str">
            <v>342-4525224</v>
          </cell>
          <cell r="P241" t="str">
            <v>emiliotraverso@hotmail.com</v>
          </cell>
          <cell r="Q241" t="str">
            <v>Eduardo Gabriel Gonzalez</v>
          </cell>
          <cell r="R241" t="str">
            <v>Rector</v>
          </cell>
          <cell r="S241" t="str">
            <v>342-4868783</v>
          </cell>
          <cell r="T241" t="str">
            <v>ggonzalez@cruzroja.org.ar</v>
          </cell>
          <cell r="U241">
            <v>2016</v>
          </cell>
          <cell r="V241" t="str">
            <v>-31.62190357816558, -60.70316378570686</v>
          </cell>
        </row>
        <row r="242">
          <cell r="B242">
            <v>820188401</v>
          </cell>
          <cell r="C242" t="str">
            <v>Instituto de Educación Superior Particular Incorporada (I.S.P.I.) N° 9195 Cruz Roja Argentina - Anexo</v>
          </cell>
          <cell r="D242" t="str">
            <v>Santa Fe</v>
          </cell>
          <cell r="E242" t="str">
            <v>Las Colonias</v>
          </cell>
          <cell r="F242" t="str">
            <v>Esperanza</v>
          </cell>
          <cell r="G242">
            <v>3080</v>
          </cell>
          <cell r="H242" t="str">
            <v>Privado</v>
          </cell>
          <cell r="I242" t="str">
            <v>Institución de ETP</v>
          </cell>
          <cell r="J242" t="str">
            <v>Catelli 1524</v>
          </cell>
          <cell r="K242" t="str">
            <v>3496-548451 / 03496-424668</v>
          </cell>
          <cell r="L242" t="str">
            <v>ispi9195@gmail.com</v>
          </cell>
          <cell r="M242" t="str">
            <v>Molina, mariela Susana</v>
          </cell>
          <cell r="N242" t="str">
            <v>Vicerrectora</v>
          </cell>
          <cell r="O242" t="str">
            <v>3496-548451 / 03496-424668</v>
          </cell>
          <cell r="P242" t="str">
            <v>marielamolina9@gmail.com</v>
          </cell>
          <cell r="Q242">
            <v>0</v>
          </cell>
          <cell r="R242">
            <v>0</v>
          </cell>
          <cell r="S242" t="str">
            <v>-</v>
          </cell>
          <cell r="T242">
            <v>0</v>
          </cell>
          <cell r="U242">
            <v>2016</v>
          </cell>
          <cell r="V242" t="str">
            <v>-31.452048647237692, -60.92759573176076</v>
          </cell>
        </row>
        <row r="243">
          <cell r="B243">
            <v>820188402</v>
          </cell>
          <cell r="C243" t="str">
            <v>Instituto de Educación Superior Particular Incorporada (I.S.P.I.) Cruz Roja Argentina - Anexo</v>
          </cell>
          <cell r="D243" t="str">
            <v>Santa Fe</v>
          </cell>
          <cell r="E243" t="str">
            <v>San Cristóbal</v>
          </cell>
          <cell r="F243" t="str">
            <v>San Cristóbal</v>
          </cell>
          <cell r="G243">
            <v>3070</v>
          </cell>
          <cell r="H243" t="str">
            <v>Privado</v>
          </cell>
          <cell r="I243" t="str">
            <v>Institución de ETP</v>
          </cell>
          <cell r="J243" t="str">
            <v>Maipú 894</v>
          </cell>
          <cell r="K243" t="str">
            <v>3408-420392</v>
          </cell>
          <cell r="L243" t="str">
            <v>ispi9195crasancristobal@gmail.com</v>
          </cell>
          <cell r="M243" t="str">
            <v>Javier Marcelo Bergesio</v>
          </cell>
          <cell r="N243" t="str">
            <v>Vicerrector</v>
          </cell>
          <cell r="O243" t="str">
            <v>342-420392</v>
          </cell>
          <cell r="P243" t="str">
            <v>javierbergesio@hotmail.com</v>
          </cell>
          <cell r="Q243">
            <v>0</v>
          </cell>
          <cell r="R243">
            <v>0</v>
          </cell>
          <cell r="S243" t="str">
            <v>-</v>
          </cell>
          <cell r="T243">
            <v>0</v>
          </cell>
          <cell r="U243">
            <v>2016</v>
          </cell>
          <cell r="V243" t="str">
            <v>-30.30994622229185, -61.235637321794826</v>
          </cell>
        </row>
        <row r="244">
          <cell r="B244">
            <v>820208400</v>
          </cell>
          <cell r="C244" t="str">
            <v>Instituto de Educación Superior del Profesorado (I.S.P.) Nº 09 Profesor José María Scalenghe</v>
          </cell>
          <cell r="D244" t="str">
            <v>Santa Fe</v>
          </cell>
          <cell r="E244" t="str">
            <v>Nueve de julio</v>
          </cell>
          <cell r="F244" t="str">
            <v>Tostado</v>
          </cell>
          <cell r="G244">
            <v>3060</v>
          </cell>
          <cell r="H244" t="str">
            <v>Estatal</v>
          </cell>
          <cell r="I244" t="str">
            <v>Institución de Otro Nivel y/o Modalidad</v>
          </cell>
          <cell r="J244" t="str">
            <v>JULIO A. ROCA y TUCUMÁN</v>
          </cell>
          <cell r="K244" t="str">
            <v>3491-471747</v>
          </cell>
          <cell r="L244" t="str">
            <v>institutojms009@gmail.com</v>
          </cell>
          <cell r="M244" t="str">
            <v>Susana Nanci Rodríguez</v>
          </cell>
          <cell r="N244" t="str">
            <v>Directora</v>
          </cell>
          <cell r="O244" t="str">
            <v>3491-471747</v>
          </cell>
          <cell r="P244" t="str">
            <v>susinrod@yahoo.com.ar</v>
          </cell>
          <cell r="Q244" t="str">
            <v>Danisa Amaya</v>
          </cell>
          <cell r="R244" t="str">
            <v>Coordinadora de estudios</v>
          </cell>
          <cell r="S244" t="str">
            <v>3491-419190</v>
          </cell>
          <cell r="T244" t="str">
            <v>amayadanisa@hotmail.com</v>
          </cell>
          <cell r="U244">
            <v>2022</v>
          </cell>
          <cell r="V244" t="str">
            <v>-29.23255547066417, -61.76316954457789</v>
          </cell>
        </row>
        <row r="245">
          <cell r="B245">
            <v>820240200</v>
          </cell>
          <cell r="C245" t="str">
            <v>Colegio Superior N° 50 General José de San Martín</v>
          </cell>
          <cell r="D245" t="str">
            <v>Santa Fe</v>
          </cell>
          <cell r="E245" t="str">
            <v>General López</v>
          </cell>
          <cell r="F245" t="str">
            <v>Rufino</v>
          </cell>
          <cell r="G245">
            <v>6100</v>
          </cell>
          <cell r="H245" t="str">
            <v>Estatal</v>
          </cell>
          <cell r="I245" t="str">
            <v>Institución de Otro Nivel y/o Modalidad</v>
          </cell>
          <cell r="J245" t="str">
            <v>Intendente Ferrari 480</v>
          </cell>
          <cell r="K245" t="str">
            <v>3382-428570</v>
          </cell>
          <cell r="L245" t="str">
            <v>nivel_terciario@superior50.com.ar</v>
          </cell>
          <cell r="M245">
            <v>0</v>
          </cell>
          <cell r="N245" t="str">
            <v>Rectora</v>
          </cell>
          <cell r="O245" t="str">
            <v>3382-428570</v>
          </cell>
          <cell r="P245" t="str">
            <v xml:space="preserve">hmsdelsur@gmail.com </v>
          </cell>
          <cell r="Q245" t="str">
            <v>Gloria Sedda</v>
          </cell>
          <cell r="R245" t="str">
            <v>Regente</v>
          </cell>
          <cell r="S245" t="str">
            <v>3382-466087</v>
          </cell>
          <cell r="T245">
            <v>0</v>
          </cell>
          <cell r="U245">
            <v>2016</v>
          </cell>
          <cell r="V245" t="str">
            <v>-34.26323, -62.71282</v>
          </cell>
        </row>
        <row r="246">
          <cell r="B246">
            <v>820250700</v>
          </cell>
          <cell r="C246" t="str">
            <v>Instituto de Educación Superior Particular Incorporada (I.S.P.I.) N° 9193 Cruz Roja Argentina - Filial Rosario</v>
          </cell>
          <cell r="D246" t="str">
            <v>Santa Fe</v>
          </cell>
          <cell r="E246" t="str">
            <v>Rosario</v>
          </cell>
          <cell r="F246" t="str">
            <v>Rosario</v>
          </cell>
          <cell r="G246">
            <v>2000</v>
          </cell>
          <cell r="H246" t="str">
            <v>Privado</v>
          </cell>
          <cell r="I246" t="str">
            <v>Institución de ETP</v>
          </cell>
          <cell r="J246" t="str">
            <v>Laprida 1553</v>
          </cell>
          <cell r="K246" t="str">
            <v>341-4261428</v>
          </cell>
          <cell r="L246" t="str">
            <v>educa.rosario@cruzroja.org.ar</v>
          </cell>
          <cell r="M246" t="str">
            <v>Morrone Eguia, Adrian Pedro</v>
          </cell>
          <cell r="N246" t="str">
            <v>Representante Legal</v>
          </cell>
          <cell r="O246" t="str">
            <v>341-4261428</v>
          </cell>
          <cell r="P246" t="str">
            <v>9193.rl@gmail.com</v>
          </cell>
          <cell r="Q246" t="str">
            <v xml:space="preserve">Lic. Marcela Alfonso </v>
          </cell>
          <cell r="R246" t="str">
            <v>Rectora</v>
          </cell>
          <cell r="S246" t="str">
            <v>341-2717936</v>
          </cell>
          <cell r="T246" t="str">
            <v>malfonso@cruzroja.org.ar</v>
          </cell>
          <cell r="U246">
            <v>2016</v>
          </cell>
          <cell r="V246" t="str">
            <v>-32.9587, -60.69304</v>
          </cell>
        </row>
        <row r="247">
          <cell r="B247">
            <v>820252400</v>
          </cell>
          <cell r="C247" t="str">
            <v>ISET N° 57</v>
          </cell>
          <cell r="D247" t="str">
            <v>Santa Fe</v>
          </cell>
          <cell r="E247" t="str">
            <v>Rosario</v>
          </cell>
          <cell r="F247" t="str">
            <v>Rosario</v>
          </cell>
          <cell r="G247">
            <v>2000</v>
          </cell>
          <cell r="H247" t="str">
            <v>Estatal</v>
          </cell>
          <cell r="I247" t="str">
            <v>Institución de ETP</v>
          </cell>
          <cell r="J247" t="str">
            <v>NECOCHEA 1339</v>
          </cell>
          <cell r="K247" t="str">
            <v>341-4720470</v>
          </cell>
          <cell r="L247" t="str">
            <v>iset57@gmail.com</v>
          </cell>
          <cell r="M247" t="str">
            <v>Carlos Alberto Boffa</v>
          </cell>
          <cell r="N247" t="str">
            <v>Director</v>
          </cell>
          <cell r="O247" t="str">
            <v>341-4720470</v>
          </cell>
          <cell r="P247" t="str">
            <v xml:space="preserve">carlosboffa@hotmail.com </v>
          </cell>
          <cell r="Q247" t="str">
            <v>Carlos Alberto Boffa</v>
          </cell>
          <cell r="R247" t="str">
            <v>Director</v>
          </cell>
          <cell r="S247" t="str">
            <v>341-3364518</v>
          </cell>
          <cell r="T247" t="str">
            <v xml:space="preserve">carlosboffa@hotmail.com </v>
          </cell>
          <cell r="U247">
            <v>2016</v>
          </cell>
          <cell r="V247" t="str">
            <v>-32.9587, -60.69304</v>
          </cell>
        </row>
        <row r="248">
          <cell r="B248">
            <v>820375600</v>
          </cell>
          <cell r="C248" t="str">
            <v>Instituto Superior de Profesorado N° 02 Dr. Joaquín V. González</v>
          </cell>
          <cell r="D248" t="str">
            <v>Santa Fe</v>
          </cell>
          <cell r="E248" t="str">
            <v>Castellanos</v>
          </cell>
          <cell r="F248" t="str">
            <v>Rafaela</v>
          </cell>
          <cell r="G248">
            <v>2300</v>
          </cell>
          <cell r="H248" t="str">
            <v>Estatal</v>
          </cell>
          <cell r="I248" t="str">
            <v>Institución de Otro Nivel y/o Modalidad</v>
          </cell>
          <cell r="J248" t="str">
            <v>Mariano Vera 548</v>
          </cell>
          <cell r="K248" t="str">
            <v>3492-432441</v>
          </cell>
          <cell r="L248" t="str">
            <v>secretaria@isp2rafaela.edu.ar</v>
          </cell>
          <cell r="M248" t="str">
            <v>Laura H. Culzoni</v>
          </cell>
          <cell r="N248" t="str">
            <v>Directora</v>
          </cell>
          <cell r="O248" t="str">
            <v>3492-432441</v>
          </cell>
          <cell r="P248" t="str">
            <v>culzonilaura@gmail.com</v>
          </cell>
          <cell r="Q248" t="str">
            <v>Juan Pablo Dalmazzo</v>
          </cell>
          <cell r="R248" t="str">
            <v>Regente</v>
          </cell>
          <cell r="S248" t="str">
            <v>3492-677407</v>
          </cell>
          <cell r="T248" t="str">
            <v>juanpblo1974@gmail.com</v>
          </cell>
          <cell r="U248">
            <v>2022</v>
          </cell>
          <cell r="V248" t="str">
            <v>-31.26205909194863, -61.4976954963746</v>
          </cell>
        </row>
        <row r="249">
          <cell r="B249">
            <v>820381400</v>
          </cell>
          <cell r="C249" t="str">
            <v>Instituto de Educación Superior Particular Incorporada (I.S.P.I.) N° 9203 Cruz Roja Argentina</v>
          </cell>
          <cell r="D249" t="str">
            <v>Santa Fe</v>
          </cell>
          <cell r="E249" t="str">
            <v>Caseros</v>
          </cell>
          <cell r="F249" t="str">
            <v>Casilda</v>
          </cell>
          <cell r="G249">
            <v>2170</v>
          </cell>
          <cell r="H249" t="str">
            <v>Privado</v>
          </cell>
          <cell r="I249" t="str">
            <v>Institución de ETP</v>
          </cell>
          <cell r="J249" t="str">
            <v>España 1983</v>
          </cell>
          <cell r="K249" t="str">
            <v>3464-421103</v>
          </cell>
          <cell r="L249" t="str">
            <v>educa.casilda@cruzroja.org.ar</v>
          </cell>
          <cell r="M249" t="str">
            <v>Marcela Alejandra Zallocco</v>
          </cell>
          <cell r="N249" t="str">
            <v>Rectora</v>
          </cell>
          <cell r="O249" t="str">
            <v>3464-421103</v>
          </cell>
          <cell r="P249" t="str">
            <v xml:space="preserve">marcezallocco@gmail.com </v>
          </cell>
          <cell r="Q249" t="str">
            <v>Ispani María Teresita</v>
          </cell>
          <cell r="R249" t="str">
            <v>Docente</v>
          </cell>
          <cell r="S249" t="str">
            <v>3464-680652</v>
          </cell>
          <cell r="T249" t="str">
            <v>tereispani@hotmail.com</v>
          </cell>
          <cell r="U249">
            <v>2016</v>
          </cell>
          <cell r="V249" t="str">
            <v>-33.04452, -61.16502</v>
          </cell>
        </row>
        <row r="250">
          <cell r="B250">
            <v>820382000</v>
          </cell>
          <cell r="C250" t="str">
            <v xml:space="preserve"> Instituto de Educación Superior Particular Incorporada (I.S.P.I.) N° 9231 "Garibaldi"</v>
          </cell>
          <cell r="D250" t="str">
            <v>Santa Fe</v>
          </cell>
          <cell r="E250" t="str">
            <v>Rosario</v>
          </cell>
          <cell r="F250" t="str">
            <v>Rosario</v>
          </cell>
          <cell r="G250">
            <v>2000</v>
          </cell>
          <cell r="H250" t="str">
            <v>Privado</v>
          </cell>
          <cell r="I250" t="str">
            <v>Institución de ETP</v>
          </cell>
          <cell r="J250" t="str">
            <v>Virasoro 1249</v>
          </cell>
          <cell r="K250" t="str">
            <v>341-08105550505   int 228</v>
          </cell>
          <cell r="L250" t="str">
            <v xml:space="preserve">direccion@ispi9231.com.ar / alumnado@ispi9231.com.ar  </v>
          </cell>
          <cell r="M250" t="str">
            <v xml:space="preserve">Lic Ivana Lozano </v>
          </cell>
          <cell r="N250" t="str">
            <v xml:space="preserve">Directora </v>
          </cell>
          <cell r="O250" t="str">
            <v>341-08105550505   int 228</v>
          </cell>
          <cell r="P250" t="str">
            <v xml:space="preserve">direccion@ispi9231.com.ar </v>
          </cell>
          <cell r="Q250" t="str">
            <v>Blangetti Vanina</v>
          </cell>
          <cell r="R250" t="str">
            <v>Coordinadora</v>
          </cell>
          <cell r="S250" t="str">
            <v>341-5043897</v>
          </cell>
          <cell r="T250" t="str">
            <v>coordin.enfermeria@ispi9231.com.ar</v>
          </cell>
          <cell r="U250">
            <v>2020</v>
          </cell>
          <cell r="V250" t="str">
            <v>-32.9695057417882, -60.64648725964066</v>
          </cell>
        </row>
        <row r="251">
          <cell r="B251">
            <v>820412100</v>
          </cell>
          <cell r="C251" t="str">
            <v>I.S.P.A. N° 4084 "Centro de Educación Técnica para el Diagnóstico"</v>
          </cell>
          <cell r="D251" t="str">
            <v>Santa Fe</v>
          </cell>
          <cell r="E251" t="str">
            <v>La Capital</v>
          </cell>
          <cell r="F251" t="str">
            <v>Santa Fe</v>
          </cell>
          <cell r="G251">
            <v>3000</v>
          </cell>
          <cell r="H251" t="str">
            <v>Privado</v>
          </cell>
          <cell r="I251" t="str">
            <v>Institución de ETP</v>
          </cell>
          <cell r="J251" t="str">
            <v>SAN JERONIMO 2673 / HIPOLITO IRIGOYEN 2856</v>
          </cell>
          <cell r="K251" t="str">
            <v>342-4566787</v>
          </cell>
          <cell r="L251" t="str">
            <v>instituto@ceted.arnetbiz.com.ar</v>
          </cell>
          <cell r="M251" t="str">
            <v xml:space="preserve">BURI DANTE SILVAN </v>
          </cell>
          <cell r="N251" t="str">
            <v>DIRECTOR</v>
          </cell>
          <cell r="O251" t="str">
            <v>342-4566787</v>
          </cell>
          <cell r="P251" t="str">
            <v>dburi@jerarquicos.com</v>
          </cell>
          <cell r="Q251" t="str">
            <v>MENDEZ JESICA ELISABET</v>
          </cell>
          <cell r="R251" t="str">
            <v>COORDINADORA</v>
          </cell>
          <cell r="S251" t="str">
            <v>342-4760585</v>
          </cell>
          <cell r="T251">
            <v>0</v>
          </cell>
          <cell r="U251">
            <v>2020</v>
          </cell>
          <cell r="V251" t="str">
            <v>-31.641383551025687, -60.70857127490149</v>
          </cell>
        </row>
        <row r="252">
          <cell r="B252">
            <v>820413900</v>
          </cell>
          <cell r="C252" t="str">
            <v>Instituto de Educación Superior Particular Autorizado (I.S.P.A.) Nº 4086 De Especialización Profesional</v>
          </cell>
          <cell r="D252" t="str">
            <v>Santa Fe</v>
          </cell>
          <cell r="E252" t="str">
            <v>La Capital</v>
          </cell>
          <cell r="F252" t="str">
            <v>Santa Fe</v>
          </cell>
          <cell r="G252">
            <v>3000</v>
          </cell>
          <cell r="H252" t="str">
            <v>Privado</v>
          </cell>
          <cell r="I252" t="str">
            <v>Institución de ETP</v>
          </cell>
          <cell r="U252">
            <v>2022</v>
          </cell>
        </row>
        <row r="253">
          <cell r="B253">
            <v>820442800</v>
          </cell>
          <cell r="C253" t="str">
            <v>Escuela Superior de Enfermería Rosa Carmen All</v>
          </cell>
          <cell r="D253" t="str">
            <v>Santa Fe</v>
          </cell>
          <cell r="E253" t="str">
            <v>La Capital</v>
          </cell>
          <cell r="F253" t="str">
            <v>Santa Fe</v>
          </cell>
          <cell r="G253">
            <v>3000</v>
          </cell>
          <cell r="H253" t="str">
            <v>Estatal</v>
          </cell>
          <cell r="I253" t="str">
            <v>Institución de ETP</v>
          </cell>
          <cell r="J253" t="str">
            <v>Urquiza 3118</v>
          </cell>
          <cell r="K253" t="str">
            <v>342-fijos  4574820   -  4574821</v>
          </cell>
          <cell r="L253" t="str">
            <v>esealumnadosf@hotmail.com    esedireccion@hotmail.com</v>
          </cell>
          <cell r="M253" t="str">
            <v>Lic. Griselda Stahl</v>
          </cell>
          <cell r="N253" t="str">
            <v>Directora suplente</v>
          </cell>
          <cell r="O253" t="str">
            <v>-fijos  4574820   -  4574821</v>
          </cell>
          <cell r="P253" t="str">
            <v>griseldastahl@hotmail.com</v>
          </cell>
          <cell r="Q253" t="str">
            <v>Lic. Griselda Stahl</v>
          </cell>
          <cell r="R253" t="str">
            <v>Directora Suplente</v>
          </cell>
          <cell r="S253" t="str">
            <v>-342- 154681709</v>
          </cell>
          <cell r="T253" t="str">
            <v>griseldastahl@hotmail.com</v>
          </cell>
          <cell r="U253">
            <v>2016</v>
          </cell>
          <cell r="V253" t="str">
            <v>-31.62190357816558, -60.70316378570686</v>
          </cell>
        </row>
        <row r="254">
          <cell r="B254">
            <v>820443000</v>
          </cell>
          <cell r="C254" t="str">
            <v>Escuela Superior de Enfermería M. E. Araya de Colombres</v>
          </cell>
          <cell r="D254" t="str">
            <v>Santa Fe</v>
          </cell>
          <cell r="E254" t="str">
            <v>Rosario</v>
          </cell>
          <cell r="F254" t="str">
            <v>Rosario</v>
          </cell>
          <cell r="G254">
            <v>2000</v>
          </cell>
          <cell r="H254" t="str">
            <v>Estatal</v>
          </cell>
          <cell r="I254" t="str">
            <v>Institución de ETP</v>
          </cell>
          <cell r="J254" t="str">
            <v>Alem 1450 1er piso</v>
          </cell>
          <cell r="K254" t="str">
            <v>341-4721492</v>
          </cell>
          <cell r="L254" t="str">
            <v>ese_rosario@santafe.gov.ar</v>
          </cell>
          <cell r="M254" t="str">
            <v>La Guzza, María Gabriela</v>
          </cell>
          <cell r="N254" t="str">
            <v>Directora</v>
          </cell>
          <cell r="O254" t="str">
            <v>341-4721492</v>
          </cell>
          <cell r="P254" t="str">
            <v>gabylaguzza@gmail.com</v>
          </cell>
          <cell r="Q254" t="str">
            <v>La Guzza, María Gabriela</v>
          </cell>
          <cell r="R254" t="str">
            <v>Directora</v>
          </cell>
          <cell r="S254" t="str">
            <v>-3416098487</v>
          </cell>
          <cell r="T254" t="str">
            <v>gabylaguzza@gmail.com</v>
          </cell>
          <cell r="U254">
            <v>2016</v>
          </cell>
          <cell r="V254" t="str">
            <v>-32.9587, -60.69304</v>
          </cell>
        </row>
        <row r="255">
          <cell r="B255">
            <v>820443100</v>
          </cell>
          <cell r="C255" t="str">
            <v>Escuela Superior de Enfermería Reconquista</v>
          </cell>
          <cell r="D255" t="str">
            <v>Santa Fe</v>
          </cell>
          <cell r="E255" t="str">
            <v>General Obligado</v>
          </cell>
          <cell r="F255" t="str">
            <v>Reconquista</v>
          </cell>
          <cell r="G255">
            <v>3560</v>
          </cell>
          <cell r="H255" t="str">
            <v>Estatal</v>
          </cell>
          <cell r="I255" t="str">
            <v>Institución de ETP</v>
          </cell>
          <cell r="J255" t="str">
            <v>Hipolito Irigoyen 1580 - Planta Alta</v>
          </cell>
          <cell r="K255" t="str">
            <v>3482-449326</v>
          </cell>
          <cell r="L255" t="str">
            <v>esere88@hotmail.comL267L253L2L255:L278</v>
          </cell>
          <cell r="M255" t="str">
            <v>Villasboas, Nancy Helena</v>
          </cell>
          <cell r="N255" t="str">
            <v>Directora</v>
          </cell>
          <cell r="O255" t="str">
            <v>3483-449326</v>
          </cell>
          <cell r="P255" t="str">
            <v>Nancy_villasboas@yahoo.com.ar</v>
          </cell>
          <cell r="Q255">
            <v>0</v>
          </cell>
          <cell r="R255">
            <v>0</v>
          </cell>
          <cell r="S255" t="str">
            <v>-</v>
          </cell>
          <cell r="T255">
            <v>0</v>
          </cell>
          <cell r="U255">
            <v>2016</v>
          </cell>
          <cell r="V255" t="str">
            <v>-31.452048647237692, -60.92759573176076</v>
          </cell>
        </row>
        <row r="256">
          <cell r="B256">
            <v>820443200</v>
          </cell>
          <cell r="C256" t="str">
            <v>Escuela Superior de Enfermería Rafaela</v>
          </cell>
          <cell r="D256" t="str">
            <v>Santa Fe</v>
          </cell>
          <cell r="E256" t="str">
            <v>Castellanos</v>
          </cell>
          <cell r="F256" t="str">
            <v>Rafaela</v>
          </cell>
          <cell r="G256">
            <v>2300</v>
          </cell>
          <cell r="H256" t="str">
            <v>Estatal</v>
          </cell>
          <cell r="I256" t="str">
            <v>Institución de ETP</v>
          </cell>
          <cell r="J256" t="str">
            <v>B. de Irigoyen 1050</v>
          </cell>
          <cell r="K256" t="str">
            <v>3492-453120</v>
          </cell>
          <cell r="L256" t="str">
            <v>eserafaela@hotmail.com</v>
          </cell>
          <cell r="M256" t="str">
            <v>Alejandra  Cecilia Gajdosik</v>
          </cell>
          <cell r="N256" t="str">
            <v>Directora</v>
          </cell>
          <cell r="O256" t="str">
            <v>3492-453120</v>
          </cell>
          <cell r="P256" t="str">
            <v>alegajdosik@hotmail.com</v>
          </cell>
          <cell r="Q256" t="str">
            <v>Alejandra Cecilia Gajdosik</v>
          </cell>
          <cell r="R256">
            <v>0</v>
          </cell>
          <cell r="S256" t="str">
            <v>3492-207989</v>
          </cell>
          <cell r="T256" t="str">
            <v>alegajdosik@hotmail.com</v>
          </cell>
          <cell r="U256">
            <v>2016</v>
          </cell>
          <cell r="V256" t="str">
            <v>-31.25259, -61.49164</v>
          </cell>
        </row>
        <row r="257">
          <cell r="B257">
            <v>820455600</v>
          </cell>
          <cell r="C257" t="str">
            <v>Escuela Superior de Enfermería Venado Tuerto</v>
          </cell>
          <cell r="D257" t="str">
            <v>Santa Fe</v>
          </cell>
          <cell r="E257" t="str">
            <v>General López</v>
          </cell>
          <cell r="F257" t="str">
            <v>Venado Tuerto</v>
          </cell>
          <cell r="G257">
            <v>2600</v>
          </cell>
          <cell r="H257" t="str">
            <v>Estatal</v>
          </cell>
          <cell r="I257" t="str">
            <v>Institución de ETP</v>
          </cell>
          <cell r="J257" t="str">
            <v>Francia 1315</v>
          </cell>
          <cell r="K257" t="str">
            <v>3462-420524</v>
          </cell>
          <cell r="L257" t="str">
            <v>escueladeenfermeriavt@hotmail.com</v>
          </cell>
          <cell r="M257" t="str">
            <v>Maria Ines Rosillo</v>
          </cell>
          <cell r="N257" t="str">
            <v>Directora</v>
          </cell>
          <cell r="O257" t="str">
            <v>3462-420524</v>
          </cell>
          <cell r="P257" t="str">
            <v>licmirosillo@hotmail.com</v>
          </cell>
          <cell r="Q257">
            <v>0</v>
          </cell>
          <cell r="R257">
            <v>0</v>
          </cell>
          <cell r="S257" t="str">
            <v>-</v>
          </cell>
          <cell r="T257">
            <v>0</v>
          </cell>
          <cell r="U257">
            <v>2016</v>
          </cell>
          <cell r="V257" t="str">
            <v>-33.74555, -61.96901</v>
          </cell>
        </row>
        <row r="258">
          <cell r="B258">
            <v>820460400</v>
          </cell>
          <cell r="C258" t="str">
            <v>Escuela Superior de Enfermería San Jorge</v>
          </cell>
          <cell r="D258" t="str">
            <v>Santa Fe</v>
          </cell>
          <cell r="E258" t="str">
            <v>San Martín</v>
          </cell>
          <cell r="F258" t="str">
            <v>San Jorge</v>
          </cell>
          <cell r="G258">
            <v>2452</v>
          </cell>
          <cell r="H258" t="str">
            <v>Estatal</v>
          </cell>
          <cell r="I258" t="str">
            <v>Institución de ETP</v>
          </cell>
          <cell r="J258" t="str">
            <v>SARMIENTO 663</v>
          </cell>
          <cell r="K258" t="str">
            <v>3406-443196</v>
          </cell>
          <cell r="L258" t="str">
            <v>ese_sanjorge@santafe.gov.ar</v>
          </cell>
          <cell r="M258" t="str">
            <v>LIC. NEIRA FLAVIA</v>
          </cell>
          <cell r="N258" t="str">
            <v>DIRECTORA</v>
          </cell>
          <cell r="O258" t="str">
            <v>3406-443196</v>
          </cell>
          <cell r="P258" t="str">
            <v>yayaneira24@gmail.com</v>
          </cell>
          <cell r="Q258" t="str">
            <v>LIC. NEIRA FLAVIA</v>
          </cell>
          <cell r="R258" t="str">
            <v>DIRECTORA</v>
          </cell>
          <cell r="S258" t="str">
            <v>3406-451372</v>
          </cell>
          <cell r="T258" t="str">
            <v>yayaneir24@gmail.com</v>
          </cell>
          <cell r="U258">
            <v>2016</v>
          </cell>
          <cell r="V258" t="str">
            <v>-31.896261980961583, -61.85983379854451</v>
          </cell>
        </row>
        <row r="259">
          <cell r="B259">
            <v>820462100</v>
          </cell>
          <cell r="C259" t="str">
            <v>Escuela Superior de Enfermería Cañada de Gómez</v>
          </cell>
          <cell r="D259" t="str">
            <v>Santa Fe</v>
          </cell>
          <cell r="E259" t="str">
            <v>Iriondo</v>
          </cell>
          <cell r="F259" t="str">
            <v>Cañada de Gómez</v>
          </cell>
          <cell r="G259">
            <v>2500</v>
          </cell>
          <cell r="H259" t="str">
            <v>Estatal</v>
          </cell>
          <cell r="I259" t="str">
            <v>Institución de ETP</v>
          </cell>
          <cell r="J259" t="str">
            <v>Urquiza 750</v>
          </cell>
          <cell r="K259" t="str">
            <v>3471-429150</v>
          </cell>
          <cell r="L259" t="str">
            <v>uaecdadegomez@hotmail.com</v>
          </cell>
          <cell r="M259" t="str">
            <v>Sergio Martín Pedemonte</v>
          </cell>
          <cell r="N259" t="str">
            <v>Director</v>
          </cell>
          <cell r="O259" t="str">
            <v>3471-429150</v>
          </cell>
          <cell r="P259" t="str">
            <v>s.m.p_77@hotmail.com</v>
          </cell>
          <cell r="Q259" t="str">
            <v>Sergio Martín Pedemonte</v>
          </cell>
          <cell r="R259" t="str">
            <v>Director</v>
          </cell>
          <cell r="S259" t="str">
            <v>3471-515082</v>
          </cell>
          <cell r="T259" t="str">
            <v>s.m.p_77@hotmail.com</v>
          </cell>
          <cell r="U259">
            <v>2016</v>
          </cell>
          <cell r="V259" t="str">
            <v>-32.812104057642586, -61.39575169076408</v>
          </cell>
        </row>
        <row r="260">
          <cell r="B260">
            <v>820468100</v>
          </cell>
          <cell r="C260" t="str">
            <v>Instituto de Educación Superior del Profesorado (I.S.P.) Nº 66</v>
          </cell>
          <cell r="D260" t="str">
            <v>Santa Fe</v>
          </cell>
          <cell r="E260" t="str">
            <v>Vera</v>
          </cell>
          <cell r="F260" t="str">
            <v>Calchaquí</v>
          </cell>
          <cell r="G260">
            <v>3050</v>
          </cell>
          <cell r="H260" t="str">
            <v>Estatal</v>
          </cell>
          <cell r="I260" t="str">
            <v>Institución de Otro Nivel y/o Modalidad</v>
          </cell>
          <cell r="J260" t="str">
            <v>Boulevard Belgrano Nº 281</v>
          </cell>
          <cell r="K260" t="str">
            <v>3483-470384</v>
          </cell>
          <cell r="L260" t="str">
            <v>superior66_calchaqui@santafe.edu.ar</v>
          </cell>
          <cell r="M260" t="str">
            <v>Fabre Paola Lorena</v>
          </cell>
          <cell r="N260" t="str">
            <v>Directora</v>
          </cell>
          <cell r="O260" t="str">
            <v>3498-470384</v>
          </cell>
          <cell r="P260" t="str">
            <v>paolafabre@hotmail.com</v>
          </cell>
          <cell r="Q260" t="str">
            <v xml:space="preserve">Bargetto Camila </v>
          </cell>
          <cell r="R260" t="str">
            <v>Coordinadora</v>
          </cell>
          <cell r="S260" t="str">
            <v>3483-483463</v>
          </cell>
          <cell r="T260">
            <v>0</v>
          </cell>
          <cell r="U260">
            <v>2022</v>
          </cell>
          <cell r="V260" t="str">
            <v>-29.888496950068138, -60.28316620052459</v>
          </cell>
        </row>
        <row r="261">
          <cell r="B261">
            <v>820468200</v>
          </cell>
          <cell r="C261" t="str">
            <v>Instituto Superior de Profesorado N° 67</v>
          </cell>
          <cell r="D261" t="str">
            <v>Santa Fe</v>
          </cell>
          <cell r="E261" t="str">
            <v>La Capital</v>
          </cell>
          <cell r="F261" t="str">
            <v>Santa Fe</v>
          </cell>
          <cell r="G261">
            <v>3000</v>
          </cell>
          <cell r="H261" t="str">
            <v>Estatal</v>
          </cell>
          <cell r="I261" t="str">
            <v>Institución de Otro Nivel y/o Modalidad</v>
          </cell>
          <cell r="J261" t="str">
            <v>Av 12 de octubre 9300</v>
          </cell>
          <cell r="K261" t="str">
            <v>342-4827200</v>
          </cell>
          <cell r="L261" t="str">
            <v>institutosuperior67@gmail.com</v>
          </cell>
          <cell r="M261" t="str">
            <v>Lic. Maria Laura Esquivel</v>
          </cell>
          <cell r="N261" t="str">
            <v>Directora</v>
          </cell>
          <cell r="O261" t="str">
            <v>342-4827200</v>
          </cell>
          <cell r="P261" t="str">
            <v>mle.direccion67@gmail.com</v>
          </cell>
          <cell r="Q261">
            <v>0</v>
          </cell>
          <cell r="R261">
            <v>0</v>
          </cell>
          <cell r="S261" t="str">
            <v>-</v>
          </cell>
          <cell r="T261">
            <v>0</v>
          </cell>
          <cell r="U261">
            <v>2016</v>
          </cell>
          <cell r="V261" t="str">
            <v>-31.62190357816558, -60.70316378570686</v>
          </cell>
        </row>
        <row r="262">
          <cell r="B262">
            <v>820471100</v>
          </cell>
          <cell r="C262" t="str">
            <v>Escuela Superior de Enfermería</v>
          </cell>
          <cell r="D262" t="str">
            <v>Santa Fe</v>
          </cell>
          <cell r="E262" t="str">
            <v>Vera</v>
          </cell>
          <cell r="F262" t="str">
            <v>Vera</v>
          </cell>
          <cell r="G262">
            <v>3550</v>
          </cell>
          <cell r="H262" t="str">
            <v>Estatal</v>
          </cell>
          <cell r="I262" t="str">
            <v>Institución de ETP</v>
          </cell>
          <cell r="U262">
            <v>2023</v>
          </cell>
        </row>
        <row r="263">
          <cell r="B263">
            <v>860020601</v>
          </cell>
          <cell r="C263" t="str">
            <v>Instituto de Educación Superior de Formación Docente N° 03- Anexo Forres</v>
          </cell>
          <cell r="D263" t="str">
            <v>Santiago del Estero</v>
          </cell>
          <cell r="E263" t="str">
            <v>Robles</v>
          </cell>
          <cell r="F263" t="str">
            <v xml:space="preserve">Forres </v>
          </cell>
          <cell r="G263">
            <v>4312</v>
          </cell>
          <cell r="H263" t="str">
            <v>Estatal</v>
          </cell>
          <cell r="I263" t="str">
            <v>Institución de ETP</v>
          </cell>
          <cell r="J263" t="str">
            <v>Av. Libertad y Francisco Bustos</v>
          </cell>
          <cell r="K263" t="str">
            <v>385-4834142</v>
          </cell>
          <cell r="L263" t="str">
            <v>ifdn3anexoforres@gmail.com</v>
          </cell>
          <cell r="M263" t="str">
            <v>Carrazco Oscar Fernando</v>
          </cell>
          <cell r="N263" t="str">
            <v>Vicerrector</v>
          </cell>
          <cell r="O263" t="str">
            <v>385-4834142</v>
          </cell>
          <cell r="P263" t="str">
            <v>ifdn3anexoforres@gmail.com</v>
          </cell>
          <cell r="Q263" t="str">
            <v>Diaz Norma Elizabeth</v>
          </cell>
          <cell r="R263" t="str">
            <v xml:space="preserve">Catedrática </v>
          </cell>
          <cell r="S263" t="str">
            <v>385-6889178</v>
          </cell>
          <cell r="T263" t="str">
            <v>eliza.nor.2013@gmail.com</v>
          </cell>
          <cell r="U263">
            <v>2018</v>
          </cell>
          <cell r="V263" t="str">
            <v>-27.87521, -63.97706</v>
          </cell>
        </row>
        <row r="264">
          <cell r="B264">
            <v>860108800</v>
          </cell>
          <cell r="C264" t="str">
            <v>Escuela Normal Superior General Manuel Belgrano</v>
          </cell>
          <cell r="D264" t="str">
            <v>Santiago del Estero</v>
          </cell>
          <cell r="E264" t="str">
            <v>Capital</v>
          </cell>
          <cell r="F264" t="str">
            <v>Santiago del Estero</v>
          </cell>
          <cell r="G264">
            <v>4200</v>
          </cell>
          <cell r="H264" t="str">
            <v>Estatal</v>
          </cell>
          <cell r="I264" t="str">
            <v>Institución de Otro Nivel y/o Modalidad</v>
          </cell>
          <cell r="J264" t="str">
            <v>Independencia N° 751</v>
          </cell>
          <cell r="K264" t="str">
            <v>385-42154,9756097561</v>
          </cell>
          <cell r="L264" t="str">
            <v>normalsantiago@educ.ar</v>
          </cell>
          <cell r="M264" t="str">
            <v>Graciela del Valle Corpos</v>
          </cell>
          <cell r="N264" t="str">
            <v>Rectora</v>
          </cell>
          <cell r="O264" t="str">
            <v>385-42154,9756097561</v>
          </cell>
          <cell r="P264" t="str">
            <v>gracielacorpos@gmail.com</v>
          </cell>
          <cell r="Q264" t="str">
            <v>Soledad Rueda</v>
          </cell>
          <cell r="R264" t="str">
            <v>Jefa de Departamento (Coord. Provisorio)</v>
          </cell>
          <cell r="S264" t="str">
            <v>385-4188352</v>
          </cell>
          <cell r="T264" t="str">
            <v>solevito2007@hotmail.com</v>
          </cell>
          <cell r="U264">
            <v>2017</v>
          </cell>
          <cell r="V264" t="str">
            <v>-27.78335, -64.26416</v>
          </cell>
        </row>
        <row r="265">
          <cell r="B265">
            <v>860110700</v>
          </cell>
          <cell r="C265" t="str">
            <v>INSTITUTO SUPERIOR DEL PROFESORADO PROVINCIAL N° 6</v>
          </cell>
          <cell r="D265" t="str">
            <v>Santiago del Estero</v>
          </cell>
          <cell r="E265" t="str">
            <v>Banda</v>
          </cell>
          <cell r="F265" t="str">
            <v>La Banda</v>
          </cell>
          <cell r="G265">
            <v>4300</v>
          </cell>
          <cell r="H265" t="str">
            <v>Estatal</v>
          </cell>
          <cell r="I265" t="str">
            <v>Institución de Otro Nivel y/o Modalidad</v>
          </cell>
          <cell r="J265" t="str">
            <v>Lavalle y Necochea S/N</v>
          </cell>
          <cell r="K265" t="str">
            <v>0-0</v>
          </cell>
          <cell r="L265" t="str">
            <v>isppnlabanda@gmail.com</v>
          </cell>
          <cell r="M265" t="str">
            <v xml:space="preserve">Profesora Barraza Daniela </v>
          </cell>
          <cell r="N265" t="str">
            <v xml:space="preserve">vice. Rectora suplente </v>
          </cell>
          <cell r="O265" t="str">
            <v>385-0</v>
          </cell>
          <cell r="P265" t="str">
            <v>silviadaniela _barraza @yahoo.com.ar</v>
          </cell>
          <cell r="Q265" t="str">
            <v xml:space="preserve">lic Sonia Leiva </v>
          </cell>
          <cell r="R265" t="str">
            <v xml:space="preserve">catedratica. Funcion de coordinadora de carrera </v>
          </cell>
          <cell r="S265" t="str">
            <v>385-4858941</v>
          </cell>
          <cell r="T265" t="str">
            <v>fljmm_8_4_2@hotmail.com</v>
          </cell>
          <cell r="U265">
            <v>2016</v>
          </cell>
          <cell r="V265" t="str">
            <v>-27.73284, -64.2417</v>
          </cell>
        </row>
        <row r="266">
          <cell r="B266">
            <v>860111800</v>
          </cell>
          <cell r="C266" t="str">
            <v>Escuela Normal Superior República del Ecuador</v>
          </cell>
          <cell r="D266" t="str">
            <v>Santiago del Estero</v>
          </cell>
          <cell r="E266" t="str">
            <v>Choya</v>
          </cell>
          <cell r="F266" t="str">
            <v>Frias</v>
          </cell>
          <cell r="G266">
            <v>4230</v>
          </cell>
          <cell r="H266" t="str">
            <v>Estatal</v>
          </cell>
          <cell r="I266" t="str">
            <v>Institución de Otro Nivel y/o Modalidad</v>
          </cell>
          <cell r="J266" t="str">
            <v>CATAMARCA 490</v>
          </cell>
          <cell r="K266" t="str">
            <v>3854-686092</v>
          </cell>
          <cell r="L266" t="str">
            <v>normalfrias@gmail.com</v>
          </cell>
          <cell r="M266" t="str">
            <v>ROJAS LAURA MONICA</v>
          </cell>
          <cell r="N266" t="str">
            <v>RECTORA</v>
          </cell>
          <cell r="O266" t="str">
            <v>3854-686092</v>
          </cell>
          <cell r="P266" t="str">
            <v>lmonicarojas@hotmail.com</v>
          </cell>
          <cell r="Q266" t="str">
            <v>JUAREZ PEDRO FERNANDO</v>
          </cell>
          <cell r="R266" t="str">
            <v>CATEDRATICO-COORDINADOR</v>
          </cell>
          <cell r="S266" t="str">
            <v>3854-471035</v>
          </cell>
          <cell r="T266" t="str">
            <v>pedroferjuarezpj7957118@gmail.com</v>
          </cell>
          <cell r="U266">
            <v>2016</v>
          </cell>
          <cell r="V266" t="str">
            <v>-28.63574149312889, -65.12905145229668</v>
          </cell>
        </row>
        <row r="267">
          <cell r="B267">
            <v>860119000</v>
          </cell>
          <cell r="C267" t="str">
            <v>Instituto de Educación Superior de Formación Docente N° 09</v>
          </cell>
          <cell r="D267" t="str">
            <v>Santiago del Estero</v>
          </cell>
          <cell r="E267" t="str">
            <v>Juan Felipe Ibarra</v>
          </cell>
          <cell r="F267" t="str">
            <v>Suncho Corral</v>
          </cell>
          <cell r="G267">
            <v>4350</v>
          </cell>
          <cell r="H267" t="str">
            <v>Estatal</v>
          </cell>
          <cell r="I267" t="str">
            <v>Institución de ETP</v>
          </cell>
          <cell r="J267" t="str">
            <v>ALBERDI ENTRE MARIANO MORENO Y GUEMES</v>
          </cell>
          <cell r="K267" t="str">
            <v>-3856190119</v>
          </cell>
          <cell r="L267" t="str">
            <v>nardaleg@hotmail.com</v>
          </cell>
          <cell r="M267" t="str">
            <v>NARDA LEGUIZAMON</v>
          </cell>
          <cell r="N267" t="str">
            <v>RECTORA</v>
          </cell>
          <cell r="O267" t="str">
            <v>-3856190119</v>
          </cell>
          <cell r="P267">
            <v>0</v>
          </cell>
          <cell r="Q267" t="str">
            <v>NARDA LEGUIZAMON</v>
          </cell>
          <cell r="R267" t="str">
            <v>RECTORA</v>
          </cell>
          <cell r="S267" t="str">
            <v>-3856190119</v>
          </cell>
          <cell r="T267" t="str">
            <v>nardaleg@hotmail.com</v>
          </cell>
          <cell r="U267">
            <v>2016</v>
          </cell>
          <cell r="V267" t="str">
            <v>-27.93582, -63.42889</v>
          </cell>
        </row>
        <row r="268">
          <cell r="B268">
            <v>860159700</v>
          </cell>
          <cell r="C268" t="str">
            <v>Instituto de Educación Superior de Formación Docente N° 05</v>
          </cell>
          <cell r="D268" t="str">
            <v>Santiago del Estero</v>
          </cell>
          <cell r="E268" t="str">
            <v>Loreto</v>
          </cell>
          <cell r="F268" t="str">
            <v>Loreto</v>
          </cell>
          <cell r="G268">
            <v>4208</v>
          </cell>
          <cell r="H268" t="str">
            <v>Estatal</v>
          </cell>
          <cell r="I268" t="str">
            <v>Institución de Otro Nivel y/o Modalidad</v>
          </cell>
          <cell r="J268" t="str">
            <v>HIPOLITO IRIGOYEN</v>
          </cell>
          <cell r="K268" t="str">
            <v>-</v>
          </cell>
          <cell r="L268" t="str">
            <v>conduccion.ifd5@gmail.com</v>
          </cell>
          <cell r="M268" t="str">
            <v>María del Pilar Melem Miguel</v>
          </cell>
          <cell r="N268" t="str">
            <v>Vice Rectora</v>
          </cell>
          <cell r="O268" t="str">
            <v>385-</v>
          </cell>
          <cell r="P268" t="str">
            <v>mdelpmelem@gmail.com</v>
          </cell>
          <cell r="Q268" t="str">
            <v>Teresita Castillo</v>
          </cell>
          <cell r="R268" t="str">
            <v>Directora de Carrera</v>
          </cell>
          <cell r="S268" t="str">
            <v>385-5890505</v>
          </cell>
          <cell r="T268" t="str">
            <v>castillotic@gmail.com</v>
          </cell>
          <cell r="U268">
            <v>2017</v>
          </cell>
          <cell r="V268" t="str">
            <v>-28.30174577575763, -64.20061625042892</v>
          </cell>
        </row>
        <row r="269">
          <cell r="B269">
            <v>860184700</v>
          </cell>
          <cell r="C269" t="str">
            <v>Instituto de Educación Superior de Formación Docente N° 01 ISFDC MJ Gottau</v>
          </cell>
          <cell r="D269" t="str">
            <v>Santiago del Estero</v>
          </cell>
          <cell r="E269" t="str">
            <v>General Taboada</v>
          </cell>
          <cell r="F269" t="str">
            <v>Añatuya</v>
          </cell>
          <cell r="G269">
            <v>3760</v>
          </cell>
          <cell r="H269" t="str">
            <v>Estatal</v>
          </cell>
          <cell r="I269" t="str">
            <v>Institución de Otro Nivel y/o Modalidad</v>
          </cell>
          <cell r="J269" t="str">
            <v>José Manuel Estrada y 25 de Mayo Norte</v>
          </cell>
          <cell r="K269" t="str">
            <v>3857-470410</v>
          </cell>
          <cell r="L269" t="str">
            <v>isfdc1gottau@hotmail.com</v>
          </cell>
          <cell r="M269" t="str">
            <v>Acosta Cristina Liliana</v>
          </cell>
          <cell r="N269" t="str">
            <v>Prosecretaria a cargo de Rectoria</v>
          </cell>
          <cell r="O269" t="str">
            <v>3857-470410</v>
          </cell>
          <cell r="P269" t="str">
            <v>crisacostaavila@gmail.com</v>
          </cell>
          <cell r="Q269">
            <v>0</v>
          </cell>
          <cell r="R269">
            <v>0</v>
          </cell>
          <cell r="S269" t="str">
            <v>-</v>
          </cell>
          <cell r="T269">
            <v>0</v>
          </cell>
          <cell r="U269">
            <v>2017</v>
          </cell>
          <cell r="V269" t="str">
            <v>-28.46057, -62.83436</v>
          </cell>
        </row>
        <row r="270">
          <cell r="B270">
            <v>860185300</v>
          </cell>
          <cell r="C270" t="str">
            <v>Instituto de Educación Superior (I.E.S.) Dr. Antenor Álvarez -Cruz Roja Argentina</v>
          </cell>
          <cell r="D270" t="str">
            <v>Santiago del Estero</v>
          </cell>
          <cell r="E270" t="str">
            <v>Juan Francisco Borges</v>
          </cell>
          <cell r="F270" t="str">
            <v>Santiago del Estero</v>
          </cell>
          <cell r="G270">
            <v>4200</v>
          </cell>
          <cell r="H270" t="str">
            <v>Privado</v>
          </cell>
          <cell r="I270" t="str">
            <v>Institución de ETP</v>
          </cell>
          <cell r="J270" t="str">
            <v>Absalon Rojas y jujuy</v>
          </cell>
          <cell r="K270" t="str">
            <v>3854-215020-</v>
          </cell>
          <cell r="L270" t="str">
            <v>antenoralvarez2018@hotmail.com</v>
          </cell>
          <cell r="M270" t="str">
            <v>Hortensia Mercedes Santillan</v>
          </cell>
          <cell r="N270" t="str">
            <v>Rectora</v>
          </cell>
          <cell r="O270" t="str">
            <v>3854-350971-</v>
          </cell>
          <cell r="P270" t="str">
            <v>mechisan07@hotmail.com</v>
          </cell>
          <cell r="Q270" t="str">
            <v>Liliana del Carmen,Gonzales del Solar</v>
          </cell>
          <cell r="R270" t="str">
            <v>Representante Legal</v>
          </cell>
          <cell r="S270" t="str">
            <v>3854109870-</v>
          </cell>
          <cell r="T270" t="str">
            <v>lgsmeossi@hotmail.com</v>
          </cell>
          <cell r="U270">
            <v>2017</v>
          </cell>
          <cell r="V270" t="str">
            <v>-27.78335, -64.26416</v>
          </cell>
        </row>
        <row r="271">
          <cell r="B271">
            <v>860187600</v>
          </cell>
          <cell r="C271" t="str">
            <v>Instituto de Educación Superior (I.E.S.) Instituto Superior Monseñor Jorge Gottau</v>
          </cell>
          <cell r="D271" t="str">
            <v>Santiago del Estero</v>
          </cell>
          <cell r="E271" t="str">
            <v>Juan Francisco Borges</v>
          </cell>
          <cell r="F271" t="str">
            <v>Santiago del Estero</v>
          </cell>
          <cell r="G271">
            <v>4200</v>
          </cell>
          <cell r="H271" t="str">
            <v>Privado</v>
          </cell>
          <cell r="I271" t="str">
            <v>Institución de ETP</v>
          </cell>
          <cell r="J271" t="str">
            <v>MORENO SUR 746</v>
          </cell>
          <cell r="K271" t="str">
            <v>385-6007889</v>
          </cell>
          <cell r="L271" t="str">
            <v>institutosuperiorgottau@gmail. Com</v>
          </cell>
          <cell r="M271" t="str">
            <v>RECTOR</v>
          </cell>
          <cell r="N271" t="str">
            <v>PROFESOR CORONEL GABRIEL</v>
          </cell>
          <cell r="O271" t="str">
            <v>385-6007889</v>
          </cell>
          <cell r="P271" t="str">
            <v>gabyescoro@hotmail.com</v>
          </cell>
          <cell r="Q271" t="str">
            <v>LICENCIADA CHAVEZ RITA</v>
          </cell>
          <cell r="R271" t="str">
            <v>DIRECTORA ACADEMICA</v>
          </cell>
          <cell r="S271" t="str">
            <v>385-4138374</v>
          </cell>
          <cell r="T271" t="str">
            <v>chavezrita176@gmail.com</v>
          </cell>
          <cell r="U271">
            <v>2017</v>
          </cell>
          <cell r="V271" t="str">
            <v>-27.78335, -64.26416</v>
          </cell>
        </row>
        <row r="272">
          <cell r="B272">
            <v>860220000</v>
          </cell>
          <cell r="C272" t="str">
            <v>Instituto de Educación Superior (I.E.S.) Dr. Ramón Carrillo</v>
          </cell>
          <cell r="D272" t="str">
            <v>Santiago del Estero</v>
          </cell>
          <cell r="E272" t="str">
            <v>Juan Francisco Borges</v>
          </cell>
          <cell r="F272" t="str">
            <v>Santiago del Estero</v>
          </cell>
          <cell r="G272">
            <v>4200</v>
          </cell>
          <cell r="H272" t="str">
            <v>Privado</v>
          </cell>
          <cell r="I272" t="str">
            <v>Institución de ETP</v>
          </cell>
          <cell r="J272" t="str">
            <v xml:space="preserve">caminito tio jesus sin numero el zanjon dto capital </v>
          </cell>
          <cell r="K272" t="str">
            <v>385-5752448</v>
          </cell>
          <cell r="L272" t="str">
            <v>martina_basualdo@hotmail.com</v>
          </cell>
          <cell r="M272" t="str">
            <v xml:space="preserve"> Lic DeliaMartina Basualdo</v>
          </cell>
          <cell r="N272" t="str">
            <v>r</v>
          </cell>
          <cell r="O272" t="str">
            <v>Rectora-5752448</v>
          </cell>
          <cell r="P272" t="str">
            <v>martina_basualdo@hotmail.com</v>
          </cell>
          <cell r="Q272" t="str">
            <v>Lic Delia martina basualdo</v>
          </cell>
          <cell r="R272" t="str">
            <v>Rectora</v>
          </cell>
          <cell r="S272" t="str">
            <v>385-57524448</v>
          </cell>
          <cell r="T272" t="str">
            <v>martina_basualdo@hotmail.com</v>
          </cell>
          <cell r="U272">
            <v>2017</v>
          </cell>
          <cell r="V272" t="str">
            <v>-27.85884, -64.25204</v>
          </cell>
        </row>
        <row r="273">
          <cell r="B273">
            <v>900104000</v>
          </cell>
          <cell r="C273" t="str">
            <v>Instituto de Educación Superior (I.E.S.) N° 74</v>
          </cell>
          <cell r="D273" t="str">
            <v>Tucumán</v>
          </cell>
          <cell r="E273" t="str">
            <v>Capital</v>
          </cell>
          <cell r="F273" t="str">
            <v xml:space="preserve">San Miguel de Tucuman </v>
          </cell>
          <cell r="G273">
            <v>4000</v>
          </cell>
          <cell r="H273" t="str">
            <v>Estatal</v>
          </cell>
          <cell r="I273" t="str">
            <v>Institución de ETP</v>
          </cell>
          <cell r="J273" t="str">
            <v>SUIPACHA 553</v>
          </cell>
          <cell r="K273" t="str">
            <v>381-4238840</v>
          </cell>
          <cell r="L273" t="str">
            <v>CENT74@HOTMAIL.COM</v>
          </cell>
          <cell r="M273" t="str">
            <v xml:space="preserve">BIOQ. MARIA LETICIA TRIVIÑO </v>
          </cell>
          <cell r="N273" t="str">
            <v xml:space="preserve">RECTORA A CARGO CENT N 74 </v>
          </cell>
          <cell r="O273" t="str">
            <v>381-4238840</v>
          </cell>
          <cell r="P273" t="str">
            <v>lety1@hotmail.com</v>
          </cell>
          <cell r="Q273" t="str">
            <v>MG. LIC RODRIGUEZ JORGE ALFREDO</v>
          </cell>
          <cell r="R273" t="str">
            <v xml:space="preserve">DIRECTOR CARRERA DE ENFERMERIA </v>
          </cell>
          <cell r="S273" t="str">
            <v>381-5873753</v>
          </cell>
          <cell r="T273" t="str">
            <v>jalfredorodriguez@hotmail.com</v>
          </cell>
          <cell r="U273">
            <v>2016</v>
          </cell>
          <cell r="V273" t="str">
            <v>-26.80828, -65.21759</v>
          </cell>
        </row>
        <row r="274">
          <cell r="B274">
            <v>900104001</v>
          </cell>
          <cell r="C274" t="str">
            <v>Instituto de Educación Superior (I.E.S.) N° 74 Anexo Concepción</v>
          </cell>
          <cell r="D274" t="str">
            <v>Tucumán</v>
          </cell>
          <cell r="E274" t="str">
            <v>Chicligasta</v>
          </cell>
          <cell r="F274" t="str">
            <v xml:space="preserve">Concepción </v>
          </cell>
          <cell r="G274">
            <v>4146</v>
          </cell>
          <cell r="H274" t="str">
            <v>Estatal</v>
          </cell>
          <cell r="I274" t="str">
            <v>Institución de ETP</v>
          </cell>
          <cell r="J274" t="str">
            <v>ROCA 371</v>
          </cell>
          <cell r="K274" t="str">
            <v>3865-427258</v>
          </cell>
          <cell r="L274" t="str">
            <v>CENT74CONCEPCION@HOTMAIL.COM</v>
          </cell>
          <cell r="M274" t="str">
            <v>BIOQUIMICA MARIA LETICIA TRIVIÑO</v>
          </cell>
          <cell r="N274" t="str">
            <v xml:space="preserve">RECTORA </v>
          </cell>
          <cell r="O274" t="str">
            <v>381-427258</v>
          </cell>
          <cell r="P274" t="str">
            <v xml:space="preserve">lety1@hotmail.com </v>
          </cell>
          <cell r="Q274" t="str">
            <v>JUAREZ MARIA JOSE</v>
          </cell>
          <cell r="R274" t="str">
            <v>COORDINADORA</v>
          </cell>
          <cell r="S274" t="str">
            <v>381-5550245</v>
          </cell>
          <cell r="T274" t="str">
            <v>MARIAJOSEJUAREZ2010@HOTMAIL.COM</v>
          </cell>
          <cell r="U274">
            <v>2016</v>
          </cell>
          <cell r="V274" t="str">
            <v>-27.34595325473908, -65.59285375100269</v>
          </cell>
        </row>
        <row r="275">
          <cell r="B275">
            <v>900104002</v>
          </cell>
          <cell r="C275" t="str">
            <v>Instituto de Educación Superior (I.E.S.) N° 74 Anexo Monteros</v>
          </cell>
          <cell r="D275" t="str">
            <v>Tucumán</v>
          </cell>
          <cell r="E275" t="str">
            <v xml:space="preserve">Monteros </v>
          </cell>
          <cell r="F275" t="str">
            <v xml:space="preserve">Monteros </v>
          </cell>
          <cell r="G275">
            <v>4142</v>
          </cell>
          <cell r="H275" t="str">
            <v>Estatal</v>
          </cell>
          <cell r="I275" t="str">
            <v>Institución de ETP</v>
          </cell>
          <cell r="J275" t="str">
            <v>SAN MARTIN141</v>
          </cell>
          <cell r="K275" t="str">
            <v>381-4952554</v>
          </cell>
          <cell r="L275" t="str">
            <v>TERESASECO@YAHOO.COM.AR</v>
          </cell>
          <cell r="M275" t="str">
            <v xml:space="preserve">BIOQUIMICA TRIVIÑO MARIA LETICIA </v>
          </cell>
          <cell r="N275" t="str">
            <v xml:space="preserve">RECTORA </v>
          </cell>
          <cell r="O275" t="str">
            <v>381-4952554</v>
          </cell>
          <cell r="P275" t="str">
            <v>lety1@hotmail.com</v>
          </cell>
          <cell r="Q275" t="str">
            <v xml:space="preserve">SECO TERESA </v>
          </cell>
          <cell r="R275" t="str">
            <v>COORDINADORA</v>
          </cell>
          <cell r="S275" t="str">
            <v>381-4952554</v>
          </cell>
          <cell r="T275" t="str">
            <v>TERESASECO@YAHOO.COM.AR</v>
          </cell>
          <cell r="U275">
            <v>2016</v>
          </cell>
          <cell r="V275" t="str">
            <v>-27.169568625492985, -65.5036100313234</v>
          </cell>
        </row>
        <row r="276">
          <cell r="B276">
            <v>900104003</v>
          </cell>
          <cell r="C276" t="str">
            <v>Instituto de Educación Superior (I.E.S.) N° 74 Anexo Faimallá</v>
          </cell>
          <cell r="D276" t="str">
            <v>Tucumán</v>
          </cell>
          <cell r="E276" t="str">
            <v>Famailla</v>
          </cell>
          <cell r="F276" t="str">
            <v>Famailla</v>
          </cell>
          <cell r="G276">
            <v>4141</v>
          </cell>
          <cell r="H276" t="str">
            <v>Estatal</v>
          </cell>
          <cell r="I276" t="str">
            <v>Institución de ETP</v>
          </cell>
          <cell r="J276" t="str">
            <v>PASAJE PADILLA 600</v>
          </cell>
          <cell r="K276" t="str">
            <v>3863-466765</v>
          </cell>
          <cell r="L276" t="str">
            <v xml:space="preserve">enfcent74famailla@gmail.com </v>
          </cell>
          <cell r="M276" t="str">
            <v xml:space="preserve">BIOQUIMICA TRIVIÑO MARIA LETICIA </v>
          </cell>
          <cell r="N276" t="str">
            <v xml:space="preserve">RECTORA </v>
          </cell>
          <cell r="O276" t="str">
            <v>381-466765</v>
          </cell>
          <cell r="P276" t="str">
            <v>lety1@hotmail.com</v>
          </cell>
          <cell r="Q276" t="str">
            <v>VEGA KARINA VIVIANA</v>
          </cell>
          <cell r="R276" t="str">
            <v>COORDINADORA</v>
          </cell>
          <cell r="S276" t="str">
            <v>3863-409112</v>
          </cell>
          <cell r="T276" t="str">
            <v xml:space="preserve">vvega927@gmail.com </v>
          </cell>
          <cell r="U276">
            <v>2016</v>
          </cell>
          <cell r="V276" t="str">
            <v>-27.05605, -65.40216</v>
          </cell>
        </row>
        <row r="277">
          <cell r="B277">
            <v>900104004</v>
          </cell>
          <cell r="C277" t="str">
            <v>Instituto de Educación Superior (I.E.S.) N° 74 Anexo Trancas</v>
          </cell>
          <cell r="D277" t="str">
            <v>Tucumán</v>
          </cell>
          <cell r="E277" t="str">
            <v>Trancas</v>
          </cell>
          <cell r="F277" t="str">
            <v>Trancas</v>
          </cell>
          <cell r="G277">
            <v>4124</v>
          </cell>
          <cell r="H277" t="str">
            <v>Estatal</v>
          </cell>
          <cell r="I277" t="str">
            <v>Institución de ETP</v>
          </cell>
          <cell r="J277" t="str">
            <v>AV. HIPOLITO IRIGOYEN 161</v>
          </cell>
          <cell r="K277" t="str">
            <v>3862-421106</v>
          </cell>
          <cell r="L277" t="str">
            <v>centn74anexotrancas@gmail.com</v>
          </cell>
          <cell r="M277" t="str">
            <v xml:space="preserve">BIOQUIMICA TRIVIÑO MARIA LETICIA </v>
          </cell>
          <cell r="N277" t="str">
            <v>RECTORA</v>
          </cell>
          <cell r="O277" t="str">
            <v>381-421106</v>
          </cell>
          <cell r="P277" t="str">
            <v xml:space="preserve">lety1@hotmail.com </v>
          </cell>
          <cell r="Q277" t="str">
            <v>CONDORI CARLOS JOSE</v>
          </cell>
          <cell r="R277" t="str">
            <v xml:space="preserve">COORDINADOR </v>
          </cell>
          <cell r="S277" t="str">
            <v>381-5513391</v>
          </cell>
          <cell r="T277" t="str">
            <v>josecondori_trancas@hotmail.com</v>
          </cell>
          <cell r="U277">
            <v>2016</v>
          </cell>
          <cell r="V277" t="str">
            <v>-26.232448678790018, -65.28034763574911</v>
          </cell>
        </row>
        <row r="278">
          <cell r="B278">
            <v>900104005</v>
          </cell>
          <cell r="C278" t="str">
            <v>Instituto de Educación Superior (I.E.S.) N° 74 Anexo Alderetes</v>
          </cell>
          <cell r="D278" t="str">
            <v>Tucumán</v>
          </cell>
          <cell r="E278" t="str">
            <v>Cruz Alta</v>
          </cell>
          <cell r="F278" t="str">
            <v>Lastenia</v>
          </cell>
          <cell r="G278">
            <v>4105</v>
          </cell>
          <cell r="H278" t="str">
            <v>Estatal</v>
          </cell>
          <cell r="I278" t="str">
            <v>Institución de ETP</v>
          </cell>
          <cell r="J278" t="str">
            <v>CAMINO DEL CARMEN 90</v>
          </cell>
          <cell r="K278" t="str">
            <v>381-5111287</v>
          </cell>
          <cell r="L278" t="str">
            <v>cent74tuc@hotmail.com</v>
          </cell>
          <cell r="M278" t="str">
            <v xml:space="preserve">BIOQUIMICA TRIVIÑO MARIA LETICIA </v>
          </cell>
          <cell r="N278" t="str">
            <v xml:space="preserve">RECTORA </v>
          </cell>
          <cell r="O278" t="str">
            <v>381-5111287</v>
          </cell>
          <cell r="P278" t="str">
            <v>lety1@hotmail.com</v>
          </cell>
          <cell r="Q278" t="str">
            <v>URQUIA RAFAEL</v>
          </cell>
          <cell r="R278" t="str">
            <v>COORDINADOR</v>
          </cell>
          <cell r="S278" t="str">
            <v>381-5111287</v>
          </cell>
          <cell r="T278" t="str">
            <v>urquiarafael@gmail.com</v>
          </cell>
          <cell r="U278">
            <v>2016</v>
          </cell>
          <cell r="V278" t="str">
            <v>-26.81666, -65.13333</v>
          </cell>
        </row>
        <row r="279">
          <cell r="B279">
            <v>900104006</v>
          </cell>
          <cell r="C279" t="str">
            <v>Instituto de Educación Superior (I.E.S.) N° 74 Anexo La Ramada</v>
          </cell>
          <cell r="D279" t="str">
            <v>Tucumán</v>
          </cell>
          <cell r="E279" t="str">
            <v xml:space="preserve">Burruyacú </v>
          </cell>
          <cell r="F279" t="str">
            <v>La Ramada</v>
          </cell>
          <cell r="G279">
            <v>4119</v>
          </cell>
          <cell r="H279" t="str">
            <v>Estatal</v>
          </cell>
          <cell r="I279" t="str">
            <v>Institución de ETP</v>
          </cell>
          <cell r="J279" t="str">
            <v xml:space="preserve">PRESBITERO ARTURO FAUSTO FIGUEROA S/N </v>
          </cell>
          <cell r="K279" t="str">
            <v>381-3014695</v>
          </cell>
          <cell r="L279" t="str">
            <v>atsalaramada@gmail.com</v>
          </cell>
          <cell r="M279" t="str">
            <v xml:space="preserve">BIOQUIMICA TRIVIÑO MARIA LETICIA </v>
          </cell>
          <cell r="N279" t="str">
            <v xml:space="preserve">RECTORA </v>
          </cell>
          <cell r="O279" t="str">
            <v>381-3014695</v>
          </cell>
          <cell r="P279" t="str">
            <v>lety1@hotmail.com</v>
          </cell>
          <cell r="Q279" t="str">
            <v xml:space="preserve">IBAÑEZ NANCY PAOLA </v>
          </cell>
          <cell r="R279" t="str">
            <v>COORDINADORA</v>
          </cell>
          <cell r="S279" t="str">
            <v>381-3014695</v>
          </cell>
          <cell r="T279" t="str">
            <v>nancyibanes@gmail.com</v>
          </cell>
          <cell r="U279">
            <v>2016</v>
          </cell>
          <cell r="V279" t="str">
            <v>-26.68309, -64.95171</v>
          </cell>
        </row>
        <row r="280">
          <cell r="B280">
            <v>900104007</v>
          </cell>
          <cell r="C280" t="str">
            <v>Instituto de Educación Superior (I.E.S.) N° 74 Anexo Delfín Gallo</v>
          </cell>
          <cell r="D280" t="str">
            <v>Tucumán</v>
          </cell>
          <cell r="E280" t="str">
            <v xml:space="preserve">Cruz Alta </v>
          </cell>
          <cell r="F280" t="str">
            <v xml:space="preserve">Delfin Gallo </v>
          </cell>
          <cell r="G280">
            <v>4117</v>
          </cell>
          <cell r="H280" t="str">
            <v>Estatal</v>
          </cell>
          <cell r="I280" t="str">
            <v>Institución de ETP</v>
          </cell>
          <cell r="J280" t="str">
            <v xml:space="preserve">CALLE PRINCIPAL WENCESLAO POSSE </v>
          </cell>
          <cell r="K280" t="str">
            <v>381-3023583</v>
          </cell>
          <cell r="L280" t="str">
            <v>luhisromano_32@hotmail.com</v>
          </cell>
          <cell r="M280" t="str">
            <v>BIOQUIMICA TRIVIÑO MARIA LETICIA</v>
          </cell>
          <cell r="N280" t="str">
            <v>RECTORA</v>
          </cell>
          <cell r="O280" t="str">
            <v>381-3023583</v>
          </cell>
          <cell r="P280" t="str">
            <v>lety1@hotmail.com</v>
          </cell>
          <cell r="Q280" t="str">
            <v xml:space="preserve">LIC. ROMANO LUIS ALBERTO </v>
          </cell>
          <cell r="R280" t="str">
            <v xml:space="preserve">COORDINADOR/ SUPERVISOR DEL INTERIOR </v>
          </cell>
          <cell r="S280" t="str">
            <v>381-3023583</v>
          </cell>
          <cell r="T280" t="str">
            <v>luhisromano_32@hotmail.com</v>
          </cell>
          <cell r="U280">
            <v>2016</v>
          </cell>
          <cell r="V280" t="str">
            <v>-26.85068, -65.08864</v>
          </cell>
        </row>
        <row r="281">
          <cell r="B281">
            <v>900104008</v>
          </cell>
          <cell r="C281" t="str">
            <v>Instituto de Educación Superior (I.E.S.) N° 74 Anexo Graneros</v>
          </cell>
          <cell r="D281" t="str">
            <v>Tucumán</v>
          </cell>
          <cell r="E281" t="str">
            <v>Graneros</v>
          </cell>
          <cell r="F281" t="str">
            <v>Graneros</v>
          </cell>
          <cell r="G281">
            <v>4159</v>
          </cell>
          <cell r="H281" t="str">
            <v>Estatal</v>
          </cell>
          <cell r="I281" t="str">
            <v>Institución de ETP</v>
          </cell>
          <cell r="J281" t="str">
            <v xml:space="preserve">25 DE MAYO Y LAVALLE </v>
          </cell>
          <cell r="K281" t="str">
            <v>3865-238128</v>
          </cell>
          <cell r="L281" t="str">
            <v>cent74graneros@gmail.com</v>
          </cell>
          <cell r="M281" t="str">
            <v xml:space="preserve">BIOQUIMICA TRIVIÑO MARIA LETICIA </v>
          </cell>
          <cell r="N281" t="str">
            <v xml:space="preserve">RECTORA </v>
          </cell>
          <cell r="O281" t="str">
            <v>381-238128</v>
          </cell>
          <cell r="P281" t="str">
            <v>lety1@hotmail.com</v>
          </cell>
          <cell r="Q281" t="str">
            <v xml:space="preserve">ACOSTA MARIELA SOLEDAD </v>
          </cell>
          <cell r="R281" t="str">
            <v xml:space="preserve">COORDINADORA </v>
          </cell>
          <cell r="S281" t="str">
            <v>3865-238128</v>
          </cell>
          <cell r="T281" t="str">
            <v>marielasoledadacosta1979@hotmail.com</v>
          </cell>
          <cell r="U281">
            <v>2016</v>
          </cell>
          <cell r="V281" t="str">
            <v>-27.648291226413047, -65.44088553536866</v>
          </cell>
        </row>
        <row r="282">
          <cell r="B282">
            <v>900104009</v>
          </cell>
          <cell r="C282" t="str">
            <v>Centro Educativo de Nivel Terciario (C.E.N.T.) N° 74 Anexo Simoca</v>
          </cell>
          <cell r="D282" t="str">
            <v>Tucumán</v>
          </cell>
          <cell r="E282" t="str">
            <v>Simoca</v>
          </cell>
          <cell r="F282" t="str">
            <v>Simoca</v>
          </cell>
          <cell r="G282">
            <v>4172</v>
          </cell>
          <cell r="H282" t="str">
            <v>Estatal</v>
          </cell>
          <cell r="I282" t="str">
            <v>Institución de ETP</v>
          </cell>
          <cell r="J282" t="str">
            <v xml:space="preserve">BELGRANO S/N </v>
          </cell>
          <cell r="K282" t="str">
            <v>3865-697947</v>
          </cell>
          <cell r="L282" t="str">
            <v xml:space="preserve">simocacent@gmail.com </v>
          </cell>
          <cell r="M282" t="str">
            <v xml:space="preserve">LIC LATIFE CAMILA DEL CARMEN </v>
          </cell>
          <cell r="N282" t="str">
            <v xml:space="preserve">COORDINADORA </v>
          </cell>
          <cell r="O282" t="str">
            <v>3865-697947</v>
          </cell>
          <cell r="P282" t="str">
            <v xml:space="preserve">camila_latife@hotmail.com </v>
          </cell>
          <cell r="Q282" t="str">
            <v xml:space="preserve">DRA. TRIVIÑO LETICIA </v>
          </cell>
          <cell r="R282" t="str">
            <v>RECTORA</v>
          </cell>
          <cell r="S282" t="str">
            <v>381-6434012</v>
          </cell>
          <cell r="T282" t="str">
            <v>letytri_1@hotmail.com</v>
          </cell>
          <cell r="U282">
            <v>2017</v>
          </cell>
          <cell r="V282" t="str">
            <v>-27.26303, -65.35782</v>
          </cell>
        </row>
        <row r="283">
          <cell r="B283">
            <v>900104010</v>
          </cell>
          <cell r="C283" t="str">
            <v>Centro Educativo de Nivel Terciario (C.E.N.T.) N° 74 Anexo Los Ralos</v>
          </cell>
          <cell r="D283" t="str">
            <v>Tucumán</v>
          </cell>
          <cell r="E283" t="str">
            <v>Cruz Alta</v>
          </cell>
          <cell r="F283" t="str">
            <v>Los Ralos</v>
          </cell>
          <cell r="G283">
            <v>4182</v>
          </cell>
          <cell r="H283" t="str">
            <v>Estatal</v>
          </cell>
          <cell r="I283" t="str">
            <v>Institución de ETP</v>
          </cell>
          <cell r="J283" t="str">
            <v xml:space="preserve">AV. SAN MARTIN S/N </v>
          </cell>
          <cell r="K283" t="str">
            <v>381-3200564</v>
          </cell>
          <cell r="L283" t="str">
            <v>eduardoargañaraz44@gmail.com</v>
          </cell>
          <cell r="M283" t="str">
            <v>E.P. ARGAÑARAZ EDUARDO</v>
          </cell>
          <cell r="N283" t="str">
            <v xml:space="preserve">COORDINADOR </v>
          </cell>
          <cell r="O283" t="str">
            <v>381-3200564</v>
          </cell>
          <cell r="P283" t="str">
            <v xml:space="preserve">eduardoargañaraz44@gmail.com </v>
          </cell>
          <cell r="Q283" t="str">
            <v xml:space="preserve">DRA. TRIVIÑO LETICIA </v>
          </cell>
          <cell r="R283" t="str">
            <v xml:space="preserve">RECTORA </v>
          </cell>
          <cell r="S283" t="str">
            <v>381-6434012</v>
          </cell>
          <cell r="T283" t="str">
            <v xml:space="preserve">letytri_1@hotmail.com </v>
          </cell>
          <cell r="U283">
            <v>2018</v>
          </cell>
          <cell r="V283" t="str">
            <v>-26.885998694476832, -64.9991687351356</v>
          </cell>
        </row>
        <row r="284">
          <cell r="B284">
            <v>900104011</v>
          </cell>
          <cell r="C284" t="str">
            <v>Centro Educativo de Nivel Terciario (C.E.N.T.) N° 74 Anexo Amaicha del Valle</v>
          </cell>
          <cell r="D284" t="str">
            <v>Tucumán</v>
          </cell>
          <cell r="E284" t="str">
            <v>Tafí del Valle</v>
          </cell>
          <cell r="F284" t="str">
            <v>Amaicha del Valle</v>
          </cell>
          <cell r="G284">
            <v>4137</v>
          </cell>
          <cell r="H284" t="str">
            <v>Estatal</v>
          </cell>
          <cell r="I284" t="str">
            <v>Institución de ETP</v>
          </cell>
          <cell r="J284" t="str">
            <v>RUTA 307</v>
          </cell>
          <cell r="K284" t="str">
            <v>3867-497299</v>
          </cell>
          <cell r="L284" t="str">
            <v>esc.enf.amaicha@gmail.com</v>
          </cell>
          <cell r="M284" t="str">
            <v>QUINTEROS MONICA ELISABETH</v>
          </cell>
          <cell r="N284" t="str">
            <v xml:space="preserve">COORDINADORA </v>
          </cell>
          <cell r="O284" t="str">
            <v>3867-497299</v>
          </cell>
          <cell r="P284" t="str">
            <v>moniquinteros@hotmail.com</v>
          </cell>
          <cell r="Q284" t="str">
            <v xml:space="preserve">DRA TRIVIÑO LETICIA </v>
          </cell>
          <cell r="R284" t="str">
            <v xml:space="preserve">RECTORA </v>
          </cell>
          <cell r="S284" t="str">
            <v>381-6434012</v>
          </cell>
          <cell r="T284" t="str">
            <v xml:space="preserve">letytri_1@hotmail.com </v>
          </cell>
          <cell r="U284">
            <v>2018</v>
          </cell>
          <cell r="V284" t="str">
            <v>-26.593053947861602, -65.92266361586618</v>
          </cell>
        </row>
        <row r="285">
          <cell r="B285">
            <v>900104013</v>
          </cell>
          <cell r="C285" t="str">
            <v>Centro Educativo de Nivel Terciario (C.E.N.T.) N° 74 Anexo Leales</v>
          </cell>
          <cell r="D285" t="str">
            <v>Tucumán</v>
          </cell>
          <cell r="E285" t="str">
            <v>Leales</v>
          </cell>
          <cell r="F285" t="str">
            <v>Santa Rosa de Leales</v>
          </cell>
          <cell r="G285">
            <v>4111</v>
          </cell>
          <cell r="H285" t="str">
            <v>Estatal</v>
          </cell>
          <cell r="I285" t="str">
            <v>Institución de ETP</v>
          </cell>
          <cell r="J285" t="str">
            <v>JUAN LUIS NOUGUES 200</v>
          </cell>
          <cell r="K285" t="str">
            <v>381-156628166</v>
          </cell>
          <cell r="L285" t="str">
            <v>cent74delegacionleales@gmail.com</v>
          </cell>
          <cell r="M285" t="str">
            <v xml:space="preserve">LIC MARCELA DEL VALLE SANCHEZ </v>
          </cell>
          <cell r="N285" t="str">
            <v>COORDINADORA</v>
          </cell>
          <cell r="O285" t="str">
            <v>381-156628166</v>
          </cell>
          <cell r="P285" t="str">
            <v>marcela-sanchez13@hotmail.com</v>
          </cell>
          <cell r="Q285" t="str">
            <v xml:space="preserve">DRA TRIVIÑO LETICIA </v>
          </cell>
          <cell r="R285" t="str">
            <v>RECTORA</v>
          </cell>
          <cell r="S285" t="str">
            <v>381-156434012</v>
          </cell>
          <cell r="T285" t="str">
            <v>letytri_1qhotmail.com</v>
          </cell>
          <cell r="U285">
            <v>2018</v>
          </cell>
          <cell r="V285" t="str">
            <v>-27.13535799094096, -65.26117932850264</v>
          </cell>
        </row>
        <row r="286">
          <cell r="B286">
            <v>940003200</v>
          </cell>
          <cell r="C286" t="str">
            <v>Centro Educativo de Nivel Terciario (C.E.N.T.) N° 35 Prof. Julián J. Godoy</v>
          </cell>
          <cell r="D286" t="str">
            <v>Tierra del Fuego</v>
          </cell>
          <cell r="E286" t="str">
            <v xml:space="preserve">Rio Grande </v>
          </cell>
          <cell r="F286" t="str">
            <v xml:space="preserve">Rio Grande </v>
          </cell>
          <cell r="G286">
            <v>9420</v>
          </cell>
          <cell r="H286" t="str">
            <v>Estatal</v>
          </cell>
          <cell r="I286" t="str">
            <v>Institución de ETP</v>
          </cell>
          <cell r="J286" t="str">
            <v>Mosconi 661</v>
          </cell>
          <cell r="K286" t="str">
            <v>2964-434030</v>
          </cell>
          <cell r="L286" t="str">
            <v>secretaria@cent35.edu.ar</v>
          </cell>
          <cell r="M286" t="str">
            <v>Whiteman Eduardo Walter</v>
          </cell>
          <cell r="N286" t="str">
            <v>rector suplente</v>
          </cell>
          <cell r="O286" t="str">
            <v>2964-434030</v>
          </cell>
          <cell r="P286" t="str">
            <v>edu.whiteman@gmail.com</v>
          </cell>
          <cell r="Q286" t="str">
            <v>Rosso Daniel Esteban</v>
          </cell>
          <cell r="R286" t="str">
            <v>coordinador</v>
          </cell>
          <cell r="S286" t="str">
            <v>2964-540912</v>
          </cell>
          <cell r="T286" t="str">
            <v>estebanrosso@hotmail.com</v>
          </cell>
          <cell r="U286">
            <v>2016</v>
          </cell>
          <cell r="V286" t="str">
            <v>-53.78603, -67.70022</v>
          </cell>
        </row>
        <row r="287">
          <cell r="B287">
            <v>940006500</v>
          </cell>
          <cell r="C287" t="str">
            <v>Centro Educativo de Nivel Terciario (C.E.N.T.) N° 11</v>
          </cell>
          <cell r="D287" t="str">
            <v>Tierra del Fuego</v>
          </cell>
          <cell r="E287" t="str">
            <v>Ushuaia</v>
          </cell>
          <cell r="F287" t="str">
            <v>Ushuaia</v>
          </cell>
          <cell r="G287">
            <v>9410</v>
          </cell>
          <cell r="H287" t="str">
            <v>Estatal</v>
          </cell>
          <cell r="I287" t="str">
            <v>Institución de ETP</v>
          </cell>
          <cell r="J287" t="str">
            <v>Constitución Fueguina 951</v>
          </cell>
          <cell r="K287" t="str">
            <v>2901-422959 / 444859</v>
          </cell>
          <cell r="L287" t="str">
            <v>cent11@tdf.edu.ar / rectoria@cent11.edu.ar</v>
          </cell>
          <cell r="M287" t="str">
            <v>Dr. Dante Mario Pellegrino</v>
          </cell>
          <cell r="N287" t="str">
            <v>Rector</v>
          </cell>
          <cell r="O287" t="str">
            <v>2901-422959 / 444859</v>
          </cell>
          <cell r="P287" t="str">
            <v>pellegrino_63@yahoo.com.ar</v>
          </cell>
          <cell r="Q287" t="str">
            <v>Dr Dante Mario Pellegrino/Lic Vanesa Ante/Mónica Favero/Gisela Asensio</v>
          </cell>
          <cell r="R287" t="str">
            <v>Dirección de Gestión del CENT 11</v>
          </cell>
          <cell r="S287" t="str">
            <v>2901-545524</v>
          </cell>
          <cell r="T287" t="str">
            <v>coordinacionrectoria@cent11.edu.ar/secretariaadministrativa@cent11.edu.ar</v>
          </cell>
          <cell r="U287">
            <v>2016</v>
          </cell>
          <cell r="V287" t="str">
            <v>-54.80191, -68.30295</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hyperlink" Target="mailto:ylerman@institutotezza.edu.ar" TargetMode="External" /><Relationship Id="rId1" Type="http://schemas.openxmlformats.org/officeDocument/2006/relationships/hyperlink" Target="mailto:cent74concepcion@gmail.com" TargetMode="External"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4.xml.rels><?xml version="1.0" encoding="UTF-8" standalone="yes"?>
<Relationships xmlns="http://schemas.openxmlformats.org/package/2006/relationships"><Relationship Id="rId3" Type="http://schemas.openxmlformats.org/officeDocument/2006/relationships/hyperlink" Target="mailto:fabiana.gonzalez4@gmail.com" TargetMode="External" /><Relationship Id="rId2" Type="http://schemas.openxmlformats.org/officeDocument/2006/relationships/hyperlink" Target="mailto:llapelle@yahoo.com.ar" TargetMode="External" /><Relationship Id="rId1" Type="http://schemas.openxmlformats.org/officeDocument/2006/relationships/hyperlink" Target="mailto:carrilloanexovillamaria@gmail.com" TargetMode="External" /><Relationship Id="rId6" Type="http://schemas.openxmlformats.org/officeDocument/2006/relationships/comments" Target="../comments2.xml" /><Relationship Id="rId5" Type="http://schemas.openxmlformats.org/officeDocument/2006/relationships/vmlDrawing" Target="../drawings/vmlDrawing2.vml" /><Relationship Id="rId4"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E828-A25F-4A26-BD02-3419A2D25930}">
  <dimension ref="A1:AR295"/>
  <sheetViews>
    <sheetView tabSelected="1" topLeftCell="D1" workbookViewId="0">
      <pane ySplit="2" topLeftCell="D3" activePane="bottomLeft" state="frozen"/>
      <selection activeCell="D1" sqref="D1"/>
      <selection pane="bottomLeft" activeCell="Q10" sqref="Q10"/>
    </sheetView>
  </sheetViews>
  <sheetFormatPr defaultColWidth="12.5078125" defaultRowHeight="30" customHeight="1" x14ac:dyDescent="0.2"/>
  <cols>
    <col min="1" max="1" width="4.03515625" style="105" bestFit="1" customWidth="1"/>
    <col min="2" max="2" width="11.1640625" style="105" customWidth="1"/>
    <col min="3" max="3" width="69.68359375" style="100" customWidth="1"/>
    <col min="4" max="5" width="18.83203125" style="105" hidden="1" customWidth="1"/>
    <col min="6" max="6" width="32.95703125" style="105" hidden="1" customWidth="1"/>
    <col min="7" max="7" width="6.45703125" style="105" hidden="1" customWidth="1"/>
    <col min="8" max="8" width="9.81640625" style="105" hidden="1" customWidth="1"/>
    <col min="9" max="9" width="18.83203125" style="105" hidden="1" customWidth="1"/>
    <col min="10" max="10" width="61.87890625" style="105" hidden="1" customWidth="1"/>
    <col min="11" max="11" width="18.83203125" style="105" customWidth="1"/>
    <col min="12" max="12" width="34.16796875" style="105" customWidth="1"/>
    <col min="13" max="13" width="18.83203125" style="105" customWidth="1"/>
    <col min="14" max="14" width="15.6015625" style="100" customWidth="1"/>
    <col min="15" max="15" width="28.25" style="105" customWidth="1"/>
    <col min="16" max="16" width="29.86328125" style="105" customWidth="1"/>
    <col min="17" max="17" width="23.40625" style="105" customWidth="1"/>
    <col min="18" max="18" width="22.05859375" style="105" customWidth="1"/>
    <col min="19" max="19" width="19.234375" style="105" customWidth="1"/>
    <col min="20" max="20" width="29.32421875" style="105" customWidth="1"/>
    <col min="21" max="21" width="12.375" style="105" customWidth="1"/>
    <col min="22" max="22" width="6.9921875" style="105" customWidth="1"/>
    <col min="23" max="23" width="26.36328125" style="105" customWidth="1"/>
    <col min="24" max="24" width="29.99609375" style="105" customWidth="1"/>
    <col min="25" max="25" width="37.53125" style="105" customWidth="1"/>
    <col min="26" max="26" width="29.7265625" style="105" customWidth="1"/>
    <col min="27" max="27" width="26.90234375" style="105" customWidth="1"/>
    <col min="28" max="33" width="18.83203125" style="105" customWidth="1"/>
    <col min="34" max="16384" width="12.5078125" style="105"/>
  </cols>
  <sheetData>
    <row r="1" spans="1:44" ht="30" customHeight="1" x14ac:dyDescent="0.4">
      <c r="C1" s="101" t="s">
        <v>2930</v>
      </c>
    </row>
    <row r="2" spans="1:44" s="107" customFormat="1" ht="30" customHeight="1" x14ac:dyDescent="0.2">
      <c r="A2" s="106" t="s">
        <v>3008</v>
      </c>
      <c r="B2" s="103" t="s">
        <v>1922</v>
      </c>
      <c r="C2" s="103" t="s">
        <v>1923</v>
      </c>
      <c r="D2" s="102" t="s">
        <v>1924</v>
      </c>
      <c r="E2" s="102" t="s">
        <v>1925</v>
      </c>
      <c r="F2" s="102" t="s">
        <v>1926</v>
      </c>
      <c r="G2" s="102" t="s">
        <v>1927</v>
      </c>
      <c r="H2" s="102" t="s">
        <v>1928</v>
      </c>
      <c r="I2" s="102" t="s">
        <v>1929</v>
      </c>
      <c r="J2" s="102" t="s">
        <v>1930</v>
      </c>
      <c r="K2" s="103" t="s">
        <v>1931</v>
      </c>
      <c r="L2" s="102" t="s">
        <v>1932</v>
      </c>
      <c r="M2" s="102" t="s">
        <v>1933</v>
      </c>
      <c r="N2" s="102" t="s">
        <v>1934</v>
      </c>
      <c r="O2" s="102" t="s">
        <v>1935</v>
      </c>
      <c r="P2" s="102" t="s">
        <v>1936</v>
      </c>
      <c r="Q2" s="102" t="s">
        <v>1937</v>
      </c>
      <c r="R2" s="102" t="s">
        <v>1934</v>
      </c>
      <c r="S2" s="102" t="s">
        <v>1938</v>
      </c>
      <c r="T2" s="102" t="s">
        <v>1939</v>
      </c>
      <c r="U2" s="102" t="s">
        <v>1940</v>
      </c>
      <c r="V2" s="104"/>
      <c r="W2" s="104"/>
      <c r="X2" s="104"/>
      <c r="Y2" s="104"/>
      <c r="Z2" s="104"/>
      <c r="AA2" s="104"/>
      <c r="AB2" s="104"/>
    </row>
    <row r="3" spans="1:44" s="1" customFormat="1" ht="30" customHeight="1" x14ac:dyDescent="0.2">
      <c r="A3" s="1">
        <v>1</v>
      </c>
      <c r="B3" s="30">
        <v>20017500</v>
      </c>
      <c r="C3" s="29" t="s">
        <v>1941</v>
      </c>
      <c r="D3" s="29" t="s">
        <v>1942</v>
      </c>
      <c r="E3" s="29" t="s">
        <v>1942</v>
      </c>
      <c r="F3" s="30" t="s">
        <v>1971</v>
      </c>
      <c r="G3" s="29">
        <v>1194</v>
      </c>
      <c r="H3" s="29" t="s">
        <v>2518</v>
      </c>
      <c r="I3" s="29" t="s">
        <v>2519</v>
      </c>
      <c r="J3" s="30" t="s">
        <v>1943</v>
      </c>
      <c r="K3" s="30" t="s">
        <v>1944</v>
      </c>
      <c r="L3" s="30" t="s">
        <v>1945</v>
      </c>
      <c r="M3" s="30" t="s">
        <v>1946</v>
      </c>
      <c r="N3" s="29" t="s">
        <v>6</v>
      </c>
      <c r="O3" s="30" t="s">
        <v>1947</v>
      </c>
      <c r="P3" s="30" t="s">
        <v>1945</v>
      </c>
      <c r="Q3" s="30" t="s">
        <v>1948</v>
      </c>
      <c r="R3" s="30" t="s">
        <v>8</v>
      </c>
      <c r="S3" s="30" t="s">
        <v>1949</v>
      </c>
      <c r="T3" s="30" t="s">
        <v>1950</v>
      </c>
      <c r="U3" s="29">
        <v>2018</v>
      </c>
    </row>
    <row r="4" spans="1:44" s="1" customFormat="1" ht="30" customHeight="1" x14ac:dyDescent="0.2">
      <c r="A4" s="1">
        <v>2</v>
      </c>
      <c r="B4" s="30">
        <v>20024000</v>
      </c>
      <c r="C4" s="29" t="s">
        <v>518</v>
      </c>
      <c r="D4" s="29" t="s">
        <v>1942</v>
      </c>
      <c r="E4" s="29" t="s">
        <v>1942</v>
      </c>
      <c r="F4" s="30" t="s">
        <v>1971</v>
      </c>
      <c r="G4" s="29">
        <v>1407</v>
      </c>
      <c r="H4" s="29" t="s">
        <v>2518</v>
      </c>
      <c r="I4" s="29" t="s">
        <v>2519</v>
      </c>
      <c r="J4" s="30" t="s">
        <v>519</v>
      </c>
      <c r="K4" s="30">
        <v>1149144459</v>
      </c>
      <c r="L4" s="30" t="s">
        <v>520</v>
      </c>
      <c r="M4" s="30" t="s">
        <v>521</v>
      </c>
      <c r="N4" s="29" t="s">
        <v>6</v>
      </c>
      <c r="O4" s="30">
        <v>1132109143</v>
      </c>
      <c r="P4" s="30" t="s">
        <v>522</v>
      </c>
      <c r="Q4" s="30" t="s">
        <v>523</v>
      </c>
      <c r="R4" s="30" t="s">
        <v>98</v>
      </c>
      <c r="S4" s="30">
        <v>1149144459</v>
      </c>
      <c r="T4" s="30" t="s">
        <v>520</v>
      </c>
      <c r="U4" s="29">
        <v>2019</v>
      </c>
      <c r="V4" s="105"/>
      <c r="W4" s="105"/>
      <c r="X4" s="105"/>
      <c r="Y4" s="105"/>
      <c r="Z4" s="105"/>
      <c r="AA4" s="105"/>
      <c r="AB4" s="105"/>
      <c r="AC4" s="105"/>
      <c r="AD4" s="105"/>
      <c r="AE4" s="105"/>
      <c r="AF4" s="105"/>
      <c r="AG4" s="105"/>
      <c r="AH4" s="105"/>
      <c r="AI4" s="105"/>
      <c r="AJ4" s="105"/>
      <c r="AK4" s="105"/>
      <c r="AL4" s="105"/>
      <c r="AM4" s="105"/>
      <c r="AN4" s="105"/>
      <c r="AO4" s="105"/>
      <c r="AP4" s="105"/>
      <c r="AQ4" s="105"/>
      <c r="AR4" s="105"/>
    </row>
    <row r="5" spans="1:44" s="1" customFormat="1" ht="30" customHeight="1" x14ac:dyDescent="0.2">
      <c r="A5" s="1">
        <v>3</v>
      </c>
      <c r="B5" s="30">
        <v>20036600</v>
      </c>
      <c r="C5" s="29" t="s">
        <v>865</v>
      </c>
      <c r="D5" s="29" t="s">
        <v>1942</v>
      </c>
      <c r="E5" s="29" t="s">
        <v>1942</v>
      </c>
      <c r="F5" s="30" t="s">
        <v>1971</v>
      </c>
      <c r="G5" s="29">
        <v>1405</v>
      </c>
      <c r="H5" s="29" t="s">
        <v>2557</v>
      </c>
      <c r="I5" s="29" t="s">
        <v>2519</v>
      </c>
      <c r="J5" s="30" t="s">
        <v>866</v>
      </c>
      <c r="K5" s="30" t="s">
        <v>867</v>
      </c>
      <c r="L5" s="30" t="s">
        <v>864</v>
      </c>
      <c r="M5" s="30" t="s">
        <v>868</v>
      </c>
      <c r="N5" s="29" t="s">
        <v>6</v>
      </c>
      <c r="O5" s="30">
        <v>1140736295</v>
      </c>
      <c r="P5" s="30" t="s">
        <v>864</v>
      </c>
      <c r="Q5" s="30" t="s">
        <v>869</v>
      </c>
      <c r="R5" s="30" t="s">
        <v>27</v>
      </c>
      <c r="S5" s="30" t="s">
        <v>870</v>
      </c>
      <c r="T5" s="30" t="s">
        <v>864</v>
      </c>
      <c r="U5" s="29">
        <v>2016</v>
      </c>
      <c r="AL5" s="3"/>
      <c r="AM5" s="3"/>
    </row>
    <row r="6" spans="1:44" s="1" customFormat="1" ht="30" customHeight="1" x14ac:dyDescent="0.2">
      <c r="A6" s="1">
        <v>4</v>
      </c>
      <c r="B6" s="30">
        <v>20036601</v>
      </c>
      <c r="C6" s="29" t="s">
        <v>871</v>
      </c>
      <c r="D6" s="29" t="s">
        <v>1942</v>
      </c>
      <c r="E6" s="29" t="s">
        <v>1942</v>
      </c>
      <c r="F6" s="30" t="s">
        <v>1971</v>
      </c>
      <c r="G6" s="29">
        <v>1439</v>
      </c>
      <c r="H6" s="29" t="s">
        <v>2557</v>
      </c>
      <c r="I6" s="29" t="s">
        <v>2519</v>
      </c>
      <c r="J6" s="30" t="s">
        <v>872</v>
      </c>
      <c r="K6" s="30" t="s">
        <v>873</v>
      </c>
      <c r="L6" s="30" t="s">
        <v>864</v>
      </c>
      <c r="M6" s="30" t="s">
        <v>868</v>
      </c>
      <c r="N6" s="29" t="s">
        <v>6</v>
      </c>
      <c r="O6" s="30">
        <v>1140736295</v>
      </c>
      <c r="P6" s="30" t="s">
        <v>864</v>
      </c>
      <c r="Q6" s="30" t="s">
        <v>868</v>
      </c>
      <c r="R6" s="30" t="s">
        <v>27</v>
      </c>
      <c r="S6" s="30" t="s">
        <v>870</v>
      </c>
      <c r="T6" s="30" t="s">
        <v>864</v>
      </c>
      <c r="U6" s="29">
        <v>2016</v>
      </c>
      <c r="AL6" s="3"/>
      <c r="AM6" s="3"/>
    </row>
    <row r="7" spans="1:44" s="1" customFormat="1" ht="30" customHeight="1" x14ac:dyDescent="0.2">
      <c r="A7" s="1">
        <v>5</v>
      </c>
      <c r="B7" s="30">
        <v>20053100</v>
      </c>
      <c r="C7" s="29" t="s">
        <v>122</v>
      </c>
      <c r="D7" s="29" t="s">
        <v>1942</v>
      </c>
      <c r="E7" s="29" t="s">
        <v>1942</v>
      </c>
      <c r="F7" s="30" t="s">
        <v>1971</v>
      </c>
      <c r="G7" s="29">
        <v>1429</v>
      </c>
      <c r="H7" s="29" t="s">
        <v>2518</v>
      </c>
      <c r="I7" s="29" t="s">
        <v>2519</v>
      </c>
      <c r="J7" s="30" t="s">
        <v>123</v>
      </c>
      <c r="K7" s="30">
        <v>1125032111</v>
      </c>
      <c r="L7" s="30" t="s">
        <v>121</v>
      </c>
      <c r="M7" s="30" t="s">
        <v>124</v>
      </c>
      <c r="N7" s="29" t="s">
        <v>6</v>
      </c>
      <c r="O7" s="30">
        <v>1152603912</v>
      </c>
      <c r="P7" s="30" t="s">
        <v>121</v>
      </c>
      <c r="Q7" s="30" t="s">
        <v>125</v>
      </c>
      <c r="R7" s="30" t="s">
        <v>8</v>
      </c>
      <c r="S7" s="30">
        <v>1161743845</v>
      </c>
      <c r="T7" s="30" t="s">
        <v>126</v>
      </c>
      <c r="U7" s="29">
        <v>2016</v>
      </c>
    </row>
    <row r="8" spans="1:44" s="1" customFormat="1" ht="30" customHeight="1" x14ac:dyDescent="0.2">
      <c r="A8" s="1">
        <v>6</v>
      </c>
      <c r="B8" s="30">
        <v>20053900</v>
      </c>
      <c r="C8" s="29" t="s">
        <v>500</v>
      </c>
      <c r="D8" s="29" t="s">
        <v>1942</v>
      </c>
      <c r="E8" s="29" t="s">
        <v>1942</v>
      </c>
      <c r="F8" s="30" t="s">
        <v>1971</v>
      </c>
      <c r="G8" s="29">
        <v>1209</v>
      </c>
      <c r="H8" s="29" t="s">
        <v>2518</v>
      </c>
      <c r="I8" s="29" t="s">
        <v>2519</v>
      </c>
      <c r="J8" s="30" t="s">
        <v>501</v>
      </c>
      <c r="K8" s="30" t="s">
        <v>2021</v>
      </c>
      <c r="L8" s="30" t="s">
        <v>499</v>
      </c>
      <c r="M8" s="30" t="s">
        <v>503</v>
      </c>
      <c r="N8" s="29" t="s">
        <v>6</v>
      </c>
      <c r="O8" s="30" t="s">
        <v>504</v>
      </c>
      <c r="P8" s="30" t="s">
        <v>499</v>
      </c>
      <c r="Q8" s="30" t="s">
        <v>505</v>
      </c>
      <c r="R8" s="30" t="s">
        <v>17</v>
      </c>
      <c r="S8" s="30" t="s">
        <v>506</v>
      </c>
      <c r="T8" s="30" t="s">
        <v>507</v>
      </c>
      <c r="U8" s="29">
        <v>2017</v>
      </c>
    </row>
    <row r="9" spans="1:44" s="1" customFormat="1" ht="30" customHeight="1" x14ac:dyDescent="0.2">
      <c r="A9" s="1">
        <v>7</v>
      </c>
      <c r="B9" s="30">
        <v>20089000</v>
      </c>
      <c r="C9" s="29" t="s">
        <v>156</v>
      </c>
      <c r="D9" s="29" t="s">
        <v>1942</v>
      </c>
      <c r="E9" s="29" t="s">
        <v>1942</v>
      </c>
      <c r="F9" s="30" t="s">
        <v>1971</v>
      </c>
      <c r="G9" s="29">
        <v>1083</v>
      </c>
      <c r="H9" s="29" t="s">
        <v>2518</v>
      </c>
      <c r="I9" s="29" t="s">
        <v>2519</v>
      </c>
      <c r="J9" s="30" t="s">
        <v>157</v>
      </c>
      <c r="K9" s="30">
        <v>1159698262</v>
      </c>
      <c r="L9" s="30" t="s">
        <v>155</v>
      </c>
      <c r="M9" s="30" t="s">
        <v>1980</v>
      </c>
      <c r="N9" s="29" t="s">
        <v>6</v>
      </c>
      <c r="O9" s="30">
        <v>1153420107</v>
      </c>
      <c r="P9" s="30" t="s">
        <v>158</v>
      </c>
      <c r="Q9" s="30" t="s">
        <v>159</v>
      </c>
      <c r="R9" s="30" t="s">
        <v>8</v>
      </c>
      <c r="S9" s="30">
        <v>1159698262</v>
      </c>
      <c r="T9" s="30" t="s">
        <v>155</v>
      </c>
      <c r="U9" s="29">
        <v>2016</v>
      </c>
    </row>
    <row r="10" spans="1:44" s="1" customFormat="1" ht="30" customHeight="1" x14ac:dyDescent="0.2">
      <c r="A10" s="1">
        <v>8</v>
      </c>
      <c r="B10" s="30">
        <v>20096900</v>
      </c>
      <c r="C10" s="29" t="s">
        <v>420</v>
      </c>
      <c r="D10" s="29" t="s">
        <v>1942</v>
      </c>
      <c r="E10" s="29" t="s">
        <v>1942</v>
      </c>
      <c r="F10" s="30" t="s">
        <v>1971</v>
      </c>
      <c r="G10" s="29">
        <v>1417</v>
      </c>
      <c r="H10" s="29" t="s">
        <v>2518</v>
      </c>
      <c r="I10" s="29" t="s">
        <v>2519</v>
      </c>
      <c r="J10" s="30" t="s">
        <v>421</v>
      </c>
      <c r="K10" s="30">
        <v>1138640707</v>
      </c>
      <c r="L10" s="30" t="s">
        <v>422</v>
      </c>
      <c r="M10" s="30" t="s">
        <v>423</v>
      </c>
      <c r="N10" s="29" t="s">
        <v>6</v>
      </c>
      <c r="O10" s="30" t="s">
        <v>424</v>
      </c>
      <c r="P10" s="30" t="s">
        <v>425</v>
      </c>
      <c r="Q10" s="30" t="s">
        <v>423</v>
      </c>
      <c r="R10" s="30" t="s">
        <v>6</v>
      </c>
      <c r="S10" s="30" t="s">
        <v>424</v>
      </c>
      <c r="T10" s="30" t="s">
        <v>425</v>
      </c>
      <c r="U10" s="29">
        <v>2018</v>
      </c>
    </row>
    <row r="11" spans="1:44" s="1" customFormat="1" ht="30" customHeight="1" x14ac:dyDescent="0.2">
      <c r="A11" s="1">
        <v>9</v>
      </c>
      <c r="B11" s="30">
        <v>20142000</v>
      </c>
      <c r="C11" s="29" t="s">
        <v>183</v>
      </c>
      <c r="D11" s="29" t="s">
        <v>1942</v>
      </c>
      <c r="E11" s="29" t="s">
        <v>1942</v>
      </c>
      <c r="F11" s="30" t="s">
        <v>1971</v>
      </c>
      <c r="G11" s="29">
        <v>1117</v>
      </c>
      <c r="H11" s="29" t="s">
        <v>2518</v>
      </c>
      <c r="I11" s="29" t="s">
        <v>2519</v>
      </c>
      <c r="J11" s="30" t="s">
        <v>184</v>
      </c>
      <c r="K11" s="30" t="s">
        <v>185</v>
      </c>
      <c r="L11" s="30" t="s">
        <v>182</v>
      </c>
      <c r="M11" s="30" t="s">
        <v>1985</v>
      </c>
      <c r="N11" s="29" t="s">
        <v>6</v>
      </c>
      <c r="O11" s="30">
        <v>1168326747</v>
      </c>
      <c r="P11" s="30" t="s">
        <v>186</v>
      </c>
      <c r="Q11" s="30" t="s">
        <v>1985</v>
      </c>
      <c r="R11" s="30" t="s">
        <v>6</v>
      </c>
      <c r="S11" s="30">
        <v>1168326747</v>
      </c>
      <c r="T11" s="30" t="s">
        <v>186</v>
      </c>
      <c r="U11" s="29">
        <v>2022</v>
      </c>
      <c r="Y11" s="2"/>
      <c r="AC11" s="2"/>
    </row>
    <row r="12" spans="1:44" s="1" customFormat="1" ht="30" customHeight="1" x14ac:dyDescent="0.2">
      <c r="A12" s="1">
        <v>10</v>
      </c>
      <c r="B12" s="30">
        <v>20174400</v>
      </c>
      <c r="C12" s="29" t="s">
        <v>116</v>
      </c>
      <c r="D12" s="29" t="s">
        <v>1942</v>
      </c>
      <c r="E12" s="29" t="s">
        <v>1942</v>
      </c>
      <c r="F12" s="30" t="s">
        <v>1971</v>
      </c>
      <c r="G12" s="29">
        <v>1405</v>
      </c>
      <c r="H12" s="29" t="s">
        <v>2518</v>
      </c>
      <c r="I12" s="29" t="s">
        <v>2519</v>
      </c>
      <c r="J12" s="30" t="s">
        <v>117</v>
      </c>
      <c r="K12" s="30" t="s">
        <v>1972</v>
      </c>
      <c r="L12" s="4" t="s">
        <v>3030</v>
      </c>
      <c r="M12" s="30" t="s">
        <v>1973</v>
      </c>
      <c r="N12" s="29" t="s">
        <v>6</v>
      </c>
      <c r="O12" s="30">
        <v>1158072426</v>
      </c>
      <c r="P12" s="30"/>
      <c r="Q12" s="30" t="s">
        <v>119</v>
      </c>
      <c r="R12" s="30" t="s">
        <v>17</v>
      </c>
      <c r="S12" s="30">
        <v>1131003925</v>
      </c>
      <c r="T12" s="30" t="s">
        <v>120</v>
      </c>
      <c r="U12" s="29">
        <v>2016</v>
      </c>
    </row>
    <row r="13" spans="1:44" s="1" customFormat="1" ht="30" customHeight="1" x14ac:dyDescent="0.2">
      <c r="A13" s="1">
        <v>11</v>
      </c>
      <c r="B13" s="30">
        <v>20191900</v>
      </c>
      <c r="C13" s="29" t="s">
        <v>1906</v>
      </c>
      <c r="D13" s="29" t="s">
        <v>1942</v>
      </c>
      <c r="E13" s="29" t="s">
        <v>1942</v>
      </c>
      <c r="F13" s="30" t="s">
        <v>1971</v>
      </c>
      <c r="G13" s="29">
        <v>1406</v>
      </c>
      <c r="H13" s="29" t="s">
        <v>2518</v>
      </c>
      <c r="I13" s="29" t="s">
        <v>2519</v>
      </c>
      <c r="J13" s="30" t="s">
        <v>1907</v>
      </c>
      <c r="K13" s="30" t="s">
        <v>1908</v>
      </c>
      <c r="L13" s="30" t="s">
        <v>1909</v>
      </c>
      <c r="M13" s="30" t="s">
        <v>1910</v>
      </c>
      <c r="N13" s="29" t="s">
        <v>6</v>
      </c>
      <c r="O13" s="30">
        <v>1168160274</v>
      </c>
      <c r="P13" s="30" t="s">
        <v>1909</v>
      </c>
      <c r="Q13" s="30" t="s">
        <v>1911</v>
      </c>
      <c r="R13" s="30" t="s">
        <v>17</v>
      </c>
      <c r="S13" s="30">
        <v>1169086864</v>
      </c>
      <c r="T13" s="30" t="s">
        <v>1912</v>
      </c>
      <c r="U13" s="29">
        <v>2022</v>
      </c>
      <c r="AL13" s="3"/>
      <c r="AM13" s="3"/>
    </row>
    <row r="14" spans="1:44" s="1" customFormat="1" ht="30" customHeight="1" x14ac:dyDescent="0.2">
      <c r="A14" s="1">
        <v>12</v>
      </c>
      <c r="B14" s="30">
        <v>20224200</v>
      </c>
      <c r="C14" s="29" t="s">
        <v>436</v>
      </c>
      <c r="D14" s="29" t="s">
        <v>1942</v>
      </c>
      <c r="E14" s="29" t="s">
        <v>1942</v>
      </c>
      <c r="F14" s="30" t="s">
        <v>1971</v>
      </c>
      <c r="G14" s="29">
        <v>1095</v>
      </c>
      <c r="H14" s="29" t="s">
        <v>2518</v>
      </c>
      <c r="I14" s="29" t="s">
        <v>2519</v>
      </c>
      <c r="J14" s="30" t="s">
        <v>437</v>
      </c>
      <c r="K14" s="30">
        <v>53546641</v>
      </c>
      <c r="L14" s="30" t="s">
        <v>438</v>
      </c>
      <c r="M14" s="30" t="s">
        <v>439</v>
      </c>
      <c r="N14" s="29" t="s">
        <v>6</v>
      </c>
      <c r="O14" s="30" t="s">
        <v>440</v>
      </c>
      <c r="P14" s="30" t="s">
        <v>438</v>
      </c>
      <c r="Q14" s="30" t="s">
        <v>441</v>
      </c>
      <c r="R14" s="30" t="s">
        <v>8</v>
      </c>
      <c r="S14" s="30" t="s">
        <v>442</v>
      </c>
      <c r="T14" s="30" t="s">
        <v>435</v>
      </c>
      <c r="U14" s="29">
        <v>2017</v>
      </c>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row>
    <row r="15" spans="1:44" s="1" customFormat="1" ht="30" customHeight="1" x14ac:dyDescent="0.2">
      <c r="A15" s="1">
        <v>13</v>
      </c>
      <c r="B15" s="30">
        <v>20234600</v>
      </c>
      <c r="C15" s="29" t="s">
        <v>2018</v>
      </c>
      <c r="D15" s="29" t="s">
        <v>1942</v>
      </c>
      <c r="E15" s="29" t="s">
        <v>1942</v>
      </c>
      <c r="F15" s="30" t="s">
        <v>1971</v>
      </c>
      <c r="G15" s="29">
        <v>1408</v>
      </c>
      <c r="H15" s="29" t="s">
        <v>2518</v>
      </c>
      <c r="I15" s="29" t="s">
        <v>2519</v>
      </c>
      <c r="J15" s="30" t="s">
        <v>477</v>
      </c>
      <c r="K15" s="30">
        <v>1146446117</v>
      </c>
      <c r="L15" s="30" t="s">
        <v>476</v>
      </c>
      <c r="M15" s="30" t="s">
        <v>478</v>
      </c>
      <c r="N15" s="29" t="s">
        <v>6</v>
      </c>
      <c r="O15" s="30">
        <v>1166079393</v>
      </c>
      <c r="P15" s="30" t="s">
        <v>479</v>
      </c>
      <c r="Q15" s="30" t="s">
        <v>480</v>
      </c>
      <c r="R15" s="30" t="s">
        <v>98</v>
      </c>
      <c r="S15" s="30">
        <v>1141932903</v>
      </c>
      <c r="T15" s="30" t="s">
        <v>481</v>
      </c>
      <c r="U15" s="29">
        <v>2022</v>
      </c>
    </row>
    <row r="16" spans="1:44" s="1" customFormat="1" ht="30" customHeight="1" x14ac:dyDescent="0.2">
      <c r="A16" s="1">
        <v>14</v>
      </c>
      <c r="B16" s="30">
        <v>20245000</v>
      </c>
      <c r="C16" s="29" t="s">
        <v>103</v>
      </c>
      <c r="D16" s="29" t="s">
        <v>1942</v>
      </c>
      <c r="E16" s="29" t="s">
        <v>1942</v>
      </c>
      <c r="F16" s="30" t="s">
        <v>1971</v>
      </c>
      <c r="G16" s="29">
        <v>1229</v>
      </c>
      <c r="H16" s="29" t="s">
        <v>2518</v>
      </c>
      <c r="I16" s="29" t="s">
        <v>2519</v>
      </c>
      <c r="J16" s="30" t="s">
        <v>104</v>
      </c>
      <c r="K16" s="30" t="s">
        <v>1966</v>
      </c>
      <c r="L16" s="30" t="s">
        <v>102</v>
      </c>
      <c r="M16" s="30" t="s">
        <v>105</v>
      </c>
      <c r="N16" s="29" t="s">
        <v>6</v>
      </c>
      <c r="O16" s="30" t="s">
        <v>106</v>
      </c>
      <c r="P16" s="30" t="s">
        <v>107</v>
      </c>
      <c r="Q16" s="30" t="s">
        <v>108</v>
      </c>
      <c r="R16" s="30" t="s">
        <v>8</v>
      </c>
      <c r="S16" s="30" t="s">
        <v>109</v>
      </c>
      <c r="T16" s="30" t="s">
        <v>110</v>
      </c>
      <c r="U16" s="29">
        <v>2017</v>
      </c>
      <c r="AL16" s="3"/>
      <c r="AM16" s="3"/>
    </row>
    <row r="17" spans="1:44" s="1" customFormat="1" ht="30" customHeight="1" x14ac:dyDescent="0.2">
      <c r="A17" s="1">
        <v>15</v>
      </c>
      <c r="B17" s="30">
        <v>20282200</v>
      </c>
      <c r="C17" s="29" t="s">
        <v>1877</v>
      </c>
      <c r="D17" s="29" t="s">
        <v>1942</v>
      </c>
      <c r="E17" s="29" t="s">
        <v>1942</v>
      </c>
      <c r="F17" s="30" t="s">
        <v>1971</v>
      </c>
      <c r="G17" s="29">
        <v>1056</v>
      </c>
      <c r="H17" s="29" t="s">
        <v>2518</v>
      </c>
      <c r="I17" s="29" t="s">
        <v>2519</v>
      </c>
      <c r="J17" s="30" t="s">
        <v>1878</v>
      </c>
      <c r="K17" s="30">
        <v>52737984</v>
      </c>
      <c r="L17" s="30" t="s">
        <v>1879</v>
      </c>
      <c r="M17" s="30" t="s">
        <v>1880</v>
      </c>
      <c r="N17" s="29" t="s">
        <v>6</v>
      </c>
      <c r="O17" s="30">
        <v>52737984</v>
      </c>
      <c r="P17" s="30" t="s">
        <v>1879</v>
      </c>
      <c r="Q17" s="30" t="s">
        <v>1881</v>
      </c>
      <c r="R17" s="30" t="s">
        <v>8</v>
      </c>
      <c r="S17" s="30">
        <v>52737984</v>
      </c>
      <c r="T17" s="30" t="s">
        <v>1882</v>
      </c>
      <c r="U17" s="29">
        <v>2018</v>
      </c>
    </row>
    <row r="18" spans="1:44" s="1" customFormat="1" ht="30" customHeight="1" x14ac:dyDescent="0.2">
      <c r="A18" s="1">
        <v>16</v>
      </c>
      <c r="B18" s="30">
        <v>20282300</v>
      </c>
      <c r="C18" s="29" t="s">
        <v>484</v>
      </c>
      <c r="D18" s="29" t="s">
        <v>1942</v>
      </c>
      <c r="E18" s="29" t="s">
        <v>1942</v>
      </c>
      <c r="F18" s="30" t="s">
        <v>1971</v>
      </c>
      <c r="G18" s="29">
        <v>1424</v>
      </c>
      <c r="H18" s="29" t="s">
        <v>2518</v>
      </c>
      <c r="I18" s="29" t="s">
        <v>2519</v>
      </c>
      <c r="J18" s="30" t="s">
        <v>485</v>
      </c>
      <c r="K18" s="30">
        <v>-49820925</v>
      </c>
      <c r="L18" s="30" t="s">
        <v>483</v>
      </c>
      <c r="M18" s="30" t="s">
        <v>486</v>
      </c>
      <c r="N18" s="29" t="s">
        <v>6</v>
      </c>
      <c r="O18" s="30" t="s">
        <v>487</v>
      </c>
      <c r="P18" s="30" t="s">
        <v>488</v>
      </c>
      <c r="Q18" s="30" t="s">
        <v>489</v>
      </c>
      <c r="R18" s="30" t="s">
        <v>27</v>
      </c>
      <c r="S18" s="30" t="s">
        <v>487</v>
      </c>
      <c r="T18" s="30" t="s">
        <v>490</v>
      </c>
      <c r="U18" s="29">
        <v>2022</v>
      </c>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row>
    <row r="19" spans="1:44" s="1" customFormat="1" ht="30" customHeight="1" x14ac:dyDescent="0.2">
      <c r="A19" s="1">
        <v>17</v>
      </c>
      <c r="B19" s="30">
        <v>20286200</v>
      </c>
      <c r="C19" s="29" t="s">
        <v>510</v>
      </c>
      <c r="D19" s="29" t="s">
        <v>1942</v>
      </c>
      <c r="E19" s="29" t="s">
        <v>1942</v>
      </c>
      <c r="F19" s="30" t="s">
        <v>1971</v>
      </c>
      <c r="G19" s="29">
        <v>1437</v>
      </c>
      <c r="H19" s="29" t="s">
        <v>2518</v>
      </c>
      <c r="I19" s="29" t="s">
        <v>2519</v>
      </c>
      <c r="J19" s="30" t="s">
        <v>3029</v>
      </c>
      <c r="K19" s="30" t="s">
        <v>2022</v>
      </c>
      <c r="L19" s="30" t="s">
        <v>509</v>
      </c>
      <c r="M19" s="30" t="s">
        <v>512</v>
      </c>
      <c r="N19" s="29" t="s">
        <v>6</v>
      </c>
      <c r="O19" s="30" t="s">
        <v>513</v>
      </c>
      <c r="P19" s="30" t="s">
        <v>509</v>
      </c>
      <c r="Q19" s="30" t="s">
        <v>514</v>
      </c>
      <c r="R19" s="30" t="s">
        <v>17</v>
      </c>
      <c r="S19" s="30" t="s">
        <v>515</v>
      </c>
      <c r="T19" s="30" t="s">
        <v>516</v>
      </c>
      <c r="U19" s="29">
        <v>2022</v>
      </c>
    </row>
    <row r="20" spans="1:44" s="1" customFormat="1" ht="30" customHeight="1" x14ac:dyDescent="0.2">
      <c r="A20" s="1">
        <v>18</v>
      </c>
      <c r="B20" s="30">
        <v>20299400</v>
      </c>
      <c r="C20" s="29" t="s">
        <v>308</v>
      </c>
      <c r="D20" s="29" t="s">
        <v>1942</v>
      </c>
      <c r="E20" s="29" t="s">
        <v>1942</v>
      </c>
      <c r="F20" s="30" t="s">
        <v>1971</v>
      </c>
      <c r="G20" s="29">
        <v>1113</v>
      </c>
      <c r="H20" s="29" t="s">
        <v>2518</v>
      </c>
      <c r="I20" s="29" t="s">
        <v>2519</v>
      </c>
      <c r="J20" s="30" t="s">
        <v>309</v>
      </c>
      <c r="K20" s="30" t="s">
        <v>310</v>
      </c>
      <c r="L20" s="30" t="s">
        <v>307</v>
      </c>
      <c r="M20" s="30" t="s">
        <v>311</v>
      </c>
      <c r="N20" s="29" t="s">
        <v>6</v>
      </c>
      <c r="O20" s="30" t="s">
        <v>310</v>
      </c>
      <c r="P20" s="30" t="s">
        <v>307</v>
      </c>
      <c r="Q20" s="30" t="s">
        <v>311</v>
      </c>
      <c r="R20" s="30" t="s">
        <v>6</v>
      </c>
      <c r="S20" s="30" t="s">
        <v>310</v>
      </c>
      <c r="T20" s="30" t="s">
        <v>307</v>
      </c>
      <c r="U20" s="29">
        <v>2018</v>
      </c>
    </row>
    <row r="21" spans="1:44" s="1" customFormat="1" ht="30" customHeight="1" x14ac:dyDescent="0.2">
      <c r="A21" s="1">
        <v>19</v>
      </c>
      <c r="B21" s="30">
        <v>20304900</v>
      </c>
      <c r="C21" s="29" t="s">
        <v>129</v>
      </c>
      <c r="D21" s="29" t="s">
        <v>1942</v>
      </c>
      <c r="E21" s="29" t="s">
        <v>1942</v>
      </c>
      <c r="F21" s="30" t="s">
        <v>1971</v>
      </c>
      <c r="G21" s="29">
        <v>1096</v>
      </c>
      <c r="H21" s="29" t="s">
        <v>2518</v>
      </c>
      <c r="I21" s="29" t="s">
        <v>2519</v>
      </c>
      <c r="J21" s="30" t="s">
        <v>130</v>
      </c>
      <c r="K21" s="30">
        <v>8103336337</v>
      </c>
      <c r="L21" s="30" t="s">
        <v>131</v>
      </c>
      <c r="M21" s="30" t="s">
        <v>132</v>
      </c>
      <c r="N21" s="29" t="s">
        <v>6</v>
      </c>
      <c r="O21" s="30">
        <v>1150632839</v>
      </c>
      <c r="P21" s="30" t="s">
        <v>128</v>
      </c>
      <c r="Q21" s="30" t="s">
        <v>132</v>
      </c>
      <c r="R21" s="30" t="s">
        <v>6</v>
      </c>
      <c r="S21" s="30">
        <v>1150632839</v>
      </c>
      <c r="T21" s="30" t="s">
        <v>128</v>
      </c>
      <c r="U21" s="29">
        <v>2022</v>
      </c>
    </row>
    <row r="22" spans="1:44" s="1" customFormat="1" ht="30" customHeight="1" x14ac:dyDescent="0.2">
      <c r="A22" s="1">
        <v>20</v>
      </c>
      <c r="B22" s="30">
        <v>20314900</v>
      </c>
      <c r="C22" s="29" t="s">
        <v>162</v>
      </c>
      <c r="D22" s="29" t="s">
        <v>1942</v>
      </c>
      <c r="E22" s="29" t="s">
        <v>1942</v>
      </c>
      <c r="F22" s="30" t="s">
        <v>1971</v>
      </c>
      <c r="G22" s="29">
        <v>1437</v>
      </c>
      <c r="H22" s="29" t="s">
        <v>2518</v>
      </c>
      <c r="I22" s="29" t="s">
        <v>2519</v>
      </c>
      <c r="J22" s="30" t="s">
        <v>163</v>
      </c>
      <c r="K22" s="30" t="s">
        <v>164</v>
      </c>
      <c r="L22" s="30" t="s">
        <v>161</v>
      </c>
      <c r="M22" s="30" t="s">
        <v>1982</v>
      </c>
      <c r="N22" s="29" t="s">
        <v>6</v>
      </c>
      <c r="O22" s="30" t="s">
        <v>164</v>
      </c>
      <c r="P22" s="30" t="s">
        <v>161</v>
      </c>
      <c r="Q22" s="30" t="s">
        <v>165</v>
      </c>
      <c r="R22" s="30" t="s">
        <v>17</v>
      </c>
      <c r="S22" s="30" t="s">
        <v>164</v>
      </c>
      <c r="T22" s="30" t="s">
        <v>161</v>
      </c>
      <c r="U22" s="29">
        <v>2022</v>
      </c>
    </row>
    <row r="23" spans="1:44" s="1" customFormat="1" ht="30" customHeight="1" x14ac:dyDescent="0.2">
      <c r="A23" s="1">
        <v>21</v>
      </c>
      <c r="B23" s="30">
        <v>60008000</v>
      </c>
      <c r="C23" s="29" t="s">
        <v>1337</v>
      </c>
      <c r="D23" s="29" t="s">
        <v>2544</v>
      </c>
      <c r="E23" s="29" t="s">
        <v>2767</v>
      </c>
      <c r="F23" s="30" t="s">
        <v>2767</v>
      </c>
      <c r="G23" s="29">
        <v>7635</v>
      </c>
      <c r="H23" s="29" t="s">
        <v>2557</v>
      </c>
      <c r="I23" s="29" t="s">
        <v>2558</v>
      </c>
      <c r="J23" s="30" t="s">
        <v>1338</v>
      </c>
      <c r="K23" s="30">
        <v>2261442053</v>
      </c>
      <c r="L23" s="30" t="s">
        <v>1339</v>
      </c>
      <c r="M23" s="30" t="s">
        <v>1340</v>
      </c>
      <c r="N23" s="29" t="s">
        <v>33</v>
      </c>
      <c r="O23" s="30">
        <v>2262534654</v>
      </c>
      <c r="P23" s="30" t="s">
        <v>1341</v>
      </c>
      <c r="Q23" s="30" t="s">
        <v>1340</v>
      </c>
      <c r="R23" s="30" t="s">
        <v>8</v>
      </c>
      <c r="S23" s="30">
        <v>2262534654</v>
      </c>
      <c r="T23" s="30" t="s">
        <v>1339</v>
      </c>
      <c r="U23" s="29">
        <v>2022</v>
      </c>
    </row>
    <row r="24" spans="1:44" s="1" customFormat="1" ht="30" customHeight="1" x14ac:dyDescent="0.2">
      <c r="A24" s="1">
        <v>22</v>
      </c>
      <c r="B24" s="30">
        <v>60011700</v>
      </c>
      <c r="C24" s="29" t="s">
        <v>285</v>
      </c>
      <c r="D24" s="29" t="s">
        <v>2544</v>
      </c>
      <c r="E24" s="29" t="s">
        <v>2769</v>
      </c>
      <c r="F24" s="30" t="s">
        <v>2769</v>
      </c>
      <c r="G24" s="29">
        <v>1686</v>
      </c>
      <c r="H24" s="29" t="s">
        <v>2518</v>
      </c>
      <c r="I24" s="29" t="s">
        <v>2519</v>
      </c>
      <c r="J24" s="30" t="s">
        <v>286</v>
      </c>
      <c r="K24" s="30">
        <v>1152949019</v>
      </c>
      <c r="L24" s="30" t="s">
        <v>284</v>
      </c>
      <c r="M24" s="30" t="s">
        <v>287</v>
      </c>
      <c r="N24" s="29" t="s">
        <v>33</v>
      </c>
      <c r="O24" s="30">
        <v>1158865307</v>
      </c>
      <c r="P24" s="30" t="s">
        <v>288</v>
      </c>
      <c r="Q24" s="30" t="s">
        <v>289</v>
      </c>
      <c r="R24" s="30" t="s">
        <v>55</v>
      </c>
      <c r="S24" s="30">
        <v>1149469060</v>
      </c>
      <c r="T24" s="30" t="s">
        <v>290</v>
      </c>
      <c r="U24" s="29">
        <v>2019</v>
      </c>
    </row>
    <row r="25" spans="1:44" s="1" customFormat="1" ht="30" customHeight="1" x14ac:dyDescent="0.2">
      <c r="A25" s="1">
        <v>23</v>
      </c>
      <c r="B25" s="30">
        <v>60021000</v>
      </c>
      <c r="C25" s="29" t="s">
        <v>2019</v>
      </c>
      <c r="D25" s="29" t="s">
        <v>2544</v>
      </c>
      <c r="E25" s="29" t="s">
        <v>2847</v>
      </c>
      <c r="F25" s="30" t="s">
        <v>428</v>
      </c>
      <c r="G25" s="29">
        <v>7600</v>
      </c>
      <c r="H25" s="29" t="s">
        <v>2518</v>
      </c>
      <c r="I25" s="29" t="s">
        <v>2519</v>
      </c>
      <c r="J25" s="30" t="s">
        <v>493</v>
      </c>
      <c r="K25" s="30">
        <v>2234893459</v>
      </c>
      <c r="L25" s="30" t="s">
        <v>492</v>
      </c>
      <c r="M25" s="30" t="s">
        <v>494</v>
      </c>
      <c r="N25" s="29" t="s">
        <v>33</v>
      </c>
      <c r="O25" s="30">
        <v>2236689498</v>
      </c>
      <c r="P25" s="30" t="s">
        <v>495</v>
      </c>
      <c r="Q25" s="30" t="s">
        <v>496</v>
      </c>
      <c r="R25" s="30" t="s">
        <v>6</v>
      </c>
      <c r="S25" s="30">
        <v>2235381773</v>
      </c>
      <c r="T25" s="30" t="s">
        <v>497</v>
      </c>
      <c r="U25" s="29">
        <v>2022</v>
      </c>
    </row>
    <row r="26" spans="1:44" s="1" customFormat="1" ht="30" customHeight="1" x14ac:dyDescent="0.2">
      <c r="A26" s="1">
        <v>24</v>
      </c>
      <c r="B26" s="30">
        <v>60021900</v>
      </c>
      <c r="C26" s="29" t="s">
        <v>773</v>
      </c>
      <c r="D26" s="29" t="s">
        <v>2544</v>
      </c>
      <c r="E26" s="29" t="s">
        <v>774</v>
      </c>
      <c r="F26" s="30" t="s">
        <v>774</v>
      </c>
      <c r="G26" s="29">
        <v>6050</v>
      </c>
      <c r="H26" s="29" t="s">
        <v>2557</v>
      </c>
      <c r="I26" s="29" t="s">
        <v>2558</v>
      </c>
      <c r="J26" s="30" t="s">
        <v>775</v>
      </c>
      <c r="K26" s="30">
        <v>2355474438</v>
      </c>
      <c r="L26" s="30" t="s">
        <v>772</v>
      </c>
      <c r="M26" s="30" t="s">
        <v>776</v>
      </c>
      <c r="N26" s="29" t="s">
        <v>33</v>
      </c>
      <c r="O26" s="30">
        <v>2355445772</v>
      </c>
      <c r="P26" s="30" t="s">
        <v>777</v>
      </c>
      <c r="Q26" s="30" t="s">
        <v>778</v>
      </c>
      <c r="R26" s="30" t="s">
        <v>55</v>
      </c>
      <c r="S26" s="30">
        <v>2355443329</v>
      </c>
      <c r="T26" s="30" t="s">
        <v>779</v>
      </c>
      <c r="U26" s="29">
        <v>2016</v>
      </c>
    </row>
    <row r="27" spans="1:44" s="1" customFormat="1" ht="30" customHeight="1" x14ac:dyDescent="0.2">
      <c r="A27" s="1">
        <v>25</v>
      </c>
      <c r="B27" s="30">
        <v>60067400</v>
      </c>
      <c r="C27" s="29" t="s">
        <v>1526</v>
      </c>
      <c r="D27" s="29" t="s">
        <v>2544</v>
      </c>
      <c r="E27" s="29" t="s">
        <v>2848</v>
      </c>
      <c r="F27" s="30" t="s">
        <v>1527</v>
      </c>
      <c r="G27" s="29">
        <v>1917</v>
      </c>
      <c r="H27" s="29" t="s">
        <v>2557</v>
      </c>
      <c r="I27" s="29" t="s">
        <v>2558</v>
      </c>
      <c r="J27" s="30" t="s">
        <v>1528</v>
      </c>
      <c r="K27" s="30">
        <v>2221480589</v>
      </c>
      <c r="L27" s="30" t="s">
        <v>1529</v>
      </c>
      <c r="M27" s="30" t="s">
        <v>1530</v>
      </c>
      <c r="N27" s="29" t="s">
        <v>33</v>
      </c>
      <c r="O27" s="30">
        <v>2215933617</v>
      </c>
      <c r="P27" s="30" t="s">
        <v>1531</v>
      </c>
      <c r="Q27" s="30" t="s">
        <v>1532</v>
      </c>
      <c r="R27" s="30" t="s">
        <v>36</v>
      </c>
      <c r="S27" s="30">
        <v>2223674609</v>
      </c>
      <c r="T27" s="30" t="s">
        <v>1525</v>
      </c>
      <c r="U27" s="29">
        <v>2016</v>
      </c>
    </row>
    <row r="28" spans="1:44" s="1" customFormat="1" ht="30" customHeight="1" x14ac:dyDescent="0.2">
      <c r="A28" s="1">
        <v>26</v>
      </c>
      <c r="B28" s="30">
        <v>60128300</v>
      </c>
      <c r="C28" s="29" t="s">
        <v>2150</v>
      </c>
      <c r="D28" s="29" t="s">
        <v>2544</v>
      </c>
      <c r="E28" s="29" t="s">
        <v>1276</v>
      </c>
      <c r="F28" s="30" t="s">
        <v>1276</v>
      </c>
      <c r="G28" s="29">
        <v>6640</v>
      </c>
      <c r="H28" s="29" t="s">
        <v>2557</v>
      </c>
      <c r="I28" s="29" t="s">
        <v>2558</v>
      </c>
      <c r="J28" s="30" t="s">
        <v>1277</v>
      </c>
      <c r="K28" s="30">
        <v>2342408174</v>
      </c>
      <c r="L28" s="30" t="s">
        <v>1275</v>
      </c>
      <c r="M28" s="30" t="s">
        <v>1278</v>
      </c>
      <c r="N28" s="29" t="s">
        <v>33</v>
      </c>
      <c r="O28" s="30">
        <v>2342408174</v>
      </c>
      <c r="P28" s="30" t="s">
        <v>1275</v>
      </c>
      <c r="Q28" s="30" t="s">
        <v>2151</v>
      </c>
      <c r="R28" s="30" t="s">
        <v>36</v>
      </c>
      <c r="S28" s="30">
        <v>2342445031</v>
      </c>
      <c r="T28" s="30" t="s">
        <v>1279</v>
      </c>
      <c r="U28" s="29">
        <v>2017</v>
      </c>
    </row>
    <row r="29" spans="1:44" s="1" customFormat="1" ht="30" customHeight="1" x14ac:dyDescent="0.2">
      <c r="A29" s="1">
        <v>27</v>
      </c>
      <c r="B29" s="30">
        <v>60167400</v>
      </c>
      <c r="C29" s="29" t="s">
        <v>266</v>
      </c>
      <c r="D29" s="29" t="s">
        <v>2544</v>
      </c>
      <c r="E29" s="29" t="s">
        <v>2807</v>
      </c>
      <c r="F29" s="30" t="s">
        <v>2807</v>
      </c>
      <c r="G29" s="29">
        <v>2900</v>
      </c>
      <c r="H29" s="29" t="s">
        <v>2518</v>
      </c>
      <c r="I29" s="29" t="s">
        <v>2519</v>
      </c>
      <c r="J29" s="30" t="s">
        <v>267</v>
      </c>
      <c r="K29" s="30" t="s">
        <v>1995</v>
      </c>
      <c r="L29" s="30" t="s">
        <v>265</v>
      </c>
      <c r="M29" s="30" t="s">
        <v>268</v>
      </c>
      <c r="N29" s="29" t="s">
        <v>33</v>
      </c>
      <c r="O29" s="30" t="s">
        <v>269</v>
      </c>
      <c r="P29" s="30" t="s">
        <v>270</v>
      </c>
      <c r="Q29" s="30" t="s">
        <v>271</v>
      </c>
      <c r="R29" s="30" t="s">
        <v>55</v>
      </c>
      <c r="S29" s="30" t="s">
        <v>272</v>
      </c>
      <c r="T29" s="30" t="s">
        <v>273</v>
      </c>
      <c r="U29" s="29">
        <v>2016</v>
      </c>
      <c r="AL29" s="3"/>
      <c r="AM29" s="3"/>
    </row>
    <row r="30" spans="1:44" s="1" customFormat="1" ht="30" customHeight="1" x14ac:dyDescent="0.2">
      <c r="A30" s="1">
        <v>28</v>
      </c>
      <c r="B30" s="30">
        <v>60233900</v>
      </c>
      <c r="C30" s="29" t="s">
        <v>1281</v>
      </c>
      <c r="D30" s="29" t="s">
        <v>2544</v>
      </c>
      <c r="E30" s="29" t="s">
        <v>2768</v>
      </c>
      <c r="F30" s="30" t="s">
        <v>2768</v>
      </c>
      <c r="G30" s="29">
        <v>6530</v>
      </c>
      <c r="H30" s="29" t="s">
        <v>2557</v>
      </c>
      <c r="I30" s="29" t="s">
        <v>2558</v>
      </c>
      <c r="J30" s="30" t="s">
        <v>1282</v>
      </c>
      <c r="K30" s="30">
        <v>2395451697</v>
      </c>
      <c r="L30" s="30" t="s">
        <v>1280</v>
      </c>
      <c r="M30" s="30" t="s">
        <v>1283</v>
      </c>
      <c r="N30" s="29" t="s">
        <v>33</v>
      </c>
      <c r="O30" s="30">
        <v>2395439443</v>
      </c>
      <c r="P30" s="30" t="s">
        <v>1284</v>
      </c>
      <c r="Q30" s="30" t="s">
        <v>1285</v>
      </c>
      <c r="R30" s="30" t="s">
        <v>55</v>
      </c>
      <c r="S30" s="30">
        <v>2395420097</v>
      </c>
      <c r="T30" s="30" t="s">
        <v>1286</v>
      </c>
      <c r="U30" s="29">
        <v>2016</v>
      </c>
    </row>
    <row r="31" spans="1:44" s="1" customFormat="1" ht="30" customHeight="1" x14ac:dyDescent="0.2">
      <c r="A31" s="1">
        <v>29</v>
      </c>
      <c r="B31" s="30">
        <v>60270200</v>
      </c>
      <c r="C31" s="29" t="s">
        <v>841</v>
      </c>
      <c r="D31" s="29" t="s">
        <v>2544</v>
      </c>
      <c r="E31" s="29" t="s">
        <v>74</v>
      </c>
      <c r="F31" s="30" t="s">
        <v>74</v>
      </c>
      <c r="G31" s="29">
        <v>1832</v>
      </c>
      <c r="H31" s="29" t="s">
        <v>2557</v>
      </c>
      <c r="I31" s="29" t="s">
        <v>2558</v>
      </c>
      <c r="J31" s="30" t="s">
        <v>842</v>
      </c>
      <c r="K31" s="30" t="s">
        <v>2097</v>
      </c>
      <c r="L31" s="30" t="s">
        <v>840</v>
      </c>
      <c r="M31" s="30" t="s">
        <v>843</v>
      </c>
      <c r="N31" s="29" t="s">
        <v>33</v>
      </c>
      <c r="O31" s="30">
        <v>67809339</v>
      </c>
      <c r="P31" s="30" t="s">
        <v>844</v>
      </c>
      <c r="Q31" s="30" t="s">
        <v>845</v>
      </c>
      <c r="R31" s="30" t="s">
        <v>17</v>
      </c>
      <c r="S31" s="30">
        <v>1140837109</v>
      </c>
      <c r="T31" s="30" t="s">
        <v>418</v>
      </c>
      <c r="U31" s="29">
        <v>2021</v>
      </c>
      <c r="AL31" s="3"/>
      <c r="AM31" s="3"/>
    </row>
    <row r="32" spans="1:44" s="1" customFormat="1" ht="30" customHeight="1" x14ac:dyDescent="0.2">
      <c r="A32" s="1">
        <v>30</v>
      </c>
      <c r="B32" s="30">
        <v>60339300</v>
      </c>
      <c r="C32" s="29" t="s">
        <v>1404</v>
      </c>
      <c r="D32" s="29" t="s">
        <v>2544</v>
      </c>
      <c r="E32" s="29" t="s">
        <v>2849</v>
      </c>
      <c r="F32" s="30" t="s">
        <v>1405</v>
      </c>
      <c r="G32" s="29">
        <v>6015</v>
      </c>
      <c r="H32" s="29" t="s">
        <v>2557</v>
      </c>
      <c r="I32" s="29" t="s">
        <v>2558</v>
      </c>
      <c r="J32" s="30" t="s">
        <v>1406</v>
      </c>
      <c r="K32" s="30">
        <v>2358442131</v>
      </c>
      <c r="L32" s="30" t="s">
        <v>1403</v>
      </c>
      <c r="M32" s="30" t="s">
        <v>1407</v>
      </c>
      <c r="N32" s="29" t="s">
        <v>33</v>
      </c>
      <c r="O32" s="30">
        <v>2355643605</v>
      </c>
      <c r="P32" s="30" t="s">
        <v>1408</v>
      </c>
      <c r="Q32" s="30" t="s">
        <v>1409</v>
      </c>
      <c r="R32" s="30" t="s">
        <v>27</v>
      </c>
      <c r="S32" s="30">
        <v>2355456020</v>
      </c>
      <c r="T32" s="30" t="s">
        <v>1410</v>
      </c>
      <c r="U32" s="29">
        <v>2016</v>
      </c>
    </row>
    <row r="33" spans="1:39" s="1" customFormat="1" ht="30" customHeight="1" x14ac:dyDescent="0.2">
      <c r="A33" s="1">
        <v>31</v>
      </c>
      <c r="B33" s="30">
        <v>60433000</v>
      </c>
      <c r="C33" s="29" t="s">
        <v>675</v>
      </c>
      <c r="D33" s="29" t="s">
        <v>2544</v>
      </c>
      <c r="E33" s="29" t="s">
        <v>676</v>
      </c>
      <c r="F33" s="30" t="s">
        <v>676</v>
      </c>
      <c r="G33" s="29">
        <v>1748</v>
      </c>
      <c r="H33" s="29" t="s">
        <v>2557</v>
      </c>
      <c r="I33" s="29" t="s">
        <v>2519</v>
      </c>
      <c r="J33" s="30" t="s">
        <v>677</v>
      </c>
      <c r="K33" s="30" t="s">
        <v>678</v>
      </c>
      <c r="L33" s="30" t="s">
        <v>674</v>
      </c>
      <c r="M33" s="30" t="s">
        <v>679</v>
      </c>
      <c r="N33" s="29" t="s">
        <v>33</v>
      </c>
      <c r="O33" s="30" t="s">
        <v>678</v>
      </c>
      <c r="P33" s="30" t="s">
        <v>680</v>
      </c>
      <c r="Q33" s="30" t="s">
        <v>681</v>
      </c>
      <c r="R33" s="30" t="s">
        <v>17</v>
      </c>
      <c r="S33" s="30">
        <v>1158911641</v>
      </c>
      <c r="T33" s="30" t="s">
        <v>682</v>
      </c>
      <c r="U33" s="29">
        <v>2022</v>
      </c>
    </row>
    <row r="34" spans="1:39" s="1" customFormat="1" ht="30" customHeight="1" x14ac:dyDescent="0.2">
      <c r="A34" s="1">
        <v>32</v>
      </c>
      <c r="B34" s="30">
        <v>60442300</v>
      </c>
      <c r="C34" s="29" t="s">
        <v>1496</v>
      </c>
      <c r="D34" s="29" t="s">
        <v>2544</v>
      </c>
      <c r="E34" s="29" t="s">
        <v>2850</v>
      </c>
      <c r="F34" s="30" t="s">
        <v>1497</v>
      </c>
      <c r="G34" s="29">
        <v>7163</v>
      </c>
      <c r="H34" s="29" t="s">
        <v>2557</v>
      </c>
      <c r="I34" s="29" t="s">
        <v>2558</v>
      </c>
      <c r="J34" s="30" t="s">
        <v>1498</v>
      </c>
      <c r="K34" s="30" t="s">
        <v>2203</v>
      </c>
      <c r="L34" s="30" t="s">
        <v>1495</v>
      </c>
      <c r="M34" s="30" t="s">
        <v>1499</v>
      </c>
      <c r="N34" s="29" t="s">
        <v>33</v>
      </c>
      <c r="O34" s="30" t="s">
        <v>1500</v>
      </c>
      <c r="P34" s="30" t="s">
        <v>1501</v>
      </c>
      <c r="Q34" s="30" t="s">
        <v>1502</v>
      </c>
      <c r="R34" s="30" t="s">
        <v>98</v>
      </c>
      <c r="S34" s="30" t="s">
        <v>1503</v>
      </c>
      <c r="T34" s="30" t="s">
        <v>1504</v>
      </c>
      <c r="U34" s="29">
        <v>2016</v>
      </c>
    </row>
    <row r="35" spans="1:39" s="1" customFormat="1" ht="30" customHeight="1" x14ac:dyDescent="0.2">
      <c r="A35" s="1">
        <v>33</v>
      </c>
      <c r="B35" s="30">
        <v>60563100</v>
      </c>
      <c r="C35" s="29" t="s">
        <v>2137</v>
      </c>
      <c r="D35" s="29" t="s">
        <v>2544</v>
      </c>
      <c r="E35" s="29" t="s">
        <v>1183</v>
      </c>
      <c r="F35" s="30" t="s">
        <v>1183</v>
      </c>
      <c r="G35" s="29">
        <v>1865</v>
      </c>
      <c r="H35" s="29" t="s">
        <v>2557</v>
      </c>
      <c r="I35" s="29" t="s">
        <v>2558</v>
      </c>
      <c r="J35" s="30" t="s">
        <v>1184</v>
      </c>
      <c r="K35" s="30"/>
      <c r="L35" s="30" t="s">
        <v>1182</v>
      </c>
      <c r="M35" s="30" t="s">
        <v>1185</v>
      </c>
      <c r="N35" s="29" t="s">
        <v>33</v>
      </c>
      <c r="O35" s="30" t="s">
        <v>1186</v>
      </c>
      <c r="P35" s="30" t="s">
        <v>1187</v>
      </c>
      <c r="Q35" s="30" t="s">
        <v>1188</v>
      </c>
      <c r="R35" s="30" t="s">
        <v>27</v>
      </c>
      <c r="S35" s="30">
        <v>1141901523</v>
      </c>
      <c r="T35" s="30" t="s">
        <v>1189</v>
      </c>
      <c r="U35" s="29">
        <v>2021</v>
      </c>
    </row>
    <row r="36" spans="1:39" s="1" customFormat="1" ht="30" customHeight="1" x14ac:dyDescent="0.2">
      <c r="A36" s="1">
        <v>34</v>
      </c>
      <c r="B36" s="30">
        <v>60574400</v>
      </c>
      <c r="C36" s="29" t="s">
        <v>1676</v>
      </c>
      <c r="D36" s="29" t="s">
        <v>2544</v>
      </c>
      <c r="E36" s="29" t="s">
        <v>2851</v>
      </c>
      <c r="F36" s="30" t="s">
        <v>2770</v>
      </c>
      <c r="G36" s="29">
        <v>1741</v>
      </c>
      <c r="H36" s="29" t="s">
        <v>2557</v>
      </c>
      <c r="I36" s="29" t="s">
        <v>2558</v>
      </c>
      <c r="J36" s="30" t="s">
        <v>1677</v>
      </c>
      <c r="K36" s="30">
        <v>1161513271</v>
      </c>
      <c r="L36" s="30" t="s">
        <v>1675</v>
      </c>
      <c r="M36" s="30" t="s">
        <v>1678</v>
      </c>
      <c r="N36" s="29" t="s">
        <v>33</v>
      </c>
      <c r="O36" s="30">
        <v>1161513271</v>
      </c>
      <c r="P36" s="30" t="s">
        <v>1679</v>
      </c>
      <c r="Q36" s="30" t="s">
        <v>1680</v>
      </c>
      <c r="R36" s="30" t="s">
        <v>55</v>
      </c>
      <c r="S36" s="30">
        <v>1155020343</v>
      </c>
      <c r="T36" s="30" t="s">
        <v>1681</v>
      </c>
      <c r="U36" s="29">
        <v>2017</v>
      </c>
      <c r="AL36" s="3"/>
      <c r="AM36" s="3"/>
    </row>
    <row r="37" spans="1:39" s="1" customFormat="1" ht="30" customHeight="1" x14ac:dyDescent="0.2">
      <c r="A37" s="1">
        <v>35</v>
      </c>
      <c r="B37" s="30">
        <v>60595200</v>
      </c>
      <c r="C37" s="29" t="s">
        <v>2143</v>
      </c>
      <c r="D37" s="29" t="s">
        <v>2544</v>
      </c>
      <c r="E37" s="29" t="s">
        <v>1238</v>
      </c>
      <c r="F37" s="30" t="s">
        <v>1238</v>
      </c>
      <c r="G37" s="29">
        <v>2930</v>
      </c>
      <c r="H37" s="29" t="s">
        <v>2557</v>
      </c>
      <c r="I37" s="29" t="s">
        <v>2558</v>
      </c>
      <c r="J37" s="30" t="s">
        <v>1239</v>
      </c>
      <c r="K37" s="30">
        <v>3329428950</v>
      </c>
      <c r="L37" s="30" t="s">
        <v>1240</v>
      </c>
      <c r="M37" s="30" t="s">
        <v>1241</v>
      </c>
      <c r="N37" s="29" t="s">
        <v>33</v>
      </c>
      <c r="O37" s="30">
        <v>332915625822</v>
      </c>
      <c r="P37" s="30" t="s">
        <v>1237</v>
      </c>
      <c r="Q37" s="30" t="s">
        <v>1242</v>
      </c>
      <c r="R37" s="30" t="s">
        <v>6</v>
      </c>
      <c r="S37" s="30">
        <v>332915646843</v>
      </c>
      <c r="T37" s="30" t="s">
        <v>1243</v>
      </c>
      <c r="U37" s="29">
        <v>2022</v>
      </c>
    </row>
    <row r="38" spans="1:39" s="1" customFormat="1" ht="30" customHeight="1" x14ac:dyDescent="0.2">
      <c r="A38" s="1">
        <v>36</v>
      </c>
      <c r="B38" s="30">
        <v>60595600</v>
      </c>
      <c r="C38" s="29" t="s">
        <v>2089</v>
      </c>
      <c r="D38" s="29" t="s">
        <v>2544</v>
      </c>
      <c r="E38" s="29" t="s">
        <v>738</v>
      </c>
      <c r="F38" s="30" t="s">
        <v>738</v>
      </c>
      <c r="G38" s="29">
        <v>7130</v>
      </c>
      <c r="H38" s="29" t="s">
        <v>2557</v>
      </c>
      <c r="I38" s="29" t="s">
        <v>2558</v>
      </c>
      <c r="J38" s="30" t="s">
        <v>739</v>
      </c>
      <c r="K38" s="30" t="s">
        <v>740</v>
      </c>
      <c r="L38" s="30" t="s">
        <v>737</v>
      </c>
      <c r="M38" s="30" t="s">
        <v>741</v>
      </c>
      <c r="N38" s="29" t="s">
        <v>33</v>
      </c>
      <c r="O38" s="30">
        <v>2215015552</v>
      </c>
      <c r="P38" s="30" t="s">
        <v>742</v>
      </c>
      <c r="Q38" s="30" t="s">
        <v>743</v>
      </c>
      <c r="R38" s="30" t="s">
        <v>98</v>
      </c>
      <c r="S38" s="30" t="s">
        <v>744</v>
      </c>
      <c r="T38" s="30" t="s">
        <v>745</v>
      </c>
      <c r="U38" s="29">
        <v>2022</v>
      </c>
      <c r="AL38" s="3"/>
      <c r="AM38" s="3"/>
    </row>
    <row r="39" spans="1:39" s="1" customFormat="1" ht="30" customHeight="1" x14ac:dyDescent="0.2">
      <c r="A39" s="1">
        <v>37</v>
      </c>
      <c r="B39" s="30">
        <v>60596500</v>
      </c>
      <c r="C39" s="29" t="s">
        <v>1323</v>
      </c>
      <c r="D39" s="29" t="s">
        <v>2544</v>
      </c>
      <c r="E39" s="29" t="s">
        <v>1324</v>
      </c>
      <c r="F39" s="30" t="s">
        <v>1324</v>
      </c>
      <c r="G39" s="29">
        <v>7540</v>
      </c>
      <c r="H39" s="29" t="s">
        <v>2557</v>
      </c>
      <c r="I39" s="29" t="s">
        <v>2558</v>
      </c>
      <c r="J39" s="30" t="s">
        <v>1325</v>
      </c>
      <c r="K39" s="30" t="s">
        <v>1326</v>
      </c>
      <c r="L39" s="30" t="s">
        <v>1327</v>
      </c>
      <c r="M39" s="30" t="s">
        <v>1328</v>
      </c>
      <c r="N39" s="29" t="s">
        <v>33</v>
      </c>
      <c r="O39" s="30" t="s">
        <v>1329</v>
      </c>
      <c r="P39" s="30" t="s">
        <v>1330</v>
      </c>
      <c r="Q39" s="30" t="s">
        <v>1331</v>
      </c>
      <c r="R39" s="30" t="s">
        <v>36</v>
      </c>
      <c r="S39" s="30" t="s">
        <v>1332</v>
      </c>
      <c r="T39" s="30" t="s">
        <v>1322</v>
      </c>
      <c r="U39" s="29">
        <v>2016</v>
      </c>
    </row>
    <row r="40" spans="1:39" s="1" customFormat="1" ht="30" customHeight="1" x14ac:dyDescent="0.2">
      <c r="A40" s="1">
        <v>38</v>
      </c>
      <c r="B40" s="30">
        <v>60610300</v>
      </c>
      <c r="C40" s="29" t="s">
        <v>2442</v>
      </c>
      <c r="D40" s="29" t="s">
        <v>2544</v>
      </c>
      <c r="E40" s="29" t="s">
        <v>805</v>
      </c>
      <c r="F40" s="30" t="s">
        <v>805</v>
      </c>
      <c r="G40" s="29">
        <v>2800</v>
      </c>
      <c r="H40" s="29" t="s">
        <v>2557</v>
      </c>
      <c r="I40" s="29" t="s">
        <v>2558</v>
      </c>
      <c r="J40" s="30" t="s">
        <v>806</v>
      </c>
      <c r="K40" s="30" t="s">
        <v>2094</v>
      </c>
      <c r="L40" s="30" t="s">
        <v>803</v>
      </c>
      <c r="M40" s="30" t="s">
        <v>807</v>
      </c>
      <c r="N40" s="29" t="s">
        <v>33</v>
      </c>
      <c r="O40" s="30" t="s">
        <v>808</v>
      </c>
      <c r="P40" s="30" t="s">
        <v>809</v>
      </c>
      <c r="Q40" s="30" t="s">
        <v>810</v>
      </c>
      <c r="R40" s="30" t="s">
        <v>36</v>
      </c>
      <c r="S40" s="30" t="s">
        <v>811</v>
      </c>
      <c r="T40" s="30" t="s">
        <v>812</v>
      </c>
      <c r="U40" s="29">
        <v>2016</v>
      </c>
    </row>
    <row r="41" spans="1:39" s="1" customFormat="1" ht="30" customHeight="1" x14ac:dyDescent="0.2">
      <c r="A41" s="1">
        <v>39</v>
      </c>
      <c r="B41" s="30">
        <v>60611700</v>
      </c>
      <c r="C41" s="29" t="s">
        <v>226</v>
      </c>
      <c r="D41" s="29" t="s">
        <v>2544</v>
      </c>
      <c r="E41" s="29" t="s">
        <v>227</v>
      </c>
      <c r="F41" s="30" t="s">
        <v>227</v>
      </c>
      <c r="G41" s="29">
        <v>1708</v>
      </c>
      <c r="H41" s="29" t="s">
        <v>2518</v>
      </c>
      <c r="I41" s="29" t="s">
        <v>2519</v>
      </c>
      <c r="J41" s="30" t="s">
        <v>228</v>
      </c>
      <c r="K41" s="30">
        <v>37547350</v>
      </c>
      <c r="L41" s="30" t="s">
        <v>229</v>
      </c>
      <c r="M41" s="30" t="s">
        <v>230</v>
      </c>
      <c r="N41" s="29" t="s">
        <v>33</v>
      </c>
      <c r="O41" s="30" t="s">
        <v>231</v>
      </c>
      <c r="P41" s="30" t="s">
        <v>225</v>
      </c>
      <c r="Q41" s="30" t="s">
        <v>232</v>
      </c>
      <c r="R41" s="30" t="s">
        <v>17</v>
      </c>
      <c r="S41" s="30">
        <v>1141767235</v>
      </c>
      <c r="T41" s="30" t="s">
        <v>233</v>
      </c>
      <c r="U41" s="29">
        <v>2018</v>
      </c>
    </row>
    <row r="42" spans="1:39" s="1" customFormat="1" ht="30" customHeight="1" x14ac:dyDescent="0.2">
      <c r="A42" s="1">
        <v>40</v>
      </c>
      <c r="B42" s="30">
        <v>60643100</v>
      </c>
      <c r="C42" s="29" t="s">
        <v>293</v>
      </c>
      <c r="D42" s="29" t="s">
        <v>2544</v>
      </c>
      <c r="E42" s="29" t="s">
        <v>294</v>
      </c>
      <c r="F42" s="30" t="s">
        <v>294</v>
      </c>
      <c r="G42" s="29">
        <v>1900</v>
      </c>
      <c r="H42" s="29" t="s">
        <v>2518</v>
      </c>
      <c r="I42" s="29" t="s">
        <v>2519</v>
      </c>
      <c r="J42" s="30" t="s">
        <v>295</v>
      </c>
      <c r="K42" s="30">
        <v>2214271917</v>
      </c>
      <c r="L42" s="30" t="s">
        <v>292</v>
      </c>
      <c r="M42" s="30" t="s">
        <v>296</v>
      </c>
      <c r="N42" s="29" t="s">
        <v>33</v>
      </c>
      <c r="O42" s="30">
        <v>2345429100</v>
      </c>
      <c r="P42" s="30" t="s">
        <v>297</v>
      </c>
      <c r="Q42" s="30" t="s">
        <v>298</v>
      </c>
      <c r="R42" s="30" t="s">
        <v>17</v>
      </c>
      <c r="S42" s="30">
        <v>2215526140</v>
      </c>
      <c r="T42" s="30" t="s">
        <v>299</v>
      </c>
      <c r="U42" s="29">
        <v>2021</v>
      </c>
    </row>
    <row r="43" spans="1:39" s="1" customFormat="1" ht="30" customHeight="1" x14ac:dyDescent="0.2">
      <c r="A43" s="1">
        <v>41</v>
      </c>
      <c r="B43" s="30">
        <v>60652600</v>
      </c>
      <c r="C43" s="29" t="s">
        <v>547</v>
      </c>
      <c r="D43" s="29" t="s">
        <v>2544</v>
      </c>
      <c r="E43" s="29" t="s">
        <v>2771</v>
      </c>
      <c r="F43" s="30" t="s">
        <v>2771</v>
      </c>
      <c r="G43" s="29">
        <v>1646</v>
      </c>
      <c r="H43" s="29" t="s">
        <v>2518</v>
      </c>
      <c r="I43" s="29" t="s">
        <v>2519</v>
      </c>
      <c r="J43" s="30" t="s">
        <v>548</v>
      </c>
      <c r="K43" s="30">
        <v>1147445959</v>
      </c>
      <c r="L43" s="30" t="s">
        <v>546</v>
      </c>
      <c r="M43" s="30" t="s">
        <v>549</v>
      </c>
      <c r="N43" s="29" t="s">
        <v>33</v>
      </c>
      <c r="O43" s="30">
        <v>1124503909</v>
      </c>
      <c r="P43" s="30" t="s">
        <v>550</v>
      </c>
      <c r="Q43" s="30" t="s">
        <v>551</v>
      </c>
      <c r="R43" s="30" t="s">
        <v>55</v>
      </c>
      <c r="S43" s="30">
        <v>1144354047</v>
      </c>
      <c r="T43" s="30" t="s">
        <v>552</v>
      </c>
      <c r="U43" s="29">
        <v>2018</v>
      </c>
    </row>
    <row r="44" spans="1:39" s="1" customFormat="1" ht="30" customHeight="1" x14ac:dyDescent="0.2">
      <c r="A44" s="1">
        <v>42</v>
      </c>
      <c r="B44" s="30">
        <v>60661000</v>
      </c>
      <c r="C44" s="29" t="s">
        <v>2440</v>
      </c>
      <c r="D44" s="29" t="s">
        <v>2544</v>
      </c>
      <c r="E44" s="29" t="s">
        <v>2439</v>
      </c>
      <c r="F44" s="30" t="s">
        <v>2439</v>
      </c>
      <c r="G44" s="29">
        <v>7513</v>
      </c>
      <c r="H44" s="29" t="s">
        <v>2557</v>
      </c>
      <c r="I44" s="29" t="s">
        <v>2558</v>
      </c>
      <c r="J44" s="30" t="s">
        <v>783</v>
      </c>
      <c r="K44" s="30">
        <v>2983482081</v>
      </c>
      <c r="L44" s="30" t="s">
        <v>784</v>
      </c>
      <c r="M44" s="30" t="s">
        <v>785</v>
      </c>
      <c r="N44" s="29" t="s">
        <v>33</v>
      </c>
      <c r="O44" s="30">
        <v>2983564897</v>
      </c>
      <c r="P44" s="30" t="s">
        <v>786</v>
      </c>
      <c r="Q44" s="30" t="s">
        <v>787</v>
      </c>
      <c r="R44" s="30" t="s">
        <v>55</v>
      </c>
      <c r="S44" s="30">
        <v>2983526019</v>
      </c>
      <c r="T44" s="30" t="s">
        <v>788</v>
      </c>
      <c r="U44" s="29">
        <v>2016</v>
      </c>
    </row>
    <row r="45" spans="1:39" s="1" customFormat="1" ht="30" customHeight="1" x14ac:dyDescent="0.2">
      <c r="A45" s="1">
        <v>43</v>
      </c>
      <c r="B45" s="30">
        <v>60670900</v>
      </c>
      <c r="C45" s="29" t="s">
        <v>2447</v>
      </c>
      <c r="D45" s="29" t="s">
        <v>2544</v>
      </c>
      <c r="E45" s="29" t="s">
        <v>2852</v>
      </c>
      <c r="F45" s="30" t="s">
        <v>2772</v>
      </c>
      <c r="G45" s="29">
        <v>8183</v>
      </c>
      <c r="H45" s="29" t="s">
        <v>2557</v>
      </c>
      <c r="I45" s="29" t="s">
        <v>2558</v>
      </c>
      <c r="J45" s="30" t="s">
        <v>1267</v>
      </c>
      <c r="K45" s="30" t="s">
        <v>1268</v>
      </c>
      <c r="L45" s="30" t="s">
        <v>1269</v>
      </c>
      <c r="M45" s="30" t="s">
        <v>1270</v>
      </c>
      <c r="N45" s="29" t="s">
        <v>33</v>
      </c>
      <c r="O45" s="30" t="s">
        <v>1271</v>
      </c>
      <c r="P45" s="30" t="s">
        <v>1265</v>
      </c>
      <c r="Q45" s="30" t="s">
        <v>1272</v>
      </c>
      <c r="R45" s="30" t="s">
        <v>55</v>
      </c>
      <c r="S45" s="30">
        <v>2914194513</v>
      </c>
      <c r="T45" s="30" t="s">
        <v>1273</v>
      </c>
      <c r="U45" s="29">
        <v>2021</v>
      </c>
    </row>
    <row r="46" spans="1:39" s="1" customFormat="1" ht="30" customHeight="1" x14ac:dyDescent="0.2">
      <c r="A46" s="1">
        <v>44</v>
      </c>
      <c r="B46" s="30">
        <v>60691500</v>
      </c>
      <c r="C46" s="29" t="s">
        <v>2443</v>
      </c>
      <c r="D46" s="29" t="s">
        <v>2544</v>
      </c>
      <c r="E46" s="29" t="s">
        <v>833</v>
      </c>
      <c r="F46" s="30" t="s">
        <v>833</v>
      </c>
      <c r="G46" s="29">
        <v>6455</v>
      </c>
      <c r="H46" s="29" t="s">
        <v>2557</v>
      </c>
      <c r="I46" s="29" t="s">
        <v>2558</v>
      </c>
      <c r="J46" s="30" t="s">
        <v>834</v>
      </c>
      <c r="K46" s="30">
        <v>2355462257</v>
      </c>
      <c r="L46" s="30" t="s">
        <v>831</v>
      </c>
      <c r="M46" s="30" t="s">
        <v>835</v>
      </c>
      <c r="N46" s="29" t="s">
        <v>33</v>
      </c>
      <c r="O46" s="30">
        <v>2355462257</v>
      </c>
      <c r="P46" s="30" t="s">
        <v>836</v>
      </c>
      <c r="Q46" s="30" t="s">
        <v>837</v>
      </c>
      <c r="R46" s="30" t="s">
        <v>55</v>
      </c>
      <c r="S46" s="30">
        <v>2355644809</v>
      </c>
      <c r="T46" s="30" t="s">
        <v>838</v>
      </c>
      <c r="U46" s="29">
        <v>2016</v>
      </c>
    </row>
    <row r="47" spans="1:39" s="1" customFormat="1" ht="30" customHeight="1" x14ac:dyDescent="0.2">
      <c r="A47" s="1">
        <v>45</v>
      </c>
      <c r="B47" s="30">
        <v>60702400</v>
      </c>
      <c r="C47" s="29" t="s">
        <v>2361</v>
      </c>
      <c r="D47" s="29" t="s">
        <v>2544</v>
      </c>
      <c r="E47" s="29" t="s">
        <v>2773</v>
      </c>
      <c r="F47" s="30" t="s">
        <v>2773</v>
      </c>
      <c r="G47" s="29">
        <v>7530</v>
      </c>
      <c r="H47" s="29" t="s">
        <v>2557</v>
      </c>
      <c r="I47" s="29" t="s">
        <v>2558</v>
      </c>
      <c r="J47" s="30" t="s">
        <v>894</v>
      </c>
      <c r="K47" s="30">
        <v>2922467128</v>
      </c>
      <c r="L47" s="30" t="s">
        <v>895</v>
      </c>
      <c r="M47" s="30" t="s">
        <v>896</v>
      </c>
      <c r="N47" s="29" t="s">
        <v>33</v>
      </c>
      <c r="O47" s="30">
        <v>2914198929</v>
      </c>
      <c r="P47" s="30" t="s">
        <v>897</v>
      </c>
      <c r="Q47" s="30" t="s">
        <v>898</v>
      </c>
      <c r="R47" s="30" t="s">
        <v>55</v>
      </c>
      <c r="S47" s="30">
        <v>2923503323</v>
      </c>
      <c r="T47" s="30" t="s">
        <v>899</v>
      </c>
      <c r="U47" s="29">
        <v>2017</v>
      </c>
    </row>
    <row r="48" spans="1:39" s="1" customFormat="1" ht="30" customHeight="1" x14ac:dyDescent="0.2">
      <c r="A48" s="1">
        <v>46</v>
      </c>
      <c r="B48" s="30">
        <v>60738300</v>
      </c>
      <c r="C48" s="29" t="s">
        <v>2446</v>
      </c>
      <c r="D48" s="29" t="s">
        <v>2544</v>
      </c>
      <c r="E48" s="29" t="s">
        <v>2146</v>
      </c>
      <c r="F48" s="30" t="s">
        <v>2146</v>
      </c>
      <c r="G48" s="29">
        <v>7303</v>
      </c>
      <c r="H48" s="29" t="s">
        <v>2557</v>
      </c>
      <c r="I48" s="29" t="s">
        <v>2558</v>
      </c>
      <c r="J48" s="30" t="s">
        <v>1250</v>
      </c>
      <c r="K48" s="30">
        <v>2283420976</v>
      </c>
      <c r="L48" s="30" t="s">
        <v>1251</v>
      </c>
      <c r="M48" s="30" t="s">
        <v>1252</v>
      </c>
      <c r="N48" s="29" t="s">
        <v>33</v>
      </c>
      <c r="O48" s="30">
        <v>2381532572</v>
      </c>
      <c r="P48" s="30" t="s">
        <v>1253</v>
      </c>
      <c r="Q48" s="30" t="s">
        <v>2147</v>
      </c>
      <c r="R48" s="30" t="s">
        <v>98</v>
      </c>
      <c r="S48" s="30" t="s">
        <v>2148</v>
      </c>
      <c r="T48" s="30" t="s">
        <v>1249</v>
      </c>
      <c r="U48" s="29">
        <v>2021</v>
      </c>
    </row>
    <row r="49" spans="1:39" s="1" customFormat="1" ht="30" customHeight="1" x14ac:dyDescent="0.2">
      <c r="A49" s="1">
        <v>47</v>
      </c>
      <c r="B49" s="30">
        <v>60767300</v>
      </c>
      <c r="C49" s="29" t="s">
        <v>2436</v>
      </c>
      <c r="D49" s="29" t="s">
        <v>2544</v>
      </c>
      <c r="E49" s="29" t="s">
        <v>2853</v>
      </c>
      <c r="F49" s="30" t="s">
        <v>1625</v>
      </c>
      <c r="G49" s="29">
        <v>7109</v>
      </c>
      <c r="H49" s="29" t="s">
        <v>2557</v>
      </c>
      <c r="I49" s="29" t="s">
        <v>2558</v>
      </c>
      <c r="J49" s="30" t="s">
        <v>1626</v>
      </c>
      <c r="K49" s="30" t="s">
        <v>2221</v>
      </c>
      <c r="L49" s="30" t="s">
        <v>1623</v>
      </c>
      <c r="M49" s="30" t="s">
        <v>1627</v>
      </c>
      <c r="N49" s="29" t="s">
        <v>33</v>
      </c>
      <c r="O49" s="30" t="s">
        <v>1628</v>
      </c>
      <c r="P49" s="30" t="s">
        <v>1629</v>
      </c>
      <c r="Q49" s="30" t="s">
        <v>1630</v>
      </c>
      <c r="R49" s="30" t="s">
        <v>55</v>
      </c>
      <c r="S49" s="30" t="s">
        <v>1631</v>
      </c>
      <c r="T49" s="30" t="s">
        <v>1632</v>
      </c>
      <c r="U49" s="29">
        <v>2016</v>
      </c>
    </row>
    <row r="50" spans="1:39" s="1" customFormat="1" ht="30" customHeight="1" x14ac:dyDescent="0.2">
      <c r="A50" s="1">
        <v>48</v>
      </c>
      <c r="B50" s="30">
        <v>60770900</v>
      </c>
      <c r="C50" s="29" t="s">
        <v>2437</v>
      </c>
      <c r="D50" s="29" t="s">
        <v>2544</v>
      </c>
      <c r="E50" s="29" t="s">
        <v>1661</v>
      </c>
      <c r="F50" s="30" t="s">
        <v>1661</v>
      </c>
      <c r="G50" s="29">
        <v>2741</v>
      </c>
      <c r="H50" s="29" t="s">
        <v>2557</v>
      </c>
      <c r="I50" s="29" t="s">
        <v>2558</v>
      </c>
      <c r="J50" s="30" t="s">
        <v>1662</v>
      </c>
      <c r="K50" s="30" t="s">
        <v>1663</v>
      </c>
      <c r="L50" s="30" t="s">
        <v>1659</v>
      </c>
      <c r="M50" s="30" t="s">
        <v>1664</v>
      </c>
      <c r="N50" s="29" t="s">
        <v>33</v>
      </c>
      <c r="O50" s="30" t="s">
        <v>1665</v>
      </c>
      <c r="P50" s="30" t="s">
        <v>1666</v>
      </c>
      <c r="Q50" s="30" t="s">
        <v>1664</v>
      </c>
      <c r="R50" s="30" t="s">
        <v>8</v>
      </c>
      <c r="S50" s="30" t="s">
        <v>1663</v>
      </c>
      <c r="T50" s="30" t="s">
        <v>1659</v>
      </c>
      <c r="U50" s="29">
        <v>2016</v>
      </c>
      <c r="AL50" s="3"/>
      <c r="AM50" s="3"/>
    </row>
    <row r="51" spans="1:39" s="1" customFormat="1" ht="30" customHeight="1" x14ac:dyDescent="0.2">
      <c r="A51" s="1">
        <v>49</v>
      </c>
      <c r="B51" s="30">
        <v>60778000</v>
      </c>
      <c r="C51" s="29" t="s">
        <v>2444</v>
      </c>
      <c r="D51" s="29" t="s">
        <v>2544</v>
      </c>
      <c r="E51" s="29" t="s">
        <v>849</v>
      </c>
      <c r="F51" s="30" t="s">
        <v>849</v>
      </c>
      <c r="G51" s="29">
        <v>7100</v>
      </c>
      <c r="H51" s="29" t="s">
        <v>2557</v>
      </c>
      <c r="I51" s="29" t="s">
        <v>2558</v>
      </c>
      <c r="J51" s="30" t="s">
        <v>850</v>
      </c>
      <c r="K51" s="30">
        <v>2245503832</v>
      </c>
      <c r="L51" s="30" t="s">
        <v>847</v>
      </c>
      <c r="M51" s="30" t="s">
        <v>851</v>
      </c>
      <c r="N51" s="29" t="s">
        <v>33</v>
      </c>
      <c r="O51" s="30">
        <v>2245503832</v>
      </c>
      <c r="P51" s="30" t="s">
        <v>852</v>
      </c>
      <c r="Q51" s="30" t="s">
        <v>853</v>
      </c>
      <c r="R51" s="30" t="s">
        <v>55</v>
      </c>
      <c r="S51" s="30">
        <v>2245426142</v>
      </c>
      <c r="T51" s="30" t="s">
        <v>854</v>
      </c>
      <c r="U51" s="29">
        <v>2016</v>
      </c>
    </row>
    <row r="52" spans="1:39" s="1" customFormat="1" ht="30" customHeight="1" x14ac:dyDescent="0.2">
      <c r="A52" s="1">
        <v>50</v>
      </c>
      <c r="B52" s="30">
        <v>60786800</v>
      </c>
      <c r="C52" s="29" t="s">
        <v>2441</v>
      </c>
      <c r="D52" s="29" t="s">
        <v>2544</v>
      </c>
      <c r="E52" s="29" t="s">
        <v>693</v>
      </c>
      <c r="F52" s="30" t="s">
        <v>693</v>
      </c>
      <c r="G52" s="29">
        <v>1980</v>
      </c>
      <c r="H52" s="29" t="s">
        <v>2557</v>
      </c>
      <c r="I52" s="29" t="s">
        <v>2558</v>
      </c>
      <c r="J52" s="30" t="s">
        <v>694</v>
      </c>
      <c r="K52" s="30">
        <v>2223576526</v>
      </c>
      <c r="L52" s="30" t="s">
        <v>691</v>
      </c>
      <c r="M52" s="30" t="s">
        <v>695</v>
      </c>
      <c r="N52" s="29" t="s">
        <v>33</v>
      </c>
      <c r="O52" s="30">
        <v>2223576526</v>
      </c>
      <c r="P52" s="30" t="s">
        <v>696</v>
      </c>
      <c r="Q52" s="30" t="s">
        <v>695</v>
      </c>
      <c r="R52" s="30" t="s">
        <v>8</v>
      </c>
      <c r="S52" s="30">
        <v>2223576526</v>
      </c>
      <c r="T52" s="30" t="s">
        <v>696</v>
      </c>
      <c r="U52" s="29">
        <v>2016</v>
      </c>
    </row>
    <row r="53" spans="1:39" s="1" customFormat="1" ht="30" customHeight="1" x14ac:dyDescent="0.2">
      <c r="A53" s="1">
        <v>51</v>
      </c>
      <c r="B53" s="30">
        <v>60797800</v>
      </c>
      <c r="C53" s="29" t="s">
        <v>2362</v>
      </c>
      <c r="D53" s="29" t="s">
        <v>2544</v>
      </c>
      <c r="E53" s="29" t="s">
        <v>2854</v>
      </c>
      <c r="F53" s="30" t="s">
        <v>2808</v>
      </c>
      <c r="G53" s="29">
        <v>2752</v>
      </c>
      <c r="H53" s="29" t="s">
        <v>2557</v>
      </c>
      <c r="I53" s="29" t="s">
        <v>2519</v>
      </c>
      <c r="J53" s="30" t="s">
        <v>1041</v>
      </c>
      <c r="K53" s="30" t="s">
        <v>1042</v>
      </c>
      <c r="L53" s="30" t="s">
        <v>1039</v>
      </c>
      <c r="M53" s="30" t="s">
        <v>1043</v>
      </c>
      <c r="N53" s="29" t="s">
        <v>33</v>
      </c>
      <c r="O53" s="30" t="s">
        <v>1042</v>
      </c>
      <c r="P53" s="30" t="s">
        <v>1044</v>
      </c>
      <c r="Q53" s="30" t="s">
        <v>1045</v>
      </c>
      <c r="R53" s="30" t="s">
        <v>55</v>
      </c>
      <c r="S53" s="30" t="s">
        <v>1046</v>
      </c>
      <c r="T53" s="30" t="s">
        <v>1047</v>
      </c>
      <c r="U53" s="29">
        <v>2019</v>
      </c>
    </row>
    <row r="54" spans="1:39" s="1" customFormat="1" ht="30" customHeight="1" x14ac:dyDescent="0.2">
      <c r="A54" s="1">
        <v>52</v>
      </c>
      <c r="B54" s="30">
        <v>60798600</v>
      </c>
      <c r="C54" s="29" t="s">
        <v>2438</v>
      </c>
      <c r="D54" s="29" t="s">
        <v>2544</v>
      </c>
      <c r="E54" s="29" t="s">
        <v>2855</v>
      </c>
      <c r="F54" s="30" t="s">
        <v>1730</v>
      </c>
      <c r="G54" s="29">
        <v>7174</v>
      </c>
      <c r="H54" s="29" t="s">
        <v>2557</v>
      </c>
      <c r="I54" s="29" t="s">
        <v>2558</v>
      </c>
      <c r="J54" s="30" t="s">
        <v>1731</v>
      </c>
      <c r="K54" s="30" t="s">
        <v>1732</v>
      </c>
      <c r="L54" s="30" t="s">
        <v>1733</v>
      </c>
      <c r="M54" s="30" t="s">
        <v>1734</v>
      </c>
      <c r="N54" s="29" t="s">
        <v>33</v>
      </c>
      <c r="O54" s="30" t="s">
        <v>1735</v>
      </c>
      <c r="P54" s="30" t="s">
        <v>1736</v>
      </c>
      <c r="Q54" s="30" t="s">
        <v>1737</v>
      </c>
      <c r="R54" s="30" t="s">
        <v>36</v>
      </c>
      <c r="S54" s="30" t="s">
        <v>1738</v>
      </c>
      <c r="T54" s="30" t="s">
        <v>1739</v>
      </c>
      <c r="U54" s="29">
        <v>2022</v>
      </c>
    </row>
    <row r="55" spans="1:39" s="1" customFormat="1" ht="30" customHeight="1" x14ac:dyDescent="0.2">
      <c r="A55" s="1">
        <v>53</v>
      </c>
      <c r="B55" s="30">
        <v>60799700</v>
      </c>
      <c r="C55" s="29" t="s">
        <v>2448</v>
      </c>
      <c r="D55" s="29" t="s">
        <v>2544</v>
      </c>
      <c r="E55" s="29" t="s">
        <v>1461</v>
      </c>
      <c r="F55" s="30" t="s">
        <v>1461</v>
      </c>
      <c r="G55" s="29">
        <v>6740</v>
      </c>
      <c r="H55" s="29" t="s">
        <v>2557</v>
      </c>
      <c r="I55" s="29" t="s">
        <v>2558</v>
      </c>
      <c r="J55" s="30" t="s">
        <v>1462</v>
      </c>
      <c r="K55" s="30">
        <v>1128052917</v>
      </c>
      <c r="L55" s="30" t="s">
        <v>1459</v>
      </c>
      <c r="M55" s="30" t="s">
        <v>1463</v>
      </c>
      <c r="N55" s="29" t="s">
        <v>33</v>
      </c>
      <c r="O55" s="30">
        <v>1128052917</v>
      </c>
      <c r="P55" s="30" t="s">
        <v>1459</v>
      </c>
      <c r="Q55" s="30" t="s">
        <v>1464</v>
      </c>
      <c r="R55" s="30" t="s">
        <v>8</v>
      </c>
      <c r="S55" s="30">
        <v>1128052917</v>
      </c>
      <c r="T55" s="30" t="s">
        <v>1459</v>
      </c>
      <c r="U55" s="29">
        <v>2016</v>
      </c>
      <c r="AL55" s="3"/>
      <c r="AM55" s="3"/>
    </row>
    <row r="56" spans="1:39" s="1" customFormat="1" ht="30" customHeight="1" x14ac:dyDescent="0.2">
      <c r="A56" s="1">
        <v>54</v>
      </c>
      <c r="B56" s="30">
        <v>60800900</v>
      </c>
      <c r="C56" s="29" t="s">
        <v>1991</v>
      </c>
      <c r="D56" s="29" t="s">
        <v>2544</v>
      </c>
      <c r="E56" s="29" t="s">
        <v>2856</v>
      </c>
      <c r="F56" s="30" t="s">
        <v>252</v>
      </c>
      <c r="G56" s="29">
        <v>1757</v>
      </c>
      <c r="H56" s="29" t="s">
        <v>2518</v>
      </c>
      <c r="I56" s="29" t="s">
        <v>2519</v>
      </c>
      <c r="J56" s="30" t="s">
        <v>253</v>
      </c>
      <c r="K56" s="30" t="s">
        <v>1992</v>
      </c>
      <c r="L56" s="30" t="s">
        <v>251</v>
      </c>
      <c r="M56" s="30" t="s">
        <v>254</v>
      </c>
      <c r="N56" s="29" t="s">
        <v>33</v>
      </c>
      <c r="O56" s="30" t="s">
        <v>255</v>
      </c>
      <c r="P56" s="30" t="s">
        <v>251</v>
      </c>
      <c r="Q56" s="30" t="s">
        <v>256</v>
      </c>
      <c r="R56" s="30" t="s">
        <v>27</v>
      </c>
      <c r="S56" s="30" t="s">
        <v>257</v>
      </c>
      <c r="T56" s="30" t="s">
        <v>251</v>
      </c>
      <c r="U56" s="29">
        <v>2025</v>
      </c>
    </row>
    <row r="57" spans="1:39" s="1" customFormat="1" ht="30" customHeight="1" x14ac:dyDescent="0.2">
      <c r="A57" s="1">
        <v>55</v>
      </c>
      <c r="B57" s="30">
        <v>60807100</v>
      </c>
      <c r="C57" s="29" t="s">
        <v>2449</v>
      </c>
      <c r="D57" s="29" t="s">
        <v>2544</v>
      </c>
      <c r="E57" s="29" t="s">
        <v>2857</v>
      </c>
      <c r="F57" s="30" t="s">
        <v>2809</v>
      </c>
      <c r="G57" s="29">
        <v>1856</v>
      </c>
      <c r="H57" s="29" t="s">
        <v>2557</v>
      </c>
      <c r="I57" s="29" t="s">
        <v>2558</v>
      </c>
      <c r="J57" s="30" t="s">
        <v>1467</v>
      </c>
      <c r="K57" s="30">
        <v>2224423339</v>
      </c>
      <c r="L57" s="30" t="s">
        <v>1468</v>
      </c>
      <c r="M57" s="30" t="s">
        <v>1469</v>
      </c>
      <c r="N57" s="29" t="s">
        <v>33</v>
      </c>
      <c r="O57" s="30">
        <v>1131202071</v>
      </c>
      <c r="P57" s="30" t="s">
        <v>1470</v>
      </c>
      <c r="Q57" s="30" t="s">
        <v>1471</v>
      </c>
      <c r="R57" s="30" t="s">
        <v>36</v>
      </c>
      <c r="S57" s="30">
        <v>1150108284</v>
      </c>
      <c r="T57" s="30" t="s">
        <v>1465</v>
      </c>
      <c r="U57" s="29">
        <v>2016</v>
      </c>
    </row>
    <row r="58" spans="1:39" s="1" customFormat="1" ht="30" customHeight="1" x14ac:dyDescent="0.2">
      <c r="A58" s="1">
        <v>56</v>
      </c>
      <c r="B58" s="30">
        <v>60831300</v>
      </c>
      <c r="C58" s="29" t="s">
        <v>73</v>
      </c>
      <c r="D58" s="29" t="s">
        <v>2544</v>
      </c>
      <c r="E58" s="29" t="s">
        <v>74</v>
      </c>
      <c r="F58" s="30" t="s">
        <v>74</v>
      </c>
      <c r="G58" s="29">
        <v>1832</v>
      </c>
      <c r="H58" s="29" t="s">
        <v>2518</v>
      </c>
      <c r="I58" s="29" t="s">
        <v>2519</v>
      </c>
      <c r="J58" s="30" t="s">
        <v>75</v>
      </c>
      <c r="K58" s="30">
        <v>42443105</v>
      </c>
      <c r="L58" s="30" t="s">
        <v>76</v>
      </c>
      <c r="M58" s="30" t="s">
        <v>77</v>
      </c>
      <c r="N58" s="29" t="s">
        <v>33</v>
      </c>
      <c r="O58" s="30">
        <v>1157602891</v>
      </c>
      <c r="P58" s="30" t="s">
        <v>78</v>
      </c>
      <c r="Q58" s="30" t="s">
        <v>79</v>
      </c>
      <c r="R58" s="30" t="s">
        <v>36</v>
      </c>
      <c r="S58" s="30">
        <v>1141942911</v>
      </c>
      <c r="T58" s="30" t="s">
        <v>80</v>
      </c>
      <c r="U58" s="29">
        <v>2016</v>
      </c>
    </row>
    <row r="59" spans="1:39" s="1" customFormat="1" ht="30" customHeight="1" x14ac:dyDescent="0.2">
      <c r="A59" s="1">
        <v>57</v>
      </c>
      <c r="B59" s="30">
        <v>60845900</v>
      </c>
      <c r="C59" s="29" t="s">
        <v>2359</v>
      </c>
      <c r="D59" s="29" t="s">
        <v>2544</v>
      </c>
      <c r="E59" s="29" t="s">
        <v>652</v>
      </c>
      <c r="F59" s="30" t="s">
        <v>652</v>
      </c>
      <c r="G59" s="29">
        <v>7203</v>
      </c>
      <c r="H59" s="29" t="s">
        <v>2557</v>
      </c>
      <c r="I59" s="29" t="s">
        <v>2558</v>
      </c>
      <c r="J59" s="30" t="s">
        <v>653</v>
      </c>
      <c r="K59" s="30" t="s">
        <v>2083</v>
      </c>
      <c r="L59" s="30" t="s">
        <v>650</v>
      </c>
      <c r="M59" s="30" t="s">
        <v>654</v>
      </c>
      <c r="N59" s="29" t="s">
        <v>33</v>
      </c>
      <c r="O59" s="30" t="s">
        <v>655</v>
      </c>
      <c r="P59" s="30" t="s">
        <v>656</v>
      </c>
      <c r="Q59" s="30" t="s">
        <v>654</v>
      </c>
      <c r="R59" s="30" t="s">
        <v>8</v>
      </c>
      <c r="S59" s="30" t="s">
        <v>657</v>
      </c>
      <c r="T59" s="30" t="s">
        <v>656</v>
      </c>
      <c r="U59" s="29">
        <v>2016</v>
      </c>
      <c r="Y59" s="2"/>
      <c r="AC59" s="2"/>
    </row>
    <row r="60" spans="1:39" s="1" customFormat="1" ht="30" customHeight="1" x14ac:dyDescent="0.2">
      <c r="A60" s="1">
        <v>58</v>
      </c>
      <c r="B60" s="30">
        <v>60863000</v>
      </c>
      <c r="C60" s="29" t="s">
        <v>460</v>
      </c>
      <c r="D60" s="29" t="s">
        <v>2544</v>
      </c>
      <c r="E60" s="29" t="s">
        <v>1613</v>
      </c>
      <c r="F60" s="30" t="s">
        <v>461</v>
      </c>
      <c r="G60" s="29">
        <v>1676</v>
      </c>
      <c r="H60" s="29" t="s">
        <v>2518</v>
      </c>
      <c r="I60" s="29" t="s">
        <v>2519</v>
      </c>
      <c r="J60" s="30" t="s">
        <v>462</v>
      </c>
      <c r="K60" s="30">
        <v>47572625</v>
      </c>
      <c r="L60" s="30" t="s">
        <v>463</v>
      </c>
      <c r="M60" s="30" t="s">
        <v>464</v>
      </c>
      <c r="N60" s="29" t="s">
        <v>33</v>
      </c>
      <c r="O60" s="30">
        <v>1156417981</v>
      </c>
      <c r="P60" s="30" t="s">
        <v>465</v>
      </c>
      <c r="Q60" s="30" t="s">
        <v>466</v>
      </c>
      <c r="R60" s="30" t="s">
        <v>17</v>
      </c>
      <c r="S60" s="30">
        <v>1141767235</v>
      </c>
      <c r="T60" s="30" t="s">
        <v>264</v>
      </c>
      <c r="U60" s="29">
        <v>2018</v>
      </c>
      <c r="AL60" s="3"/>
      <c r="AM60" s="3"/>
    </row>
    <row r="61" spans="1:39" s="1" customFormat="1" ht="30" customHeight="1" x14ac:dyDescent="0.2">
      <c r="A61" s="1">
        <v>59</v>
      </c>
      <c r="B61" s="30">
        <v>60877900</v>
      </c>
      <c r="C61" s="29" t="s">
        <v>555</v>
      </c>
      <c r="D61" s="29" t="s">
        <v>2544</v>
      </c>
      <c r="E61" s="29" t="s">
        <v>556</v>
      </c>
      <c r="F61" s="30" t="s">
        <v>556</v>
      </c>
      <c r="G61" s="29">
        <v>6700</v>
      </c>
      <c r="H61" s="29" t="s">
        <v>2518</v>
      </c>
      <c r="I61" s="29" t="s">
        <v>2519</v>
      </c>
      <c r="J61" s="30" t="s">
        <v>557</v>
      </c>
      <c r="K61" s="30" t="s">
        <v>2039</v>
      </c>
      <c r="L61" s="30" t="s">
        <v>554</v>
      </c>
      <c r="M61" s="30" t="s">
        <v>558</v>
      </c>
      <c r="N61" s="29" t="s">
        <v>33</v>
      </c>
      <c r="O61" s="30" t="s">
        <v>559</v>
      </c>
      <c r="P61" s="30" t="s">
        <v>560</v>
      </c>
      <c r="Q61" s="30" t="s">
        <v>558</v>
      </c>
      <c r="R61" s="30" t="s">
        <v>8</v>
      </c>
      <c r="S61" s="30" t="s">
        <v>559</v>
      </c>
      <c r="T61" s="30" t="s">
        <v>560</v>
      </c>
      <c r="U61" s="29">
        <v>2018</v>
      </c>
    </row>
    <row r="62" spans="1:39" s="1" customFormat="1" ht="30" customHeight="1" x14ac:dyDescent="0.2">
      <c r="A62" s="1">
        <v>60</v>
      </c>
      <c r="B62" s="30">
        <v>60932500</v>
      </c>
      <c r="C62" s="29" t="s">
        <v>2445</v>
      </c>
      <c r="D62" s="29" t="s">
        <v>2544</v>
      </c>
      <c r="E62" s="29" t="s">
        <v>1232</v>
      </c>
      <c r="F62" s="30" t="s">
        <v>1232</v>
      </c>
      <c r="G62" s="29">
        <v>1661</v>
      </c>
      <c r="H62" s="29" t="s">
        <v>2557</v>
      </c>
      <c r="I62" s="29" t="s">
        <v>2519</v>
      </c>
      <c r="J62" s="30" t="s">
        <v>1233</v>
      </c>
      <c r="K62" s="30"/>
      <c r="L62" s="30" t="s">
        <v>1230</v>
      </c>
      <c r="M62" s="30" t="s">
        <v>1234</v>
      </c>
      <c r="N62" s="29" t="s">
        <v>33</v>
      </c>
      <c r="O62" s="30">
        <v>1168612361</v>
      </c>
      <c r="P62" s="30" t="s">
        <v>1235</v>
      </c>
      <c r="Q62" s="30" t="s">
        <v>1234</v>
      </c>
      <c r="R62" s="30" t="s">
        <v>8</v>
      </c>
      <c r="S62" s="30">
        <v>1168612361</v>
      </c>
      <c r="T62" s="30" t="s">
        <v>1235</v>
      </c>
      <c r="U62" s="29">
        <v>2018</v>
      </c>
    </row>
    <row r="63" spans="1:39" s="1" customFormat="1" ht="30" customHeight="1" x14ac:dyDescent="0.2">
      <c r="A63" s="1">
        <v>61</v>
      </c>
      <c r="B63" s="30">
        <v>60950000</v>
      </c>
      <c r="C63" s="29" t="s">
        <v>2450</v>
      </c>
      <c r="D63" s="29" t="s">
        <v>2544</v>
      </c>
      <c r="E63" s="29" t="s">
        <v>2774</v>
      </c>
      <c r="F63" s="30" t="s">
        <v>2774</v>
      </c>
      <c r="G63" s="29">
        <v>7150</v>
      </c>
      <c r="H63" s="29" t="s">
        <v>2557</v>
      </c>
      <c r="I63" s="29" t="s">
        <v>2558</v>
      </c>
      <c r="J63" s="30" t="s">
        <v>1617</v>
      </c>
      <c r="K63" s="30">
        <v>2296454806</v>
      </c>
      <c r="L63" s="30" t="s">
        <v>1615</v>
      </c>
      <c r="M63" s="30" t="s">
        <v>1618</v>
      </c>
      <c r="N63" s="29" t="s">
        <v>33</v>
      </c>
      <c r="O63" s="30">
        <v>2494484041</v>
      </c>
      <c r="P63" s="30" t="s">
        <v>1619</v>
      </c>
      <c r="Q63" s="30" t="s">
        <v>1620</v>
      </c>
      <c r="R63" s="30" t="s">
        <v>36</v>
      </c>
      <c r="S63" s="30">
        <v>2494531049</v>
      </c>
      <c r="T63" s="30" t="s">
        <v>1621</v>
      </c>
      <c r="U63" s="29">
        <v>2016</v>
      </c>
      <c r="AL63" s="3"/>
      <c r="AM63" s="3"/>
    </row>
    <row r="64" spans="1:39" s="1" customFormat="1" ht="30" customHeight="1" x14ac:dyDescent="0.2">
      <c r="A64" s="1">
        <v>62</v>
      </c>
      <c r="B64" s="30">
        <v>60956100</v>
      </c>
      <c r="C64" s="29" t="s">
        <v>2451</v>
      </c>
      <c r="D64" s="29" t="s">
        <v>2544</v>
      </c>
      <c r="E64" s="29" t="s">
        <v>2754</v>
      </c>
      <c r="F64" s="30" t="s">
        <v>2775</v>
      </c>
      <c r="G64" s="29">
        <v>2720</v>
      </c>
      <c r="H64" s="29" t="s">
        <v>2557</v>
      </c>
      <c r="I64" s="29" t="s">
        <v>2558</v>
      </c>
      <c r="J64" s="30" t="s">
        <v>1644</v>
      </c>
      <c r="K64" s="30"/>
      <c r="L64" s="30" t="s">
        <v>1642</v>
      </c>
      <c r="M64" s="30" t="s">
        <v>1645</v>
      </c>
      <c r="N64" s="29" t="s">
        <v>33</v>
      </c>
      <c r="O64" s="30">
        <v>2473472056</v>
      </c>
      <c r="P64" s="30" t="s">
        <v>1646</v>
      </c>
      <c r="Q64" s="30" t="s">
        <v>1647</v>
      </c>
      <c r="R64" s="30" t="s">
        <v>55</v>
      </c>
      <c r="S64" s="30">
        <v>2473417639</v>
      </c>
      <c r="T64" s="30" t="s">
        <v>1648</v>
      </c>
      <c r="U64" s="29">
        <v>2016</v>
      </c>
    </row>
    <row r="65" spans="1:39" s="1" customFormat="1" ht="30" customHeight="1" x14ac:dyDescent="0.2">
      <c r="A65" s="1">
        <v>63</v>
      </c>
      <c r="B65" s="30">
        <v>60974700</v>
      </c>
      <c r="C65" s="29" t="s">
        <v>1057</v>
      </c>
      <c r="D65" s="29" t="s">
        <v>2544</v>
      </c>
      <c r="E65" s="29" t="s">
        <v>1058</v>
      </c>
      <c r="F65" s="30" t="s">
        <v>1058</v>
      </c>
      <c r="G65" s="29">
        <v>8150</v>
      </c>
      <c r="H65" s="29" t="s">
        <v>2557</v>
      </c>
      <c r="I65" s="29" t="s">
        <v>2558</v>
      </c>
      <c r="J65" s="30" t="s">
        <v>1059</v>
      </c>
      <c r="K65" s="30"/>
      <c r="L65" s="30" t="s">
        <v>1056</v>
      </c>
      <c r="M65" s="30" t="s">
        <v>1060</v>
      </c>
      <c r="N65" s="29" t="s">
        <v>33</v>
      </c>
      <c r="O65" s="30">
        <v>2932417145</v>
      </c>
      <c r="P65" s="30" t="s">
        <v>1061</v>
      </c>
      <c r="Q65" s="30" t="s">
        <v>1062</v>
      </c>
      <c r="R65" s="30" t="s">
        <v>8</v>
      </c>
      <c r="S65" s="30">
        <v>2932417145</v>
      </c>
      <c r="T65" s="30" t="s">
        <v>1061</v>
      </c>
      <c r="U65" s="29">
        <v>2024</v>
      </c>
      <c r="AL65" s="3"/>
      <c r="AM65" s="3"/>
    </row>
    <row r="66" spans="1:39" s="1" customFormat="1" ht="30" customHeight="1" x14ac:dyDescent="0.2">
      <c r="A66" s="1">
        <v>64</v>
      </c>
      <c r="B66" s="30">
        <v>60982700</v>
      </c>
      <c r="C66" s="29" t="s">
        <v>915</v>
      </c>
      <c r="D66" s="29" t="s">
        <v>2544</v>
      </c>
      <c r="E66" s="29" t="s">
        <v>916</v>
      </c>
      <c r="F66" s="30" t="s">
        <v>916</v>
      </c>
      <c r="G66" s="29">
        <v>6400</v>
      </c>
      <c r="H66" s="29" t="s">
        <v>2557</v>
      </c>
      <c r="I66" s="29" t="s">
        <v>2558</v>
      </c>
      <c r="J66" s="30" t="s">
        <v>917</v>
      </c>
      <c r="K66" s="30">
        <v>2392430149</v>
      </c>
      <c r="L66" s="30" t="s">
        <v>914</v>
      </c>
      <c r="M66" s="30" t="s">
        <v>918</v>
      </c>
      <c r="N66" s="29" t="s">
        <v>33</v>
      </c>
      <c r="O66" s="30">
        <v>2392627460</v>
      </c>
      <c r="P66" s="30" t="s">
        <v>919</v>
      </c>
      <c r="Q66" s="30" t="s">
        <v>920</v>
      </c>
      <c r="R66" s="30" t="s">
        <v>55</v>
      </c>
      <c r="S66" s="30">
        <v>2392501842</v>
      </c>
      <c r="T66" s="30" t="s">
        <v>921</v>
      </c>
      <c r="U66" s="29">
        <v>2016</v>
      </c>
      <c r="AL66" s="3"/>
      <c r="AM66" s="3"/>
    </row>
    <row r="67" spans="1:39" s="1" customFormat="1" ht="30" customHeight="1" x14ac:dyDescent="0.2">
      <c r="A67" s="1">
        <v>65</v>
      </c>
      <c r="B67" s="30">
        <v>61045600</v>
      </c>
      <c r="C67" s="29" t="s">
        <v>2155</v>
      </c>
      <c r="D67" s="29" t="s">
        <v>2544</v>
      </c>
      <c r="E67" s="29" t="s">
        <v>1288</v>
      </c>
      <c r="F67" s="30" t="s">
        <v>1288</v>
      </c>
      <c r="G67" s="29">
        <v>1629</v>
      </c>
      <c r="H67" s="29" t="s">
        <v>2557</v>
      </c>
      <c r="I67" s="29" t="s">
        <v>2519</v>
      </c>
      <c r="J67" s="30" t="s">
        <v>2156</v>
      </c>
      <c r="K67" s="30">
        <v>230</v>
      </c>
      <c r="L67" s="30" t="s">
        <v>1287</v>
      </c>
      <c r="M67" s="30" t="s">
        <v>1289</v>
      </c>
      <c r="N67" s="29" t="s">
        <v>33</v>
      </c>
      <c r="O67" s="30" t="s">
        <v>1290</v>
      </c>
      <c r="P67" s="30" t="s">
        <v>1291</v>
      </c>
      <c r="Q67" s="30" t="s">
        <v>1292</v>
      </c>
      <c r="R67" s="30" t="s">
        <v>8</v>
      </c>
      <c r="S67" s="30">
        <v>1123823290</v>
      </c>
      <c r="T67" s="30" t="s">
        <v>1293</v>
      </c>
      <c r="U67" s="29">
        <v>2021</v>
      </c>
    </row>
    <row r="68" spans="1:39" s="1" customFormat="1" ht="30" customHeight="1" x14ac:dyDescent="0.2">
      <c r="A68" s="1">
        <v>66</v>
      </c>
      <c r="B68" s="30">
        <v>61128600</v>
      </c>
      <c r="C68" s="29" t="s">
        <v>756</v>
      </c>
      <c r="D68" s="29" t="s">
        <v>2544</v>
      </c>
      <c r="E68" s="29" t="s">
        <v>2776</v>
      </c>
      <c r="F68" s="30" t="s">
        <v>2776</v>
      </c>
      <c r="G68" s="29">
        <v>6435</v>
      </c>
      <c r="H68" s="29" t="s">
        <v>2557</v>
      </c>
      <c r="I68" s="29" t="s">
        <v>2558</v>
      </c>
      <c r="J68" s="30" t="s">
        <v>757</v>
      </c>
      <c r="K68" s="30">
        <v>430176</v>
      </c>
      <c r="L68" s="30" t="s">
        <v>755</v>
      </c>
      <c r="M68" s="30" t="s">
        <v>758</v>
      </c>
      <c r="N68" s="29" t="s">
        <v>33</v>
      </c>
      <c r="O68" s="30" t="s">
        <v>759</v>
      </c>
      <c r="P68" s="30" t="s">
        <v>760</v>
      </c>
      <c r="Q68" s="30" t="s">
        <v>761</v>
      </c>
      <c r="R68" s="30" t="s">
        <v>55</v>
      </c>
      <c r="S68" s="30">
        <v>2923435411</v>
      </c>
      <c r="T68" s="30" t="s">
        <v>762</v>
      </c>
      <c r="U68" s="29">
        <v>2016</v>
      </c>
      <c r="AL68" s="3"/>
      <c r="AM68" s="3"/>
    </row>
    <row r="69" spans="1:39" s="1" customFormat="1" ht="30" customHeight="1" x14ac:dyDescent="0.2">
      <c r="A69" s="1">
        <v>67</v>
      </c>
      <c r="B69" s="30">
        <v>61172600</v>
      </c>
      <c r="C69" s="29" t="s">
        <v>698</v>
      </c>
      <c r="D69" s="29" t="s">
        <v>2544</v>
      </c>
      <c r="E69" s="29" t="s">
        <v>699</v>
      </c>
      <c r="F69" s="30" t="s">
        <v>699</v>
      </c>
      <c r="G69" s="29">
        <v>2705</v>
      </c>
      <c r="H69" s="29" t="s">
        <v>2557</v>
      </c>
      <c r="I69" s="29" t="s">
        <v>2558</v>
      </c>
      <c r="J69" s="30" t="s">
        <v>700</v>
      </c>
      <c r="K69" s="30" t="s">
        <v>701</v>
      </c>
      <c r="L69" s="30" t="s">
        <v>697</v>
      </c>
      <c r="M69" s="30" t="s">
        <v>702</v>
      </c>
      <c r="N69" s="29" t="s">
        <v>33</v>
      </c>
      <c r="O69" s="30" t="s">
        <v>703</v>
      </c>
      <c r="P69" s="30" t="s">
        <v>704</v>
      </c>
      <c r="Q69" s="30" t="s">
        <v>705</v>
      </c>
      <c r="R69" s="30" t="s">
        <v>27</v>
      </c>
      <c r="S69" s="30" t="s">
        <v>706</v>
      </c>
      <c r="T69" s="30" t="s">
        <v>707</v>
      </c>
      <c r="U69" s="29">
        <v>2016</v>
      </c>
    </row>
    <row r="70" spans="1:39" s="1" customFormat="1" ht="30" customHeight="1" x14ac:dyDescent="0.2">
      <c r="A70" s="1">
        <v>68</v>
      </c>
      <c r="B70" s="30">
        <v>61185300</v>
      </c>
      <c r="C70" s="29" t="s">
        <v>2454</v>
      </c>
      <c r="D70" s="29" t="s">
        <v>2544</v>
      </c>
      <c r="E70" s="29" t="s">
        <v>135</v>
      </c>
      <c r="F70" s="30" t="s">
        <v>135</v>
      </c>
      <c r="G70" s="29">
        <v>1824</v>
      </c>
      <c r="H70" s="29" t="s">
        <v>2518</v>
      </c>
      <c r="I70" s="29" t="s">
        <v>2519</v>
      </c>
      <c r="J70" s="30" t="s">
        <v>136</v>
      </c>
      <c r="K70" s="30" t="s">
        <v>1977</v>
      </c>
      <c r="L70" s="30" t="s">
        <v>137</v>
      </c>
      <c r="M70" s="30" t="s">
        <v>138</v>
      </c>
      <c r="N70" s="29" t="s">
        <v>33</v>
      </c>
      <c r="O70" s="30" t="s">
        <v>139</v>
      </c>
      <c r="P70" s="30" t="s">
        <v>140</v>
      </c>
      <c r="Q70" s="30" t="s">
        <v>141</v>
      </c>
      <c r="R70" s="30" t="s">
        <v>6</v>
      </c>
      <c r="S70" s="30" t="s">
        <v>142</v>
      </c>
      <c r="T70" s="30" t="s">
        <v>143</v>
      </c>
      <c r="U70" s="29">
        <v>2016</v>
      </c>
    </row>
    <row r="71" spans="1:39" s="1" customFormat="1" ht="30" customHeight="1" x14ac:dyDescent="0.2">
      <c r="A71" s="1">
        <v>69</v>
      </c>
      <c r="B71" s="30">
        <v>61190300</v>
      </c>
      <c r="C71" s="29" t="s">
        <v>1417</v>
      </c>
      <c r="D71" s="29" t="s">
        <v>2544</v>
      </c>
      <c r="E71" s="29" t="s">
        <v>1418</v>
      </c>
      <c r="F71" s="30" t="s">
        <v>1418</v>
      </c>
      <c r="G71" s="29">
        <v>8160</v>
      </c>
      <c r="H71" s="29" t="s">
        <v>2557</v>
      </c>
      <c r="I71" s="29" t="s">
        <v>2558</v>
      </c>
      <c r="J71" s="30" t="s">
        <v>1419</v>
      </c>
      <c r="K71" s="30" t="s">
        <v>1420</v>
      </c>
      <c r="L71" s="30" t="s">
        <v>1421</v>
      </c>
      <c r="M71" s="30" t="s">
        <v>1422</v>
      </c>
      <c r="N71" s="29" t="s">
        <v>33</v>
      </c>
      <c r="O71" s="30" t="s">
        <v>1423</v>
      </c>
      <c r="P71" s="30" t="s">
        <v>1424</v>
      </c>
      <c r="Q71" s="30" t="s">
        <v>1425</v>
      </c>
      <c r="R71" s="30" t="s">
        <v>27</v>
      </c>
      <c r="S71" s="30" t="s">
        <v>2194</v>
      </c>
      <c r="T71" s="30" t="s">
        <v>1426</v>
      </c>
      <c r="U71" s="29">
        <v>2021</v>
      </c>
    </row>
    <row r="72" spans="1:39" s="1" customFormat="1" ht="30" customHeight="1" x14ac:dyDescent="0.2">
      <c r="A72" s="1">
        <v>70</v>
      </c>
      <c r="B72" s="30">
        <v>61190700</v>
      </c>
      <c r="C72" s="29" t="s">
        <v>1245</v>
      </c>
      <c r="D72" s="29" t="s">
        <v>2544</v>
      </c>
      <c r="E72" s="29" t="s">
        <v>2777</v>
      </c>
      <c r="F72" s="30" t="s">
        <v>2777</v>
      </c>
      <c r="G72" s="29">
        <v>7521</v>
      </c>
      <c r="H72" s="29" t="s">
        <v>2557</v>
      </c>
      <c r="I72" s="29" t="s">
        <v>2558</v>
      </c>
      <c r="J72" s="30" t="s">
        <v>1246</v>
      </c>
      <c r="K72" s="30">
        <v>2983470030</v>
      </c>
      <c r="L72" s="30" t="s">
        <v>1244</v>
      </c>
      <c r="M72" s="30" t="s">
        <v>1247</v>
      </c>
      <c r="N72" s="29" t="s">
        <v>33</v>
      </c>
      <c r="O72" s="30">
        <v>2983528147</v>
      </c>
      <c r="P72" s="30" t="s">
        <v>1244</v>
      </c>
      <c r="Q72" s="30" t="s">
        <v>1247</v>
      </c>
      <c r="R72" s="30" t="s">
        <v>8</v>
      </c>
      <c r="S72" s="30">
        <v>2983407030</v>
      </c>
      <c r="T72" s="30" t="s">
        <v>1244</v>
      </c>
      <c r="U72" s="29">
        <v>2016</v>
      </c>
    </row>
    <row r="73" spans="1:39" s="1" customFormat="1" ht="30" customHeight="1" x14ac:dyDescent="0.2">
      <c r="A73" s="1">
        <v>71</v>
      </c>
      <c r="B73" s="30">
        <v>61233400</v>
      </c>
      <c r="C73" s="29" t="s">
        <v>2360</v>
      </c>
      <c r="D73" s="29" t="s">
        <v>2544</v>
      </c>
      <c r="E73" s="29" t="s">
        <v>260</v>
      </c>
      <c r="F73" s="30" t="s">
        <v>260</v>
      </c>
      <c r="G73" s="29">
        <v>1642</v>
      </c>
      <c r="H73" s="29" t="s">
        <v>2518</v>
      </c>
      <c r="I73" s="29" t="s">
        <v>2519</v>
      </c>
      <c r="J73" s="30" t="s">
        <v>261</v>
      </c>
      <c r="K73" s="30">
        <v>47437487</v>
      </c>
      <c r="L73" s="30" t="s">
        <v>262</v>
      </c>
      <c r="M73" s="30" t="s">
        <v>263</v>
      </c>
      <c r="N73" s="29" t="s">
        <v>33</v>
      </c>
      <c r="O73" s="30">
        <v>1156368517</v>
      </c>
      <c r="P73" s="30" t="s">
        <v>262</v>
      </c>
      <c r="Q73" s="30" t="s">
        <v>232</v>
      </c>
      <c r="R73" s="30" t="s">
        <v>17</v>
      </c>
      <c r="S73" s="30">
        <v>1141767235</v>
      </c>
      <c r="T73" s="30" t="s">
        <v>264</v>
      </c>
      <c r="U73" s="29">
        <v>2018</v>
      </c>
    </row>
    <row r="74" spans="1:39" s="1" customFormat="1" ht="30" customHeight="1" x14ac:dyDescent="0.2">
      <c r="A74" s="1">
        <v>72</v>
      </c>
      <c r="B74" s="30">
        <v>61288800</v>
      </c>
      <c r="C74" s="29" t="s">
        <v>795</v>
      </c>
      <c r="D74" s="29" t="s">
        <v>2544</v>
      </c>
      <c r="E74" s="29" t="s">
        <v>796</v>
      </c>
      <c r="F74" s="30" t="s">
        <v>796</v>
      </c>
      <c r="G74" s="29">
        <v>1744</v>
      </c>
      <c r="H74" s="29" t="s">
        <v>2557</v>
      </c>
      <c r="I74" s="29" t="s">
        <v>2519</v>
      </c>
      <c r="J74" s="30" t="s">
        <v>797</v>
      </c>
      <c r="K74" s="30" t="s">
        <v>2093</v>
      </c>
      <c r="L74" s="30" t="s">
        <v>794</v>
      </c>
      <c r="M74" s="30" t="s">
        <v>798</v>
      </c>
      <c r="N74" s="29" t="s">
        <v>33</v>
      </c>
      <c r="O74" s="30">
        <v>1156515354</v>
      </c>
      <c r="P74" s="30" t="s">
        <v>799</v>
      </c>
      <c r="Q74" s="30" t="s">
        <v>800</v>
      </c>
      <c r="R74" s="30" t="s">
        <v>36</v>
      </c>
      <c r="S74" s="30">
        <v>1163372597</v>
      </c>
      <c r="T74" s="30" t="s">
        <v>801</v>
      </c>
      <c r="U74" s="29">
        <v>2016</v>
      </c>
    </row>
    <row r="75" spans="1:39" s="1" customFormat="1" ht="30" customHeight="1" x14ac:dyDescent="0.2">
      <c r="A75" s="1">
        <v>73</v>
      </c>
      <c r="B75" s="30">
        <v>61302600</v>
      </c>
      <c r="C75" s="29" t="s">
        <v>1669</v>
      </c>
      <c r="D75" s="29" t="s">
        <v>2544</v>
      </c>
      <c r="E75" s="29" t="s">
        <v>2778</v>
      </c>
      <c r="F75" s="30" t="s">
        <v>2778</v>
      </c>
      <c r="G75" s="29">
        <v>2942</v>
      </c>
      <c r="H75" s="29" t="s">
        <v>2557</v>
      </c>
      <c r="I75" s="29" t="s">
        <v>2519</v>
      </c>
      <c r="J75" s="30" t="s">
        <v>1670</v>
      </c>
      <c r="K75" s="30" t="s">
        <v>2226</v>
      </c>
      <c r="L75" s="30" t="s">
        <v>1668</v>
      </c>
      <c r="M75" s="30" t="s">
        <v>1671</v>
      </c>
      <c r="N75" s="29" t="s">
        <v>33</v>
      </c>
      <c r="O75" s="30" t="s">
        <v>1672</v>
      </c>
      <c r="P75" s="30" t="s">
        <v>1673</v>
      </c>
      <c r="Q75" s="30" t="s">
        <v>1671</v>
      </c>
      <c r="R75" s="30" t="s">
        <v>8</v>
      </c>
      <c r="S75" s="30" t="s">
        <v>1672</v>
      </c>
      <c r="T75" s="30" t="s">
        <v>1673</v>
      </c>
      <c r="U75" s="29">
        <v>2016</v>
      </c>
      <c r="Y75" s="2"/>
      <c r="AC75" s="2"/>
    </row>
    <row r="76" spans="1:39" s="1" customFormat="1" ht="30" customHeight="1" x14ac:dyDescent="0.2">
      <c r="A76" s="1">
        <v>74</v>
      </c>
      <c r="B76" s="30">
        <v>61337200</v>
      </c>
      <c r="C76" s="29" t="s">
        <v>2453</v>
      </c>
      <c r="D76" s="29" t="s">
        <v>2544</v>
      </c>
      <c r="E76" s="29" t="s">
        <v>2858</v>
      </c>
      <c r="F76" s="30" t="s">
        <v>2810</v>
      </c>
      <c r="G76" s="29">
        <v>1602</v>
      </c>
      <c r="H76" s="29" t="s">
        <v>2518</v>
      </c>
      <c r="I76" s="29" t="s">
        <v>2519</v>
      </c>
      <c r="J76" s="30" t="s">
        <v>92</v>
      </c>
      <c r="K76" s="30" t="s">
        <v>93</v>
      </c>
      <c r="L76" s="30" t="s">
        <v>94</v>
      </c>
      <c r="M76" s="30" t="s">
        <v>95</v>
      </c>
      <c r="N76" s="29" t="s">
        <v>33</v>
      </c>
      <c r="O76" s="30" t="s">
        <v>96</v>
      </c>
      <c r="P76" s="30" t="s">
        <v>90</v>
      </c>
      <c r="Q76" s="30" t="s">
        <v>97</v>
      </c>
      <c r="R76" s="30" t="s">
        <v>98</v>
      </c>
      <c r="S76" s="30" t="s">
        <v>99</v>
      </c>
      <c r="T76" s="30" t="s">
        <v>100</v>
      </c>
      <c r="U76" s="29">
        <v>2016</v>
      </c>
    </row>
    <row r="77" spans="1:39" s="1" customFormat="1" ht="30" customHeight="1" x14ac:dyDescent="0.2">
      <c r="A77" s="1">
        <v>75</v>
      </c>
      <c r="B77" s="30">
        <v>61375800</v>
      </c>
      <c r="C77" s="29" t="s">
        <v>1091</v>
      </c>
      <c r="D77" s="29" t="s">
        <v>2544</v>
      </c>
      <c r="E77" s="29" t="s">
        <v>2859</v>
      </c>
      <c r="F77" s="30" t="s">
        <v>1092</v>
      </c>
      <c r="G77" s="29">
        <v>6339</v>
      </c>
      <c r="H77" s="29" t="s">
        <v>2557</v>
      </c>
      <c r="I77" s="29" t="s">
        <v>2558</v>
      </c>
      <c r="J77" s="30" t="s">
        <v>1093</v>
      </c>
      <c r="K77" s="30">
        <v>2392562757</v>
      </c>
      <c r="L77" s="30" t="s">
        <v>1090</v>
      </c>
      <c r="M77" s="30" t="s">
        <v>1094</v>
      </c>
      <c r="N77" s="29" t="s">
        <v>33</v>
      </c>
      <c r="O77" s="30">
        <v>2392562757</v>
      </c>
      <c r="P77" s="30" t="s">
        <v>1095</v>
      </c>
      <c r="Q77" s="30" t="s">
        <v>1096</v>
      </c>
      <c r="R77" s="30" t="s">
        <v>55</v>
      </c>
      <c r="S77" s="30">
        <v>2392552491</v>
      </c>
      <c r="T77" s="30" t="s">
        <v>1097</v>
      </c>
      <c r="U77" s="29">
        <v>2021</v>
      </c>
    </row>
    <row r="78" spans="1:39" s="1" customFormat="1" ht="30" customHeight="1" x14ac:dyDescent="0.2">
      <c r="A78" s="1">
        <v>76</v>
      </c>
      <c r="B78" s="30">
        <v>61377800</v>
      </c>
      <c r="C78" s="29" t="s">
        <v>1766</v>
      </c>
      <c r="D78" s="29" t="s">
        <v>2544</v>
      </c>
      <c r="E78" s="29" t="s">
        <v>1767</v>
      </c>
      <c r="F78" s="30" t="s">
        <v>1767</v>
      </c>
      <c r="G78" s="29">
        <v>7200</v>
      </c>
      <c r="H78" s="29" t="s">
        <v>2557</v>
      </c>
      <c r="I78" s="29" t="s">
        <v>2558</v>
      </c>
      <c r="J78" s="30" t="s">
        <v>1768</v>
      </c>
      <c r="K78" s="30">
        <v>224446212</v>
      </c>
      <c r="L78" s="30" t="s">
        <v>1769</v>
      </c>
      <c r="M78" s="30" t="s">
        <v>1770</v>
      </c>
      <c r="N78" s="29" t="s">
        <v>33</v>
      </c>
      <c r="O78" s="30">
        <v>2244460212</v>
      </c>
      <c r="P78" s="30" t="s">
        <v>1771</v>
      </c>
      <c r="Q78" s="30" t="s">
        <v>1770</v>
      </c>
      <c r="R78" s="30" t="s">
        <v>8</v>
      </c>
      <c r="S78" s="30">
        <v>2244460212</v>
      </c>
      <c r="T78" s="30" t="s">
        <v>1771</v>
      </c>
      <c r="U78" s="29">
        <v>2023</v>
      </c>
    </row>
    <row r="79" spans="1:39" s="1" customFormat="1" ht="30" customHeight="1" x14ac:dyDescent="0.2">
      <c r="A79" s="1">
        <v>77</v>
      </c>
      <c r="B79" s="30">
        <v>61578100</v>
      </c>
      <c r="C79" s="29" t="s">
        <v>67</v>
      </c>
      <c r="D79" s="29" t="s">
        <v>2544</v>
      </c>
      <c r="E79" s="29" t="s">
        <v>2857</v>
      </c>
      <c r="F79" s="30" t="s">
        <v>2811</v>
      </c>
      <c r="G79" s="29">
        <v>1846</v>
      </c>
      <c r="H79" s="29" t="s">
        <v>2518</v>
      </c>
      <c r="I79" s="29" t="s">
        <v>2519</v>
      </c>
      <c r="J79" s="30" t="s">
        <v>68</v>
      </c>
      <c r="K79" s="30"/>
      <c r="L79" s="30" t="s">
        <v>69</v>
      </c>
      <c r="M79" s="30" t="s">
        <v>70</v>
      </c>
      <c r="N79" s="29" t="s">
        <v>33</v>
      </c>
      <c r="O79" s="30">
        <v>1563519924</v>
      </c>
      <c r="P79" s="30" t="s">
        <v>66</v>
      </c>
      <c r="Q79" s="30" t="s">
        <v>71</v>
      </c>
      <c r="R79" s="30" t="s">
        <v>17</v>
      </c>
      <c r="S79" s="30">
        <v>5491160332054</v>
      </c>
      <c r="T79" s="30" t="s">
        <v>72</v>
      </c>
      <c r="U79" s="29">
        <v>2016</v>
      </c>
    </row>
    <row r="80" spans="1:39" s="1" customFormat="1" ht="30" customHeight="1" x14ac:dyDescent="0.2">
      <c r="A80" s="1">
        <v>78</v>
      </c>
      <c r="B80" s="30">
        <v>61613900</v>
      </c>
      <c r="C80" s="29" t="s">
        <v>822</v>
      </c>
      <c r="D80" s="29" t="s">
        <v>2544</v>
      </c>
      <c r="E80" s="29" t="s">
        <v>823</v>
      </c>
      <c r="F80" s="30" t="s">
        <v>823</v>
      </c>
      <c r="G80" s="29">
        <v>7000</v>
      </c>
      <c r="H80" s="29" t="s">
        <v>2557</v>
      </c>
      <c r="I80" s="29" t="s">
        <v>2519</v>
      </c>
      <c r="J80" s="30" t="s">
        <v>824</v>
      </c>
      <c r="K80" s="30"/>
      <c r="L80" s="30" t="s">
        <v>821</v>
      </c>
      <c r="M80" s="30" t="s">
        <v>825</v>
      </c>
      <c r="N80" s="29" t="s">
        <v>33</v>
      </c>
      <c r="O80" s="30">
        <v>249154274105</v>
      </c>
      <c r="P80" s="30" t="s">
        <v>826</v>
      </c>
      <c r="Q80" s="30" t="s">
        <v>827</v>
      </c>
      <c r="R80" s="30" t="s">
        <v>36</v>
      </c>
      <c r="S80" s="30" t="s">
        <v>828</v>
      </c>
      <c r="T80" s="30" t="s">
        <v>829</v>
      </c>
      <c r="U80" s="29">
        <v>2016</v>
      </c>
      <c r="Y80" s="2"/>
      <c r="AC80" s="2"/>
    </row>
    <row r="81" spans="1:39" s="1" customFormat="1" ht="30" customHeight="1" x14ac:dyDescent="0.2">
      <c r="A81" s="1">
        <v>79</v>
      </c>
      <c r="B81" s="30">
        <v>62019500</v>
      </c>
      <c r="C81" s="29" t="s">
        <v>3031</v>
      </c>
      <c r="D81" s="29" t="s">
        <v>2544</v>
      </c>
      <c r="E81" s="29" t="s">
        <v>2856</v>
      </c>
      <c r="F81" s="30" t="s">
        <v>2812</v>
      </c>
      <c r="G81" s="29">
        <v>1765</v>
      </c>
      <c r="H81" s="29" t="s">
        <v>2518</v>
      </c>
      <c r="I81" s="29" t="s">
        <v>2519</v>
      </c>
      <c r="J81" s="30" t="s">
        <v>3032</v>
      </c>
      <c r="K81" s="30"/>
      <c r="L81" s="30"/>
      <c r="M81" s="30"/>
      <c r="N81" s="29"/>
      <c r="O81" s="30"/>
      <c r="P81" s="30"/>
      <c r="Q81" s="30"/>
      <c r="R81" s="30"/>
      <c r="S81" s="30"/>
      <c r="T81" s="30"/>
      <c r="U81" s="29">
        <v>2025</v>
      </c>
      <c r="AL81" s="3"/>
      <c r="AM81" s="3"/>
    </row>
    <row r="82" spans="1:39" s="1" customFormat="1" ht="30" customHeight="1" x14ac:dyDescent="0.2">
      <c r="A82" s="1">
        <v>80</v>
      </c>
      <c r="B82" s="30">
        <v>62056100</v>
      </c>
      <c r="C82" s="29" t="s">
        <v>2084</v>
      </c>
      <c r="D82" s="29" t="s">
        <v>2544</v>
      </c>
      <c r="E82" s="29" t="s">
        <v>2860</v>
      </c>
      <c r="F82" s="30" t="s">
        <v>660</v>
      </c>
      <c r="G82" s="29">
        <v>7607</v>
      </c>
      <c r="H82" s="29" t="s">
        <v>2557</v>
      </c>
      <c r="I82" s="29" t="s">
        <v>2519</v>
      </c>
      <c r="J82" s="30" t="s">
        <v>661</v>
      </c>
      <c r="K82" s="30">
        <v>2291433791</v>
      </c>
      <c r="L82" s="30" t="s">
        <v>659</v>
      </c>
      <c r="M82" s="30" t="s">
        <v>662</v>
      </c>
      <c r="N82" s="29" t="s">
        <v>33</v>
      </c>
      <c r="O82" s="30">
        <v>2235178404</v>
      </c>
      <c r="P82" s="30" t="s">
        <v>663</v>
      </c>
      <c r="Q82" s="30" t="s">
        <v>664</v>
      </c>
      <c r="R82" s="30" t="s">
        <v>36</v>
      </c>
      <c r="S82" s="30">
        <v>2234393887</v>
      </c>
      <c r="T82" s="30" t="s">
        <v>665</v>
      </c>
      <c r="U82" s="29">
        <v>2016</v>
      </c>
      <c r="Y82" s="2"/>
      <c r="AC82" s="2"/>
    </row>
    <row r="83" spans="1:39" s="1" customFormat="1" ht="30" customHeight="1" x14ac:dyDescent="0.2">
      <c r="A83" s="1">
        <v>81</v>
      </c>
      <c r="B83" s="30">
        <v>62111300</v>
      </c>
      <c r="C83" s="29" t="s">
        <v>3026</v>
      </c>
      <c r="D83" s="29" t="s">
        <v>2544</v>
      </c>
      <c r="E83" s="29" t="s">
        <v>74</v>
      </c>
      <c r="F83" s="30" t="s">
        <v>74</v>
      </c>
      <c r="G83" s="29">
        <v>1832</v>
      </c>
      <c r="H83" s="29" t="s">
        <v>2518</v>
      </c>
      <c r="I83" s="29" t="s">
        <v>2519</v>
      </c>
      <c r="J83" s="30" t="s">
        <v>414</v>
      </c>
      <c r="K83" s="30">
        <v>1161589453</v>
      </c>
      <c r="L83" s="30" t="s">
        <v>412</v>
      </c>
      <c r="M83" s="30" t="s">
        <v>415</v>
      </c>
      <c r="N83" s="29" t="s">
        <v>33</v>
      </c>
      <c r="O83" s="30">
        <v>1144739714</v>
      </c>
      <c r="P83" s="30" t="s">
        <v>416</v>
      </c>
      <c r="Q83" s="30" t="s">
        <v>417</v>
      </c>
      <c r="R83" s="30" t="s">
        <v>17</v>
      </c>
      <c r="S83" s="30">
        <v>1140837109</v>
      </c>
      <c r="T83" s="30" t="s">
        <v>418</v>
      </c>
      <c r="U83" s="29">
        <v>2021</v>
      </c>
    </row>
    <row r="84" spans="1:39" s="1" customFormat="1" ht="30" customHeight="1" x14ac:dyDescent="0.2">
      <c r="A84" s="1">
        <v>82</v>
      </c>
      <c r="B84" s="30">
        <v>62210300</v>
      </c>
      <c r="C84" s="29" t="s">
        <v>1561</v>
      </c>
      <c r="D84" s="29" t="s">
        <v>2544</v>
      </c>
      <c r="E84" s="29" t="s">
        <v>294</v>
      </c>
      <c r="F84" s="30" t="s">
        <v>294</v>
      </c>
      <c r="G84" s="29">
        <v>1900</v>
      </c>
      <c r="H84" s="29" t="s">
        <v>2557</v>
      </c>
      <c r="I84" s="29" t="s">
        <v>2519</v>
      </c>
      <c r="J84" s="30" t="s">
        <v>1562</v>
      </c>
      <c r="K84" s="30"/>
      <c r="L84" s="30" t="s">
        <v>1560</v>
      </c>
      <c r="M84" s="30" t="s">
        <v>1563</v>
      </c>
      <c r="N84" s="29" t="s">
        <v>33</v>
      </c>
      <c r="O84" s="30" t="s">
        <v>1564</v>
      </c>
      <c r="P84" s="30" t="s">
        <v>1565</v>
      </c>
      <c r="Q84" s="30" t="s">
        <v>1566</v>
      </c>
      <c r="R84" s="30" t="s">
        <v>36</v>
      </c>
      <c r="S84" s="30" t="s">
        <v>1567</v>
      </c>
      <c r="T84" s="30" t="s">
        <v>1568</v>
      </c>
      <c r="U84" s="29">
        <v>2016</v>
      </c>
    </row>
    <row r="85" spans="1:39" s="1" customFormat="1" ht="30" customHeight="1" x14ac:dyDescent="0.2">
      <c r="A85" s="1">
        <v>83</v>
      </c>
      <c r="B85" s="30">
        <v>62210301</v>
      </c>
      <c r="C85" s="29" t="s">
        <v>1569</v>
      </c>
      <c r="D85" s="29" t="s">
        <v>2544</v>
      </c>
      <c r="E85" s="29" t="s">
        <v>2861</v>
      </c>
      <c r="F85" s="30" t="s">
        <v>1570</v>
      </c>
      <c r="G85" s="29">
        <v>8001</v>
      </c>
      <c r="H85" s="29" t="s">
        <v>2557</v>
      </c>
      <c r="I85" s="29" t="s">
        <v>2519</v>
      </c>
      <c r="J85" s="30" t="s">
        <v>1571</v>
      </c>
      <c r="K85" s="30"/>
      <c r="L85" s="30" t="s">
        <v>1565</v>
      </c>
      <c r="M85" s="30" t="s">
        <v>1563</v>
      </c>
      <c r="N85" s="29" t="s">
        <v>33</v>
      </c>
      <c r="O85" s="30" t="s">
        <v>1572</v>
      </c>
      <c r="P85" s="30" t="s">
        <v>1565</v>
      </c>
      <c r="Q85" s="30" t="s">
        <v>1566</v>
      </c>
      <c r="R85" s="30" t="s">
        <v>36</v>
      </c>
      <c r="S85" s="30" t="s">
        <v>1573</v>
      </c>
      <c r="T85" s="30" t="s">
        <v>1574</v>
      </c>
      <c r="U85" s="29">
        <v>2017</v>
      </c>
    </row>
    <row r="86" spans="1:39" s="1" customFormat="1" ht="30" customHeight="1" x14ac:dyDescent="0.2">
      <c r="A86" s="1">
        <v>84</v>
      </c>
      <c r="B86" s="30">
        <v>62210302</v>
      </c>
      <c r="C86" s="29" t="s">
        <v>1575</v>
      </c>
      <c r="D86" s="29" t="s">
        <v>2544</v>
      </c>
      <c r="E86" s="29" t="s">
        <v>2856</v>
      </c>
      <c r="F86" s="30" t="s">
        <v>2812</v>
      </c>
      <c r="G86" s="29">
        <v>1765</v>
      </c>
      <c r="H86" s="29" t="s">
        <v>2557</v>
      </c>
      <c r="I86" s="29" t="s">
        <v>2519</v>
      </c>
      <c r="J86" s="30" t="s">
        <v>2213</v>
      </c>
      <c r="K86" s="30"/>
      <c r="L86" s="30" t="s">
        <v>1565</v>
      </c>
      <c r="M86" s="30" t="s">
        <v>1563</v>
      </c>
      <c r="N86" s="29" t="s">
        <v>33</v>
      </c>
      <c r="O86" s="30" t="s">
        <v>1576</v>
      </c>
      <c r="P86" s="30" t="s">
        <v>1565</v>
      </c>
      <c r="Q86" s="30" t="s">
        <v>1566</v>
      </c>
      <c r="R86" s="30" t="s">
        <v>36</v>
      </c>
      <c r="S86" s="30" t="s">
        <v>1577</v>
      </c>
      <c r="T86" s="30" t="s">
        <v>1574</v>
      </c>
      <c r="U86" s="29">
        <v>2017</v>
      </c>
      <c r="AC86" s="2"/>
    </row>
    <row r="87" spans="1:39" s="1" customFormat="1" ht="30" customHeight="1" x14ac:dyDescent="0.2">
      <c r="A87" s="1">
        <v>85</v>
      </c>
      <c r="B87" s="30">
        <v>62210303</v>
      </c>
      <c r="C87" s="29" t="s">
        <v>1578</v>
      </c>
      <c r="D87" s="29" t="s">
        <v>2544</v>
      </c>
      <c r="E87" s="29" t="s">
        <v>294</v>
      </c>
      <c r="F87" s="30" t="s">
        <v>294</v>
      </c>
      <c r="G87" s="29">
        <v>1900</v>
      </c>
      <c r="H87" s="29" t="s">
        <v>2557</v>
      </c>
      <c r="I87" s="29" t="s">
        <v>2519</v>
      </c>
      <c r="J87" s="30" t="s">
        <v>1579</v>
      </c>
      <c r="K87" s="30"/>
      <c r="L87" s="30" t="s">
        <v>1565</v>
      </c>
      <c r="M87" s="30" t="s">
        <v>1563</v>
      </c>
      <c r="N87" s="29" t="s">
        <v>33</v>
      </c>
      <c r="O87" s="30" t="s">
        <v>1576</v>
      </c>
      <c r="P87" s="30" t="s">
        <v>1565</v>
      </c>
      <c r="Q87" s="30" t="s">
        <v>1566</v>
      </c>
      <c r="R87" s="30" t="s">
        <v>36</v>
      </c>
      <c r="S87" s="30" t="s">
        <v>1580</v>
      </c>
      <c r="T87" s="30" t="s">
        <v>1574</v>
      </c>
      <c r="U87" s="29">
        <v>2017</v>
      </c>
    </row>
    <row r="88" spans="1:39" s="1" customFormat="1" ht="30" customHeight="1" x14ac:dyDescent="0.2">
      <c r="A88" s="1">
        <v>86</v>
      </c>
      <c r="B88" s="30">
        <v>62210304</v>
      </c>
      <c r="C88" s="29" t="s">
        <v>1582</v>
      </c>
      <c r="D88" s="29" t="s">
        <v>2544</v>
      </c>
      <c r="E88" s="29" t="s">
        <v>684</v>
      </c>
      <c r="F88" s="30" t="s">
        <v>684</v>
      </c>
      <c r="G88" s="29">
        <v>1870</v>
      </c>
      <c r="H88" s="29" t="s">
        <v>2557</v>
      </c>
      <c r="I88" s="29" t="s">
        <v>2519</v>
      </c>
      <c r="J88" s="30" t="s">
        <v>1583</v>
      </c>
      <c r="K88" s="30"/>
      <c r="L88" s="30" t="s">
        <v>1565</v>
      </c>
      <c r="M88" s="30" t="s">
        <v>1563</v>
      </c>
      <c r="N88" s="29" t="s">
        <v>33</v>
      </c>
      <c r="O88" s="30" t="s">
        <v>1584</v>
      </c>
      <c r="P88" s="30" t="s">
        <v>1565</v>
      </c>
      <c r="Q88" s="30" t="s">
        <v>1566</v>
      </c>
      <c r="R88" s="30" t="s">
        <v>36</v>
      </c>
      <c r="S88" s="30" t="s">
        <v>1580</v>
      </c>
      <c r="T88" s="30" t="s">
        <v>1574</v>
      </c>
      <c r="U88" s="29">
        <v>2017</v>
      </c>
      <c r="AL88" s="3"/>
      <c r="AM88" s="3"/>
    </row>
    <row r="89" spans="1:39" s="1" customFormat="1" ht="30" customHeight="1" x14ac:dyDescent="0.2">
      <c r="A89" s="1">
        <v>87</v>
      </c>
      <c r="B89" s="30">
        <v>62210305</v>
      </c>
      <c r="C89" s="29" t="s">
        <v>1585</v>
      </c>
      <c r="D89" s="29" t="s">
        <v>2544</v>
      </c>
      <c r="E89" s="29" t="s">
        <v>2779</v>
      </c>
      <c r="F89" s="30" t="s">
        <v>2779</v>
      </c>
      <c r="G89" s="29">
        <v>1888</v>
      </c>
      <c r="H89" s="29" t="s">
        <v>2557</v>
      </c>
      <c r="I89" s="29" t="s">
        <v>2519</v>
      </c>
      <c r="J89" s="30" t="s">
        <v>1586</v>
      </c>
      <c r="K89" s="30"/>
      <c r="L89" s="30" t="s">
        <v>1565</v>
      </c>
      <c r="M89" s="30" t="s">
        <v>1563</v>
      </c>
      <c r="N89" s="29" t="s">
        <v>33</v>
      </c>
      <c r="O89" s="30" t="s">
        <v>1576</v>
      </c>
      <c r="P89" s="30" t="s">
        <v>1565</v>
      </c>
      <c r="Q89" s="30" t="s">
        <v>1566</v>
      </c>
      <c r="R89" s="30" t="s">
        <v>36</v>
      </c>
      <c r="S89" s="30" t="s">
        <v>1580</v>
      </c>
      <c r="T89" s="30" t="s">
        <v>1574</v>
      </c>
      <c r="U89" s="29">
        <v>2017</v>
      </c>
    </row>
    <row r="90" spans="1:39" s="1" customFormat="1" ht="30" customHeight="1" x14ac:dyDescent="0.2">
      <c r="A90" s="1">
        <v>88</v>
      </c>
      <c r="B90" s="30">
        <v>62210306</v>
      </c>
      <c r="C90" s="29" t="s">
        <v>1592</v>
      </c>
      <c r="D90" s="29" t="s">
        <v>2544</v>
      </c>
      <c r="E90" s="29" t="s">
        <v>2856</v>
      </c>
      <c r="F90" s="30" t="s">
        <v>2813</v>
      </c>
      <c r="G90" s="29">
        <v>1759</v>
      </c>
      <c r="H90" s="29" t="s">
        <v>2557</v>
      </c>
      <c r="I90" s="29" t="s">
        <v>2519</v>
      </c>
      <c r="J90" s="30" t="s">
        <v>1593</v>
      </c>
      <c r="K90" s="30"/>
      <c r="L90" s="30" t="s">
        <v>1565</v>
      </c>
      <c r="M90" s="30" t="s">
        <v>1563</v>
      </c>
      <c r="N90" s="29" t="s">
        <v>33</v>
      </c>
      <c r="O90" s="30" t="s">
        <v>1576</v>
      </c>
      <c r="P90" s="30" t="s">
        <v>1565</v>
      </c>
      <c r="Q90" s="30" t="s">
        <v>1566</v>
      </c>
      <c r="R90" s="30" t="s">
        <v>36</v>
      </c>
      <c r="S90" s="30" t="s">
        <v>1580</v>
      </c>
      <c r="T90" s="30" t="s">
        <v>1574</v>
      </c>
      <c r="U90" s="29">
        <v>2017</v>
      </c>
      <c r="AL90" s="3"/>
      <c r="AM90" s="3"/>
    </row>
    <row r="91" spans="1:39" s="1" customFormat="1" ht="30" customHeight="1" x14ac:dyDescent="0.2">
      <c r="A91" s="1">
        <v>89</v>
      </c>
      <c r="B91" s="30">
        <v>62210307</v>
      </c>
      <c r="C91" s="29" t="s">
        <v>1594</v>
      </c>
      <c r="D91" s="29" t="s">
        <v>2544</v>
      </c>
      <c r="E91" s="29" t="s">
        <v>1595</v>
      </c>
      <c r="F91" s="30" t="s">
        <v>1595</v>
      </c>
      <c r="G91" s="29">
        <v>1826</v>
      </c>
      <c r="H91" s="29" t="s">
        <v>2557</v>
      </c>
      <c r="I91" s="29" t="s">
        <v>2519</v>
      </c>
      <c r="J91" s="30" t="s">
        <v>1596</v>
      </c>
      <c r="K91" s="30"/>
      <c r="L91" s="30" t="s">
        <v>1565</v>
      </c>
      <c r="M91" s="30" t="s">
        <v>1563</v>
      </c>
      <c r="N91" s="29" t="s">
        <v>33</v>
      </c>
      <c r="O91" s="30" t="s">
        <v>1576</v>
      </c>
      <c r="P91" s="30" t="s">
        <v>1565</v>
      </c>
      <c r="Q91" s="30" t="s">
        <v>1566</v>
      </c>
      <c r="R91" s="30" t="s">
        <v>36</v>
      </c>
      <c r="S91" s="30" t="s">
        <v>1597</v>
      </c>
      <c r="T91" s="30" t="s">
        <v>1574</v>
      </c>
      <c r="U91" s="29">
        <v>2017</v>
      </c>
    </row>
    <row r="92" spans="1:39" s="1" customFormat="1" ht="30" customHeight="1" x14ac:dyDescent="0.2">
      <c r="A92" s="1">
        <v>90</v>
      </c>
      <c r="B92" s="30">
        <v>62210308</v>
      </c>
      <c r="C92" s="29" t="s">
        <v>1598</v>
      </c>
      <c r="D92" s="29" t="s">
        <v>2544</v>
      </c>
      <c r="E92" s="29" t="s">
        <v>2847</v>
      </c>
      <c r="F92" s="30" t="s">
        <v>428</v>
      </c>
      <c r="G92" s="29">
        <v>7600</v>
      </c>
      <c r="H92" s="29" t="s">
        <v>2557</v>
      </c>
      <c r="I92" s="29" t="s">
        <v>2519</v>
      </c>
      <c r="J92" s="30" t="s">
        <v>1599</v>
      </c>
      <c r="K92" s="30"/>
      <c r="L92" s="30" t="s">
        <v>1565</v>
      </c>
      <c r="M92" s="30" t="s">
        <v>1563</v>
      </c>
      <c r="N92" s="29" t="s">
        <v>33</v>
      </c>
      <c r="O92" s="30" t="s">
        <v>1572</v>
      </c>
      <c r="P92" s="30" t="s">
        <v>1565</v>
      </c>
      <c r="Q92" s="30" t="s">
        <v>1566</v>
      </c>
      <c r="R92" s="30" t="s">
        <v>36</v>
      </c>
      <c r="S92" s="30" t="s">
        <v>1600</v>
      </c>
      <c r="T92" s="30" t="s">
        <v>1574</v>
      </c>
      <c r="U92" s="29">
        <v>2017</v>
      </c>
    </row>
    <row r="93" spans="1:39" s="1" customFormat="1" ht="30" customHeight="1" x14ac:dyDescent="0.2">
      <c r="A93" s="1">
        <v>91</v>
      </c>
      <c r="B93" s="30">
        <v>62210309</v>
      </c>
      <c r="C93" s="29" t="s">
        <v>1601</v>
      </c>
      <c r="D93" s="29" t="s">
        <v>2544</v>
      </c>
      <c r="E93" s="29" t="s">
        <v>796</v>
      </c>
      <c r="F93" s="30" t="s">
        <v>796</v>
      </c>
      <c r="G93" s="29">
        <v>1744</v>
      </c>
      <c r="H93" s="29" t="s">
        <v>2557</v>
      </c>
      <c r="I93" s="29" t="s">
        <v>2519</v>
      </c>
      <c r="J93" s="30" t="s">
        <v>1602</v>
      </c>
      <c r="K93" s="30"/>
      <c r="L93" s="30" t="s">
        <v>1565</v>
      </c>
      <c r="M93" s="30" t="s">
        <v>1563</v>
      </c>
      <c r="N93" s="29" t="s">
        <v>33</v>
      </c>
      <c r="O93" s="30" t="s">
        <v>1572</v>
      </c>
      <c r="P93" s="30" t="s">
        <v>1565</v>
      </c>
      <c r="Q93" s="30" t="s">
        <v>1566</v>
      </c>
      <c r="R93" s="30" t="s">
        <v>36</v>
      </c>
      <c r="S93" s="30" t="s">
        <v>1597</v>
      </c>
      <c r="T93" s="30" t="s">
        <v>1574</v>
      </c>
      <c r="U93" s="29">
        <v>2017</v>
      </c>
      <c r="AL93" s="3"/>
      <c r="AM93" s="3"/>
    </row>
    <row r="94" spans="1:39" s="1" customFormat="1" ht="30" customHeight="1" x14ac:dyDescent="0.2">
      <c r="A94" s="1">
        <v>92</v>
      </c>
      <c r="B94" s="30">
        <v>62210310</v>
      </c>
      <c r="C94" s="29" t="s">
        <v>1603</v>
      </c>
      <c r="D94" s="29" t="s">
        <v>2544</v>
      </c>
      <c r="E94" s="29" t="s">
        <v>2662</v>
      </c>
      <c r="F94" s="30" t="s">
        <v>1604</v>
      </c>
      <c r="G94" s="29">
        <v>1650</v>
      </c>
      <c r="H94" s="29" t="s">
        <v>2557</v>
      </c>
      <c r="I94" s="29" t="s">
        <v>2519</v>
      </c>
      <c r="J94" s="30" t="s">
        <v>1605</v>
      </c>
      <c r="K94" s="30"/>
      <c r="L94" s="30" t="s">
        <v>1565</v>
      </c>
      <c r="M94" s="30" t="s">
        <v>1563</v>
      </c>
      <c r="N94" s="29" t="s">
        <v>33</v>
      </c>
      <c r="O94" s="30" t="s">
        <v>1572</v>
      </c>
      <c r="P94" s="30" t="s">
        <v>1565</v>
      </c>
      <c r="Q94" s="30" t="s">
        <v>1566</v>
      </c>
      <c r="R94" s="30" t="s">
        <v>36</v>
      </c>
      <c r="S94" s="30" t="s">
        <v>1597</v>
      </c>
      <c r="T94" s="30" t="s">
        <v>1574</v>
      </c>
      <c r="U94" s="29">
        <v>2017</v>
      </c>
    </row>
    <row r="95" spans="1:39" s="1" customFormat="1" ht="30" customHeight="1" x14ac:dyDescent="0.2">
      <c r="A95" s="1">
        <v>93</v>
      </c>
      <c r="B95" s="30">
        <v>62210311</v>
      </c>
      <c r="C95" s="29" t="s">
        <v>1606</v>
      </c>
      <c r="D95" s="29" t="s">
        <v>2544</v>
      </c>
      <c r="E95" s="29" t="s">
        <v>227</v>
      </c>
      <c r="F95" s="30" t="s">
        <v>1607</v>
      </c>
      <c r="G95" s="29">
        <v>1706</v>
      </c>
      <c r="H95" s="29" t="s">
        <v>2557</v>
      </c>
      <c r="I95" s="29" t="s">
        <v>2519</v>
      </c>
      <c r="J95" s="30" t="s">
        <v>1608</v>
      </c>
      <c r="K95" s="30"/>
      <c r="L95" s="30" t="s">
        <v>1565</v>
      </c>
      <c r="M95" s="30" t="s">
        <v>1563</v>
      </c>
      <c r="N95" s="29" t="s">
        <v>33</v>
      </c>
      <c r="O95" s="30" t="s">
        <v>1609</v>
      </c>
      <c r="P95" s="30" t="s">
        <v>1565</v>
      </c>
      <c r="Q95" s="30" t="s">
        <v>1566</v>
      </c>
      <c r="R95" s="30" t="s">
        <v>36</v>
      </c>
      <c r="S95" s="30" t="s">
        <v>1610</v>
      </c>
      <c r="T95" s="30" t="s">
        <v>1574</v>
      </c>
      <c r="U95" s="29">
        <v>2017</v>
      </c>
    </row>
    <row r="96" spans="1:39" s="1" customFormat="1" ht="30" customHeight="1" x14ac:dyDescent="0.2">
      <c r="A96" s="1">
        <v>94</v>
      </c>
      <c r="B96" s="30">
        <v>62210312</v>
      </c>
      <c r="C96" s="29" t="s">
        <v>1612</v>
      </c>
      <c r="D96" s="29" t="s">
        <v>2544</v>
      </c>
      <c r="E96" s="29" t="s">
        <v>1613</v>
      </c>
      <c r="F96" s="30" t="s">
        <v>1613</v>
      </c>
      <c r="G96" s="29">
        <v>1657</v>
      </c>
      <c r="H96" s="29" t="s">
        <v>2557</v>
      </c>
      <c r="I96" s="29" t="s">
        <v>2519</v>
      </c>
      <c r="J96" s="30" t="s">
        <v>1614</v>
      </c>
      <c r="K96" s="30"/>
      <c r="L96" s="30" t="s">
        <v>1565</v>
      </c>
      <c r="M96" s="30" t="s">
        <v>1563</v>
      </c>
      <c r="N96" s="29" t="s">
        <v>33</v>
      </c>
      <c r="O96" s="30">
        <v>2214292700</v>
      </c>
      <c r="P96" s="30" t="s">
        <v>1565</v>
      </c>
      <c r="Q96" s="30" t="s">
        <v>1566</v>
      </c>
      <c r="R96" s="30" t="s">
        <v>36</v>
      </c>
      <c r="S96" s="30">
        <v>2214292700</v>
      </c>
      <c r="T96" s="30" t="s">
        <v>1574</v>
      </c>
      <c r="U96" s="29">
        <v>2017</v>
      </c>
    </row>
    <row r="97" spans="1:39" s="1" customFormat="1" ht="30" customHeight="1" x14ac:dyDescent="0.2">
      <c r="A97" s="1">
        <v>95</v>
      </c>
      <c r="B97" s="30">
        <v>62230000</v>
      </c>
      <c r="C97" s="29" t="s">
        <v>1064</v>
      </c>
      <c r="D97" s="29" t="s">
        <v>2544</v>
      </c>
      <c r="E97" s="29" t="s">
        <v>1065</v>
      </c>
      <c r="F97" s="30" t="s">
        <v>1065</v>
      </c>
      <c r="G97" s="29">
        <v>2804</v>
      </c>
      <c r="H97" s="29" t="s">
        <v>2557</v>
      </c>
      <c r="I97" s="29" t="s">
        <v>2519</v>
      </c>
      <c r="J97" s="30" t="s">
        <v>1066</v>
      </c>
      <c r="K97" s="30">
        <v>3489324128</v>
      </c>
      <c r="L97" s="30" t="s">
        <v>1067</v>
      </c>
      <c r="M97" s="30" t="s">
        <v>1068</v>
      </c>
      <c r="N97" s="29" t="s">
        <v>33</v>
      </c>
      <c r="O97" s="30">
        <v>3489324128</v>
      </c>
      <c r="P97" s="30" t="s">
        <v>1067</v>
      </c>
      <c r="Q97" s="30" t="s">
        <v>1069</v>
      </c>
      <c r="R97" s="30" t="s">
        <v>36</v>
      </c>
      <c r="S97" s="30">
        <v>3489579186</v>
      </c>
      <c r="T97" s="30" t="s">
        <v>1070</v>
      </c>
      <c r="U97" s="29">
        <v>2016</v>
      </c>
      <c r="AL97" s="3"/>
      <c r="AM97" s="3"/>
    </row>
    <row r="98" spans="1:39" s="1" customFormat="1" ht="30" customHeight="1" x14ac:dyDescent="0.2">
      <c r="A98" s="1">
        <v>96</v>
      </c>
      <c r="B98" s="30">
        <v>62238400</v>
      </c>
      <c r="C98" s="29" t="s">
        <v>939</v>
      </c>
      <c r="D98" s="29" t="s">
        <v>2544</v>
      </c>
      <c r="E98" s="29" t="s">
        <v>940</v>
      </c>
      <c r="F98" s="30" t="s">
        <v>940</v>
      </c>
      <c r="G98" s="29">
        <v>7165</v>
      </c>
      <c r="H98" s="29" t="s">
        <v>2557</v>
      </c>
      <c r="I98" s="29" t="s">
        <v>2519</v>
      </c>
      <c r="J98" s="30" t="s">
        <v>941</v>
      </c>
      <c r="K98" s="30">
        <v>2255464956</v>
      </c>
      <c r="L98" s="30" t="s">
        <v>938</v>
      </c>
      <c r="M98" s="30" t="s">
        <v>2110</v>
      </c>
      <c r="N98" s="29" t="s">
        <v>33</v>
      </c>
      <c r="O98" s="30" t="s">
        <v>942</v>
      </c>
      <c r="P98" s="30" t="s">
        <v>943</v>
      </c>
      <c r="Q98" s="30" t="s">
        <v>2111</v>
      </c>
      <c r="R98" s="30" t="s">
        <v>55</v>
      </c>
      <c r="S98" s="30" t="s">
        <v>944</v>
      </c>
      <c r="T98" s="30" t="s">
        <v>945</v>
      </c>
      <c r="U98" s="29">
        <v>2017</v>
      </c>
      <c r="AG98" s="2"/>
    </row>
    <row r="99" spans="1:39" s="1" customFormat="1" ht="30" customHeight="1" x14ac:dyDescent="0.2">
      <c r="A99" s="1">
        <v>97</v>
      </c>
      <c r="B99" s="30">
        <v>62242300</v>
      </c>
      <c r="C99" s="29" t="s">
        <v>683</v>
      </c>
      <c r="D99" s="29" t="s">
        <v>2544</v>
      </c>
      <c r="E99" s="29" t="s">
        <v>684</v>
      </c>
      <c r="F99" s="30" t="s">
        <v>684</v>
      </c>
      <c r="G99" s="29">
        <v>1870</v>
      </c>
      <c r="H99" s="29" t="s">
        <v>2557</v>
      </c>
      <c r="I99" s="29" t="s">
        <v>2519</v>
      </c>
      <c r="J99" s="30" t="s">
        <v>685</v>
      </c>
      <c r="K99" s="30">
        <v>1142650247</v>
      </c>
      <c r="L99" s="30" t="s">
        <v>686</v>
      </c>
      <c r="M99" s="30" t="s">
        <v>687</v>
      </c>
      <c r="N99" s="29" t="s">
        <v>33</v>
      </c>
      <c r="O99" s="30">
        <v>1142650247</v>
      </c>
      <c r="P99" s="30" t="s">
        <v>688</v>
      </c>
      <c r="Q99" s="30" t="s">
        <v>689</v>
      </c>
      <c r="R99" s="30" t="s">
        <v>27</v>
      </c>
      <c r="S99" s="30">
        <v>1166361213</v>
      </c>
      <c r="T99" s="30" t="s">
        <v>686</v>
      </c>
      <c r="U99" s="29">
        <v>2019</v>
      </c>
      <c r="AL99" s="3"/>
      <c r="AM99" s="3"/>
    </row>
    <row r="100" spans="1:39" s="1" customFormat="1" ht="30" customHeight="1" x14ac:dyDescent="0.2">
      <c r="A100" s="1">
        <v>98</v>
      </c>
      <c r="B100" s="30">
        <v>62315000</v>
      </c>
      <c r="C100" s="29" t="s">
        <v>765</v>
      </c>
      <c r="D100" s="29" t="s">
        <v>2544</v>
      </c>
      <c r="E100" s="29" t="s">
        <v>2862</v>
      </c>
      <c r="F100" s="30" t="s">
        <v>766</v>
      </c>
      <c r="G100" s="29">
        <v>6064</v>
      </c>
      <c r="H100" s="29" t="s">
        <v>2557</v>
      </c>
      <c r="I100" s="29" t="s">
        <v>2558</v>
      </c>
      <c r="J100" s="30" t="s">
        <v>767</v>
      </c>
      <c r="K100" s="30"/>
      <c r="L100" s="30" t="s">
        <v>768</v>
      </c>
      <c r="M100" s="30" t="s">
        <v>769</v>
      </c>
      <c r="N100" s="29" t="s">
        <v>33</v>
      </c>
      <c r="O100" s="30">
        <v>3388507324</v>
      </c>
      <c r="P100" s="30" t="s">
        <v>770</v>
      </c>
      <c r="Q100" s="30" t="s">
        <v>769</v>
      </c>
      <c r="R100" s="30" t="s">
        <v>8</v>
      </c>
      <c r="S100" s="30">
        <v>338815507324</v>
      </c>
      <c r="T100" s="30" t="s">
        <v>764</v>
      </c>
      <c r="U100" s="29">
        <v>2017</v>
      </c>
    </row>
    <row r="101" spans="1:39" s="1" customFormat="1" ht="30" customHeight="1" x14ac:dyDescent="0.2">
      <c r="A101" s="1">
        <v>99</v>
      </c>
      <c r="B101" s="30">
        <v>62318700</v>
      </c>
      <c r="C101" s="29" t="s">
        <v>710</v>
      </c>
      <c r="D101" s="29" t="s">
        <v>2544</v>
      </c>
      <c r="E101" s="29" t="s">
        <v>2822</v>
      </c>
      <c r="F101" s="30" t="s">
        <v>711</v>
      </c>
      <c r="G101" s="29">
        <v>6030</v>
      </c>
      <c r="H101" s="29" t="s">
        <v>2557</v>
      </c>
      <c r="I101" s="29" t="s">
        <v>2558</v>
      </c>
      <c r="J101" s="30" t="s">
        <v>712</v>
      </c>
      <c r="K101" s="30" t="s">
        <v>713</v>
      </c>
      <c r="L101" s="30" t="s">
        <v>709</v>
      </c>
      <c r="M101" s="30" t="s">
        <v>714</v>
      </c>
      <c r="N101" s="29" t="s">
        <v>33</v>
      </c>
      <c r="O101" s="30" t="s">
        <v>715</v>
      </c>
      <c r="P101" s="30" t="s">
        <v>716</v>
      </c>
      <c r="Q101" s="30" t="s">
        <v>717</v>
      </c>
      <c r="R101" s="30" t="s">
        <v>55</v>
      </c>
      <c r="S101" s="30" t="s">
        <v>718</v>
      </c>
      <c r="T101" s="30" t="s">
        <v>719</v>
      </c>
      <c r="U101" s="29">
        <v>2021</v>
      </c>
    </row>
    <row r="102" spans="1:39" s="1" customFormat="1" ht="30" customHeight="1" x14ac:dyDescent="0.2">
      <c r="A102" s="1">
        <v>100</v>
      </c>
      <c r="B102" s="30">
        <v>62319200</v>
      </c>
      <c r="C102" s="29" t="s">
        <v>1312</v>
      </c>
      <c r="D102" s="29" t="s">
        <v>2544</v>
      </c>
      <c r="E102" s="29" t="s">
        <v>2863</v>
      </c>
      <c r="F102" s="30" t="s">
        <v>294</v>
      </c>
      <c r="G102" s="29">
        <v>1900</v>
      </c>
      <c r="H102" s="29" t="s">
        <v>2557</v>
      </c>
      <c r="I102" s="29" t="s">
        <v>2558</v>
      </c>
      <c r="J102" s="30" t="s">
        <v>1313</v>
      </c>
      <c r="K102" s="30"/>
      <c r="L102" s="30" t="s">
        <v>1311</v>
      </c>
      <c r="M102" s="30" t="s">
        <v>2160</v>
      </c>
      <c r="N102" s="29" t="s">
        <v>33</v>
      </c>
      <c r="O102" s="30">
        <v>2216716918</v>
      </c>
      <c r="P102" s="30" t="s">
        <v>1314</v>
      </c>
      <c r="Q102" s="30" t="s">
        <v>2161</v>
      </c>
      <c r="R102" s="30" t="s">
        <v>6</v>
      </c>
      <c r="S102" s="30" t="s">
        <v>1315</v>
      </c>
      <c r="T102" s="30" t="s">
        <v>1314</v>
      </c>
      <c r="U102" s="29">
        <v>2023</v>
      </c>
    </row>
    <row r="103" spans="1:39" s="1" customFormat="1" ht="30" customHeight="1" x14ac:dyDescent="0.2">
      <c r="A103" s="1">
        <v>101</v>
      </c>
      <c r="B103" s="30">
        <v>62326400</v>
      </c>
      <c r="C103" s="29" t="s">
        <v>1706</v>
      </c>
      <c r="D103" s="29" t="s">
        <v>2544</v>
      </c>
      <c r="E103" s="29" t="s">
        <v>1707</v>
      </c>
      <c r="F103" s="30" t="s">
        <v>1707</v>
      </c>
      <c r="G103" s="29">
        <v>7116</v>
      </c>
      <c r="H103" s="29" t="s">
        <v>2557</v>
      </c>
      <c r="I103" s="29" t="s">
        <v>2558</v>
      </c>
      <c r="J103" s="30" t="s">
        <v>1708</v>
      </c>
      <c r="K103" s="30">
        <v>2242432111</v>
      </c>
      <c r="L103" s="30" t="s">
        <v>1705</v>
      </c>
      <c r="M103" s="30" t="s">
        <v>1709</v>
      </c>
      <c r="N103" s="29" t="s">
        <v>1987</v>
      </c>
      <c r="O103" s="30">
        <v>2241587135</v>
      </c>
      <c r="P103" s="30" t="s">
        <v>1710</v>
      </c>
      <c r="Q103" s="30" t="s">
        <v>1711</v>
      </c>
      <c r="R103" s="30" t="s">
        <v>55</v>
      </c>
      <c r="S103" s="30">
        <v>2241466621</v>
      </c>
      <c r="T103" s="30" t="s">
        <v>1712</v>
      </c>
      <c r="U103" s="29">
        <v>2021</v>
      </c>
    </row>
    <row r="104" spans="1:39" s="1" customFormat="1" ht="30" customHeight="1" x14ac:dyDescent="0.2">
      <c r="A104" s="1">
        <v>102</v>
      </c>
      <c r="B104" s="30">
        <v>62327300</v>
      </c>
      <c r="C104" s="29" t="s">
        <v>2142</v>
      </c>
      <c r="D104" s="29" t="s">
        <v>2544</v>
      </c>
      <c r="E104" s="29" t="s">
        <v>2864</v>
      </c>
      <c r="F104" s="30" t="s">
        <v>1222</v>
      </c>
      <c r="G104" s="29">
        <v>1862</v>
      </c>
      <c r="H104" s="29" t="s">
        <v>2557</v>
      </c>
      <c r="I104" s="29" t="s">
        <v>2519</v>
      </c>
      <c r="J104" s="30" t="s">
        <v>1223</v>
      </c>
      <c r="K104" s="30" t="s">
        <v>1224</v>
      </c>
      <c r="L104" s="30" t="s">
        <v>1221</v>
      </c>
      <c r="M104" s="30" t="s">
        <v>1225</v>
      </c>
      <c r="N104" s="29" t="s">
        <v>33</v>
      </c>
      <c r="O104" s="30" t="s">
        <v>1224</v>
      </c>
      <c r="P104" s="30" t="s">
        <v>1226</v>
      </c>
      <c r="Q104" s="30" t="s">
        <v>1227</v>
      </c>
      <c r="R104" s="30" t="s">
        <v>98</v>
      </c>
      <c r="S104" s="30">
        <v>1125530450</v>
      </c>
      <c r="T104" s="30" t="s">
        <v>1228</v>
      </c>
      <c r="U104" s="29">
        <v>2025</v>
      </c>
      <c r="AL104" s="3"/>
      <c r="AM104" s="3"/>
    </row>
    <row r="105" spans="1:39" s="1" customFormat="1" ht="30" customHeight="1" x14ac:dyDescent="0.2">
      <c r="A105" s="1">
        <v>103</v>
      </c>
      <c r="B105" s="30">
        <v>62327600</v>
      </c>
      <c r="C105" s="29" t="s">
        <v>2091</v>
      </c>
      <c r="D105" s="29" t="s">
        <v>2544</v>
      </c>
      <c r="E105" s="29" t="s">
        <v>2615</v>
      </c>
      <c r="F105" s="30" t="s">
        <v>2615</v>
      </c>
      <c r="G105" s="29">
        <v>7245</v>
      </c>
      <c r="H105" s="29" t="s">
        <v>2557</v>
      </c>
      <c r="I105" s="29" t="s">
        <v>2558</v>
      </c>
      <c r="J105" s="30" t="s">
        <v>790</v>
      </c>
      <c r="K105" s="30">
        <v>2227525315</v>
      </c>
      <c r="L105" s="30" t="s">
        <v>789</v>
      </c>
      <c r="M105" s="30" t="s">
        <v>791</v>
      </c>
      <c r="N105" s="29" t="s">
        <v>33</v>
      </c>
      <c r="O105" s="30">
        <v>2227472323</v>
      </c>
      <c r="P105" s="30" t="s">
        <v>792</v>
      </c>
      <c r="Q105" s="30" t="s">
        <v>791</v>
      </c>
      <c r="R105" s="30" t="s">
        <v>27</v>
      </c>
      <c r="S105" s="30">
        <v>2227472323</v>
      </c>
      <c r="T105" s="30" t="s">
        <v>792</v>
      </c>
      <c r="U105" s="29">
        <v>2022</v>
      </c>
    </row>
    <row r="106" spans="1:39" s="1" customFormat="1" ht="30" customHeight="1" x14ac:dyDescent="0.2">
      <c r="A106" s="1">
        <v>104</v>
      </c>
      <c r="B106" s="30">
        <v>62341500</v>
      </c>
      <c r="C106" s="29" t="s">
        <v>1027</v>
      </c>
      <c r="D106" s="29" t="s">
        <v>2544</v>
      </c>
      <c r="E106" s="29" t="s">
        <v>294</v>
      </c>
      <c r="F106" s="30" t="s">
        <v>294</v>
      </c>
      <c r="G106" s="29">
        <v>1900</v>
      </c>
      <c r="H106" s="29" t="s">
        <v>2557</v>
      </c>
      <c r="I106" s="29" t="s">
        <v>2519</v>
      </c>
      <c r="J106" s="30">
        <v>526</v>
      </c>
      <c r="K106" s="30">
        <v>2923458449</v>
      </c>
      <c r="L106" s="30" t="s">
        <v>1026</v>
      </c>
      <c r="M106" s="30" t="s">
        <v>1028</v>
      </c>
      <c r="N106" s="29" t="s">
        <v>33</v>
      </c>
      <c r="O106" s="30">
        <v>2923458449</v>
      </c>
      <c r="P106" s="30" t="s">
        <v>1026</v>
      </c>
      <c r="Q106" s="30" t="s">
        <v>1029</v>
      </c>
      <c r="R106" s="30" t="s">
        <v>8</v>
      </c>
      <c r="S106" s="30">
        <v>2923458449</v>
      </c>
      <c r="T106" s="30" t="s">
        <v>1026</v>
      </c>
      <c r="U106" s="29">
        <v>2018</v>
      </c>
    </row>
    <row r="107" spans="1:39" s="1" customFormat="1" ht="30" customHeight="1" x14ac:dyDescent="0.2">
      <c r="A107" s="1">
        <v>105</v>
      </c>
      <c r="B107" s="30">
        <v>62385500</v>
      </c>
      <c r="C107" s="29" t="s">
        <v>3027</v>
      </c>
      <c r="D107" s="29" t="s">
        <v>2544</v>
      </c>
      <c r="E107" s="29" t="s">
        <v>2847</v>
      </c>
      <c r="F107" s="30" t="s">
        <v>428</v>
      </c>
      <c r="G107" s="29">
        <v>7600</v>
      </c>
      <c r="H107" s="29" t="s">
        <v>2518</v>
      </c>
      <c r="I107" s="29" t="s">
        <v>2519</v>
      </c>
      <c r="J107" s="30" t="s">
        <v>429</v>
      </c>
      <c r="K107" s="30">
        <v>2234390547</v>
      </c>
      <c r="L107" s="30" t="s">
        <v>430</v>
      </c>
      <c r="M107" s="30" t="s">
        <v>431</v>
      </c>
      <c r="N107" s="29" t="s">
        <v>33</v>
      </c>
      <c r="O107" s="30">
        <v>234904</v>
      </c>
      <c r="P107" s="30" t="s">
        <v>430</v>
      </c>
      <c r="Q107" s="30" t="s">
        <v>432</v>
      </c>
      <c r="R107" s="30" t="s">
        <v>55</v>
      </c>
      <c r="S107" s="30">
        <v>22352270</v>
      </c>
      <c r="T107" s="30" t="s">
        <v>433</v>
      </c>
      <c r="U107" s="29">
        <v>2022</v>
      </c>
      <c r="Y107" s="2"/>
      <c r="AC107" s="2"/>
    </row>
    <row r="108" spans="1:39" s="1" customFormat="1" ht="30" customHeight="1" x14ac:dyDescent="0.2">
      <c r="A108" s="1">
        <v>106</v>
      </c>
      <c r="B108" s="30">
        <v>62420800</v>
      </c>
      <c r="C108" s="29" t="s">
        <v>924</v>
      </c>
      <c r="D108" s="29" t="s">
        <v>2544</v>
      </c>
      <c r="E108" s="29" t="s">
        <v>2566</v>
      </c>
      <c r="F108" s="30" t="s">
        <v>925</v>
      </c>
      <c r="G108" s="29">
        <v>2914</v>
      </c>
      <c r="H108" s="29" t="s">
        <v>2557</v>
      </c>
      <c r="I108" s="29" t="s">
        <v>2558</v>
      </c>
      <c r="J108" s="30" t="s">
        <v>926</v>
      </c>
      <c r="K108" s="30">
        <v>3407489152</v>
      </c>
      <c r="L108" s="30" t="s">
        <v>923</v>
      </c>
      <c r="M108" s="30" t="s">
        <v>927</v>
      </c>
      <c r="N108" s="29" t="s">
        <v>33</v>
      </c>
      <c r="O108" s="30">
        <v>3407408009</v>
      </c>
      <c r="P108" s="30" t="s">
        <v>928</v>
      </c>
      <c r="Q108" s="30" t="s">
        <v>929</v>
      </c>
      <c r="R108" s="30" t="s">
        <v>17</v>
      </c>
      <c r="S108" s="30">
        <v>3364371729</v>
      </c>
      <c r="T108" s="30" t="s">
        <v>930</v>
      </c>
      <c r="U108" s="29">
        <v>2016</v>
      </c>
    </row>
    <row r="109" spans="1:39" s="1" customFormat="1" ht="30" customHeight="1" x14ac:dyDescent="0.2">
      <c r="A109" s="1">
        <v>107</v>
      </c>
      <c r="B109" s="30">
        <v>62424000</v>
      </c>
      <c r="C109" s="29" t="s">
        <v>748</v>
      </c>
      <c r="D109" s="29" t="s">
        <v>2544</v>
      </c>
      <c r="E109" s="29" t="s">
        <v>749</v>
      </c>
      <c r="F109" s="30" t="s">
        <v>749</v>
      </c>
      <c r="G109" s="29">
        <v>6409</v>
      </c>
      <c r="H109" s="29" t="s">
        <v>2557</v>
      </c>
      <c r="I109" s="29" t="s">
        <v>2558</v>
      </c>
      <c r="J109" s="30" t="s">
        <v>750</v>
      </c>
      <c r="K109" s="30">
        <v>2392513639</v>
      </c>
      <c r="L109" s="30" t="s">
        <v>747</v>
      </c>
      <c r="M109" s="30" t="s">
        <v>751</v>
      </c>
      <c r="N109" s="29" t="s">
        <v>33</v>
      </c>
      <c r="O109" s="30">
        <v>2392513639</v>
      </c>
      <c r="P109" s="30" t="s">
        <v>752</v>
      </c>
      <c r="Q109" s="30" t="s">
        <v>753</v>
      </c>
      <c r="R109" s="30" t="s">
        <v>55</v>
      </c>
      <c r="S109" s="30">
        <v>2392480379</v>
      </c>
      <c r="T109" s="30" t="s">
        <v>747</v>
      </c>
      <c r="U109" s="29">
        <v>2021</v>
      </c>
      <c r="AL109" s="3"/>
      <c r="AM109" s="3"/>
    </row>
    <row r="110" spans="1:39" s="1" customFormat="1" ht="30" customHeight="1" x14ac:dyDescent="0.2">
      <c r="A110" s="1">
        <v>108</v>
      </c>
      <c r="B110" s="30">
        <v>100011800</v>
      </c>
      <c r="C110" s="29" t="s">
        <v>1914</v>
      </c>
      <c r="D110" s="29" t="s">
        <v>2826</v>
      </c>
      <c r="E110" s="29" t="s">
        <v>2865</v>
      </c>
      <c r="F110" s="30" t="s">
        <v>1915</v>
      </c>
      <c r="G110" s="29">
        <v>5260</v>
      </c>
      <c r="H110" s="29" t="s">
        <v>2557</v>
      </c>
      <c r="I110" s="29" t="s">
        <v>2519</v>
      </c>
      <c r="J110" s="30" t="s">
        <v>1916</v>
      </c>
      <c r="K110" s="30">
        <v>3832688376</v>
      </c>
      <c r="L110" s="30" t="s">
        <v>1917</v>
      </c>
      <c r="M110" s="30" t="s">
        <v>1918</v>
      </c>
      <c r="N110" s="29" t="s">
        <v>6</v>
      </c>
      <c r="O110" s="30">
        <v>3832439532</v>
      </c>
      <c r="P110" s="30" t="s">
        <v>1917</v>
      </c>
      <c r="Q110" s="30" t="s">
        <v>1919</v>
      </c>
      <c r="R110" s="30" t="s">
        <v>17</v>
      </c>
      <c r="S110" s="30">
        <v>3832688376</v>
      </c>
      <c r="T110" s="30" t="s">
        <v>1920</v>
      </c>
      <c r="U110" s="29">
        <v>2023</v>
      </c>
    </row>
    <row r="111" spans="1:39" s="1" customFormat="1" ht="30" customHeight="1" x14ac:dyDescent="0.2">
      <c r="A111" s="1">
        <v>109</v>
      </c>
      <c r="B111" s="30">
        <v>100024500</v>
      </c>
      <c r="C111" s="29" t="s">
        <v>1534</v>
      </c>
      <c r="D111" s="29" t="s">
        <v>2826</v>
      </c>
      <c r="E111" s="29" t="s">
        <v>2866</v>
      </c>
      <c r="F111" s="30" t="s">
        <v>1784</v>
      </c>
      <c r="G111" s="29">
        <v>4740</v>
      </c>
      <c r="H111" s="29" t="s">
        <v>2557</v>
      </c>
      <c r="I111" s="29" t="s">
        <v>2558</v>
      </c>
      <c r="J111" s="30" t="s">
        <v>1785</v>
      </c>
      <c r="K111" s="30">
        <v>3835400317</v>
      </c>
      <c r="L111" s="30" t="s">
        <v>1786</v>
      </c>
      <c r="M111" s="30" t="s">
        <v>1787</v>
      </c>
      <c r="N111" s="29" t="s">
        <v>6</v>
      </c>
      <c r="O111" s="30">
        <v>3835400317</v>
      </c>
      <c r="P111" s="30" t="s">
        <v>1788</v>
      </c>
      <c r="Q111" s="30" t="s">
        <v>1789</v>
      </c>
      <c r="R111" s="30" t="s">
        <v>55</v>
      </c>
      <c r="S111" s="30">
        <v>3835404051</v>
      </c>
      <c r="T111" s="30" t="s">
        <v>1790</v>
      </c>
      <c r="U111" s="29">
        <v>2016</v>
      </c>
    </row>
    <row r="112" spans="1:39" s="1" customFormat="1" ht="30" customHeight="1" x14ac:dyDescent="0.2">
      <c r="A112" s="1">
        <v>110</v>
      </c>
      <c r="B112" s="30">
        <v>100033700</v>
      </c>
      <c r="C112" s="29" t="s">
        <v>1536</v>
      </c>
      <c r="D112" s="29" t="s">
        <v>2826</v>
      </c>
      <c r="E112" s="29" t="s">
        <v>1537</v>
      </c>
      <c r="F112" s="30" t="s">
        <v>1537</v>
      </c>
      <c r="G112" s="29">
        <v>4750</v>
      </c>
      <c r="H112" s="29" t="s">
        <v>2557</v>
      </c>
      <c r="I112" s="29" t="s">
        <v>2558</v>
      </c>
      <c r="J112" s="30" t="s">
        <v>1538</v>
      </c>
      <c r="K112" s="30" t="s">
        <v>1539</v>
      </c>
      <c r="L112" s="30" t="s">
        <v>1535</v>
      </c>
      <c r="M112" s="30" t="s">
        <v>1540</v>
      </c>
      <c r="N112" s="29" t="s">
        <v>6</v>
      </c>
      <c r="O112" s="30">
        <v>3835520264</v>
      </c>
      <c r="P112" s="30" t="s">
        <v>1541</v>
      </c>
      <c r="Q112" s="30" t="s">
        <v>1542</v>
      </c>
      <c r="R112" s="30" t="s">
        <v>55</v>
      </c>
      <c r="S112" s="30">
        <v>3834903263</v>
      </c>
      <c r="T112" s="30" t="s">
        <v>1543</v>
      </c>
      <c r="U112" s="29">
        <v>2023</v>
      </c>
    </row>
    <row r="113" spans="1:44" s="1" customFormat="1" ht="30" customHeight="1" x14ac:dyDescent="0.2">
      <c r="A113" s="1">
        <v>111</v>
      </c>
      <c r="B113" s="30">
        <v>100042200</v>
      </c>
      <c r="C113" s="29" t="s">
        <v>1748</v>
      </c>
      <c r="D113" s="29" t="s">
        <v>2826</v>
      </c>
      <c r="E113" s="29" t="s">
        <v>2867</v>
      </c>
      <c r="F113" s="30" t="s">
        <v>2780</v>
      </c>
      <c r="G113" s="29">
        <v>4728</v>
      </c>
      <c r="H113" s="29" t="s">
        <v>2557</v>
      </c>
      <c r="I113" s="29" t="s">
        <v>2519</v>
      </c>
      <c r="J113" s="30" t="s">
        <v>1749</v>
      </c>
      <c r="K113" s="30">
        <v>3834324064</v>
      </c>
      <c r="L113" s="30" t="s">
        <v>1742</v>
      </c>
      <c r="M113" s="30" t="s">
        <v>1750</v>
      </c>
      <c r="N113" s="29" t="s">
        <v>6</v>
      </c>
      <c r="O113" s="30">
        <v>3834324064</v>
      </c>
      <c r="P113" s="30" t="s">
        <v>1751</v>
      </c>
      <c r="Q113" s="30" t="s">
        <v>1752</v>
      </c>
      <c r="R113" s="30" t="s">
        <v>17</v>
      </c>
      <c r="S113" s="30">
        <v>59731</v>
      </c>
      <c r="T113" s="30" t="s">
        <v>1746</v>
      </c>
      <c r="U113" s="29">
        <v>2017</v>
      </c>
    </row>
    <row r="114" spans="1:44" s="1" customFormat="1" ht="30" customHeight="1" x14ac:dyDescent="0.2">
      <c r="A114" s="1">
        <v>112</v>
      </c>
      <c r="B114" s="30">
        <v>100042201</v>
      </c>
      <c r="C114" s="29" t="s">
        <v>1754</v>
      </c>
      <c r="D114" s="29" t="s">
        <v>2826</v>
      </c>
      <c r="E114" s="29" t="s">
        <v>2867</v>
      </c>
      <c r="F114" s="30" t="s">
        <v>1755</v>
      </c>
      <c r="G114" s="29">
        <v>4726</v>
      </c>
      <c r="H114" s="29" t="s">
        <v>2557</v>
      </c>
      <c r="I114" s="29" t="s">
        <v>2519</v>
      </c>
      <c r="J114" s="30" t="s">
        <v>1756</v>
      </c>
      <c r="K114" s="30">
        <v>3834394621</v>
      </c>
      <c r="L114" s="30" t="s">
        <v>1742</v>
      </c>
      <c r="M114" s="30" t="s">
        <v>1743</v>
      </c>
      <c r="N114" s="29" t="s">
        <v>6</v>
      </c>
      <c r="O114" s="30">
        <v>324064</v>
      </c>
      <c r="P114" s="30" t="s">
        <v>1744</v>
      </c>
      <c r="Q114" s="30" t="s">
        <v>1752</v>
      </c>
      <c r="R114" s="30" t="s">
        <v>17</v>
      </c>
      <c r="S114" s="30">
        <v>59731</v>
      </c>
      <c r="T114" s="30" t="s">
        <v>1746</v>
      </c>
      <c r="U114" s="29">
        <v>2017</v>
      </c>
    </row>
    <row r="115" spans="1:44" s="1" customFormat="1" ht="30" customHeight="1" x14ac:dyDescent="0.2">
      <c r="A115" s="1">
        <v>113</v>
      </c>
      <c r="B115" s="30">
        <v>100042202</v>
      </c>
      <c r="C115" s="29" t="s">
        <v>1740</v>
      </c>
      <c r="D115" s="29" t="s">
        <v>2826</v>
      </c>
      <c r="E115" s="29" t="s">
        <v>2867</v>
      </c>
      <c r="F115" s="30" t="s">
        <v>2814</v>
      </c>
      <c r="G115" s="29">
        <v>4724</v>
      </c>
      <c r="H115" s="29" t="s">
        <v>2557</v>
      </c>
      <c r="I115" s="29" t="s">
        <v>2519</v>
      </c>
      <c r="J115" s="30" t="s">
        <v>1741</v>
      </c>
      <c r="K115" s="30">
        <v>324064</v>
      </c>
      <c r="L115" s="30" t="s">
        <v>1742</v>
      </c>
      <c r="M115" s="30" t="s">
        <v>1743</v>
      </c>
      <c r="N115" s="29" t="s">
        <v>6</v>
      </c>
      <c r="O115" s="30">
        <v>3834324064</v>
      </c>
      <c r="P115" s="30" t="s">
        <v>1744</v>
      </c>
      <c r="Q115" s="30" t="s">
        <v>1745</v>
      </c>
      <c r="R115" s="30" t="s">
        <v>17</v>
      </c>
      <c r="S115" s="30">
        <v>59731</v>
      </c>
      <c r="T115" s="30" t="s">
        <v>1746</v>
      </c>
      <c r="U115" s="29">
        <v>2023</v>
      </c>
    </row>
    <row r="116" spans="1:44" s="1" customFormat="1" ht="30" customHeight="1" x14ac:dyDescent="0.2">
      <c r="A116" s="1">
        <v>114</v>
      </c>
      <c r="B116" s="30">
        <v>100062700</v>
      </c>
      <c r="C116" s="29" t="s">
        <v>1860</v>
      </c>
      <c r="D116" s="29" t="s">
        <v>2826</v>
      </c>
      <c r="E116" s="29" t="s">
        <v>2868</v>
      </c>
      <c r="F116" s="30" t="s">
        <v>2815</v>
      </c>
      <c r="G116" s="29">
        <v>5321</v>
      </c>
      <c r="H116" s="29" t="s">
        <v>2557</v>
      </c>
      <c r="I116" s="29" t="s">
        <v>2519</v>
      </c>
      <c r="J116" s="30" t="s">
        <v>1862</v>
      </c>
      <c r="K116" s="30">
        <v>3834511426</v>
      </c>
      <c r="L116" s="30" t="s">
        <v>1863</v>
      </c>
      <c r="M116" s="30" t="s">
        <v>1864</v>
      </c>
      <c r="N116" s="29" t="s">
        <v>6</v>
      </c>
      <c r="O116" s="30">
        <v>3834511426</v>
      </c>
      <c r="P116" s="30" t="s">
        <v>1863</v>
      </c>
      <c r="Q116" s="30" t="s">
        <v>1865</v>
      </c>
      <c r="R116" s="30" t="s">
        <v>55</v>
      </c>
      <c r="S116" s="30">
        <v>3835447102</v>
      </c>
      <c r="T116" s="30" t="s">
        <v>1866</v>
      </c>
      <c r="U116" s="29">
        <v>2019</v>
      </c>
    </row>
    <row r="117" spans="1:44" s="1" customFormat="1" ht="30" customHeight="1" x14ac:dyDescent="0.2">
      <c r="A117" s="1">
        <v>115</v>
      </c>
      <c r="B117" s="30">
        <v>100073500</v>
      </c>
      <c r="C117" s="29" t="s">
        <v>1796</v>
      </c>
      <c r="D117" s="29" t="s">
        <v>2826</v>
      </c>
      <c r="E117" s="29" t="s">
        <v>2869</v>
      </c>
      <c r="F117" s="30" t="s">
        <v>260</v>
      </c>
      <c r="G117" s="29">
        <v>4707</v>
      </c>
      <c r="H117" s="29" t="s">
        <v>2557</v>
      </c>
      <c r="I117" s="29" t="s">
        <v>2519</v>
      </c>
      <c r="J117" s="30" t="s">
        <v>1797</v>
      </c>
      <c r="K117" s="30" t="s">
        <v>2241</v>
      </c>
      <c r="L117" s="30" t="s">
        <v>1798</v>
      </c>
      <c r="M117" s="30" t="s">
        <v>1799</v>
      </c>
      <c r="N117" s="29" t="s">
        <v>6</v>
      </c>
      <c r="O117" s="30" t="s">
        <v>1800</v>
      </c>
      <c r="P117" s="30" t="s">
        <v>1801</v>
      </c>
      <c r="Q117" s="30" t="s">
        <v>1802</v>
      </c>
      <c r="R117" s="30" t="s">
        <v>17</v>
      </c>
      <c r="S117" s="30" t="s">
        <v>1803</v>
      </c>
      <c r="T117" s="30" t="s">
        <v>1804</v>
      </c>
      <c r="U117" s="29">
        <v>2019</v>
      </c>
      <c r="AL117" s="3"/>
      <c r="AM117" s="3"/>
    </row>
    <row r="118" spans="1:44" s="1" customFormat="1" ht="30" customHeight="1" x14ac:dyDescent="0.2">
      <c r="A118" s="1">
        <v>116</v>
      </c>
      <c r="B118" s="30">
        <v>100089900</v>
      </c>
      <c r="C118" s="29" t="s">
        <v>1545</v>
      </c>
      <c r="D118" s="29" t="s">
        <v>2826</v>
      </c>
      <c r="E118" s="29" t="s">
        <v>2651</v>
      </c>
      <c r="F118" s="30" t="s">
        <v>1546</v>
      </c>
      <c r="G118" s="29">
        <v>4700</v>
      </c>
      <c r="H118" s="29" t="s">
        <v>2557</v>
      </c>
      <c r="I118" s="29" t="s">
        <v>2519</v>
      </c>
      <c r="J118" s="30" t="s">
        <v>1547</v>
      </c>
      <c r="K118" s="30"/>
      <c r="L118" s="30" t="s">
        <v>1548</v>
      </c>
      <c r="M118" s="30" t="s">
        <v>1549</v>
      </c>
      <c r="N118" s="29" t="s">
        <v>6</v>
      </c>
      <c r="O118" s="30">
        <v>3834536210</v>
      </c>
      <c r="P118" s="30" t="s">
        <v>1544</v>
      </c>
      <c r="Q118" s="30" t="s">
        <v>1549</v>
      </c>
      <c r="R118" s="30" t="s">
        <v>6</v>
      </c>
      <c r="S118" s="30">
        <v>3834536210</v>
      </c>
      <c r="T118" s="30" t="s">
        <v>1550</v>
      </c>
      <c r="U118" s="29">
        <v>2016</v>
      </c>
      <c r="AL118" s="3"/>
      <c r="AM118" s="3"/>
    </row>
    <row r="119" spans="1:44" s="1" customFormat="1" ht="30" customHeight="1" x14ac:dyDescent="0.2">
      <c r="A119" s="1">
        <v>117</v>
      </c>
      <c r="B119" s="30">
        <v>140233600</v>
      </c>
      <c r="C119" s="29" t="s">
        <v>1885</v>
      </c>
      <c r="D119" s="29" t="s">
        <v>333</v>
      </c>
      <c r="E119" s="29" t="s">
        <v>2624</v>
      </c>
      <c r="F119" s="30" t="s">
        <v>1886</v>
      </c>
      <c r="G119" s="29">
        <v>5900</v>
      </c>
      <c r="H119" s="29" t="s">
        <v>2518</v>
      </c>
      <c r="I119" s="29" t="s">
        <v>2558</v>
      </c>
      <c r="J119" s="30" t="s">
        <v>1887</v>
      </c>
      <c r="K119" s="30" t="s">
        <v>1888</v>
      </c>
      <c r="L119" s="30" t="s">
        <v>1889</v>
      </c>
      <c r="M119" s="30" t="s">
        <v>1890</v>
      </c>
      <c r="N119" s="29" t="s">
        <v>33</v>
      </c>
      <c r="O119" s="30" t="s">
        <v>1891</v>
      </c>
      <c r="P119" s="30" t="s">
        <v>1892</v>
      </c>
      <c r="Q119" s="30" t="s">
        <v>1893</v>
      </c>
      <c r="R119" s="30" t="s">
        <v>55</v>
      </c>
      <c r="S119" s="30" t="s">
        <v>1894</v>
      </c>
      <c r="T119" s="30" t="s">
        <v>1895</v>
      </c>
      <c r="U119" s="29">
        <v>2020</v>
      </c>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row>
    <row r="120" spans="1:44" s="1" customFormat="1" ht="30" customHeight="1" x14ac:dyDescent="0.2">
      <c r="A120" s="1">
        <v>118</v>
      </c>
      <c r="B120" s="30">
        <v>140240300</v>
      </c>
      <c r="C120" s="29" t="s">
        <v>857</v>
      </c>
      <c r="D120" s="29" t="s">
        <v>333</v>
      </c>
      <c r="E120" s="29" t="s">
        <v>2870</v>
      </c>
      <c r="F120" s="30" t="s">
        <v>858</v>
      </c>
      <c r="G120" s="29">
        <v>5152</v>
      </c>
      <c r="H120" s="29" t="s">
        <v>2557</v>
      </c>
      <c r="I120" s="29" t="s">
        <v>2519</v>
      </c>
      <c r="J120" s="30" t="s">
        <v>859</v>
      </c>
      <c r="K120" s="30" t="s">
        <v>2098</v>
      </c>
      <c r="L120" s="30" t="s">
        <v>860</v>
      </c>
      <c r="M120" s="30" t="s">
        <v>861</v>
      </c>
      <c r="N120" s="29" t="s">
        <v>33</v>
      </c>
      <c r="O120" s="30">
        <v>3512436173</v>
      </c>
      <c r="P120" s="30" t="s">
        <v>856</v>
      </c>
      <c r="Q120" s="30" t="s">
        <v>862</v>
      </c>
      <c r="R120" s="30" t="s">
        <v>55</v>
      </c>
      <c r="S120" s="30">
        <v>3512436173</v>
      </c>
      <c r="T120" s="30" t="s">
        <v>856</v>
      </c>
      <c r="U120" s="29">
        <v>2022</v>
      </c>
      <c r="AL120" s="3"/>
      <c r="AM120" s="3"/>
    </row>
    <row r="121" spans="1:44" s="1" customFormat="1" ht="30" customHeight="1" x14ac:dyDescent="0.2">
      <c r="A121" s="1">
        <v>119</v>
      </c>
      <c r="B121" s="30">
        <v>140253500</v>
      </c>
      <c r="C121" s="29" t="s">
        <v>948</v>
      </c>
      <c r="D121" s="29" t="s">
        <v>333</v>
      </c>
      <c r="E121" s="29" t="s">
        <v>2871</v>
      </c>
      <c r="F121" s="30" t="s">
        <v>2781</v>
      </c>
      <c r="G121" s="29">
        <v>2550</v>
      </c>
      <c r="H121" s="29" t="s">
        <v>2557</v>
      </c>
      <c r="I121" s="29" t="s">
        <v>2519</v>
      </c>
      <c r="J121" s="30" t="s">
        <v>949</v>
      </c>
      <c r="K121" s="30">
        <v>3537442801</v>
      </c>
      <c r="L121" s="30" t="s">
        <v>947</v>
      </c>
      <c r="M121" s="30" t="s">
        <v>950</v>
      </c>
      <c r="N121" s="29" t="s">
        <v>33</v>
      </c>
      <c r="O121" s="30">
        <v>3537442801</v>
      </c>
      <c r="P121" s="30" t="s">
        <v>951</v>
      </c>
      <c r="Q121" s="30" t="s">
        <v>952</v>
      </c>
      <c r="R121" s="30" t="s">
        <v>17</v>
      </c>
      <c r="S121" s="30">
        <v>3537589187</v>
      </c>
      <c r="T121" s="30" t="s">
        <v>953</v>
      </c>
      <c r="U121" s="29">
        <v>2016</v>
      </c>
    </row>
    <row r="122" spans="1:44" s="1" customFormat="1" ht="30" customHeight="1" x14ac:dyDescent="0.2">
      <c r="A122" s="1">
        <v>120</v>
      </c>
      <c r="B122" s="30">
        <v>140253504</v>
      </c>
      <c r="C122" s="29" t="s">
        <v>989</v>
      </c>
      <c r="D122" s="29" t="s">
        <v>333</v>
      </c>
      <c r="E122" s="29" t="s">
        <v>2872</v>
      </c>
      <c r="F122" s="30" t="s">
        <v>2816</v>
      </c>
      <c r="G122" s="29">
        <v>5133</v>
      </c>
      <c r="H122" s="29" t="s">
        <v>2557</v>
      </c>
      <c r="I122" s="29" t="s">
        <v>2519</v>
      </c>
      <c r="J122" s="30" t="s">
        <v>990</v>
      </c>
      <c r="K122" s="30" t="s">
        <v>991</v>
      </c>
      <c r="L122" s="30" t="s">
        <v>988</v>
      </c>
      <c r="M122" s="30" t="s">
        <v>992</v>
      </c>
      <c r="N122" s="29" t="s">
        <v>33</v>
      </c>
      <c r="O122" s="30" t="s">
        <v>993</v>
      </c>
      <c r="P122" s="30" t="s">
        <v>951</v>
      </c>
      <c r="Q122" s="30" t="s">
        <v>992</v>
      </c>
      <c r="R122" s="30" t="s">
        <v>8</v>
      </c>
      <c r="S122" s="30" t="s">
        <v>993</v>
      </c>
      <c r="T122" s="30" t="s">
        <v>994</v>
      </c>
      <c r="U122" s="29">
        <v>2016</v>
      </c>
    </row>
    <row r="123" spans="1:44" s="1" customFormat="1" ht="30" customHeight="1" x14ac:dyDescent="0.2">
      <c r="A123" s="1">
        <v>121</v>
      </c>
      <c r="B123" s="30">
        <v>140261700</v>
      </c>
      <c r="C123" s="29" t="s">
        <v>217</v>
      </c>
      <c r="D123" s="29" t="s">
        <v>333</v>
      </c>
      <c r="E123" s="29" t="s">
        <v>593</v>
      </c>
      <c r="F123" s="30" t="s">
        <v>218</v>
      </c>
      <c r="G123" s="29">
        <v>5940</v>
      </c>
      <c r="H123" s="29" t="s">
        <v>2518</v>
      </c>
      <c r="I123" s="29" t="s">
        <v>2558</v>
      </c>
      <c r="J123" s="30" t="s">
        <v>219</v>
      </c>
      <c r="K123" s="30">
        <v>3533402945</v>
      </c>
      <c r="L123" s="30" t="s">
        <v>216</v>
      </c>
      <c r="M123" s="30" t="s">
        <v>220</v>
      </c>
      <c r="N123" s="29" t="s">
        <v>33</v>
      </c>
      <c r="O123" s="30">
        <v>3533689245</v>
      </c>
      <c r="P123" s="30" t="s">
        <v>221</v>
      </c>
      <c r="Q123" s="30" t="s">
        <v>222</v>
      </c>
      <c r="R123" s="30" t="s">
        <v>17</v>
      </c>
      <c r="S123" s="30">
        <v>3533404587</v>
      </c>
      <c r="T123" s="30" t="s">
        <v>223</v>
      </c>
      <c r="U123" s="29">
        <v>2023</v>
      </c>
    </row>
    <row r="124" spans="1:44" s="1" customFormat="1" ht="30" customHeight="1" x14ac:dyDescent="0.2">
      <c r="A124" s="1">
        <v>122</v>
      </c>
      <c r="B124" s="30">
        <v>140278801</v>
      </c>
      <c r="C124" s="29" t="s">
        <v>933</v>
      </c>
      <c r="D124" s="29" t="s">
        <v>333</v>
      </c>
      <c r="E124" s="29" t="s">
        <v>2873</v>
      </c>
      <c r="F124" s="30" t="s">
        <v>934</v>
      </c>
      <c r="G124" s="29">
        <v>5913</v>
      </c>
      <c r="H124" s="29" t="s">
        <v>2557</v>
      </c>
      <c r="I124" s="29" t="s">
        <v>2558</v>
      </c>
      <c r="J124" s="30" t="s">
        <v>935</v>
      </c>
      <c r="K124" s="30" t="s">
        <v>2264</v>
      </c>
      <c r="L124" s="30" t="s">
        <v>932</v>
      </c>
      <c r="M124" s="30" t="s">
        <v>2265</v>
      </c>
      <c r="N124" s="29" t="s">
        <v>33</v>
      </c>
      <c r="O124" s="30">
        <v>3533431154</v>
      </c>
      <c r="P124" s="30" t="s">
        <v>936</v>
      </c>
      <c r="Q124" s="30" t="s">
        <v>937</v>
      </c>
      <c r="R124" s="30" t="s">
        <v>17</v>
      </c>
      <c r="S124" s="30">
        <v>3534250336</v>
      </c>
      <c r="T124" s="30" t="s">
        <v>932</v>
      </c>
      <c r="U124" s="29">
        <v>2016</v>
      </c>
      <c r="AL124" s="3"/>
      <c r="AM124" s="3"/>
    </row>
    <row r="125" spans="1:44" s="1" customFormat="1" ht="30" customHeight="1" x14ac:dyDescent="0.2">
      <c r="A125" s="1">
        <v>123</v>
      </c>
      <c r="B125" s="30">
        <v>140312400</v>
      </c>
      <c r="C125" s="29" t="s">
        <v>1153</v>
      </c>
      <c r="D125" s="29" t="s">
        <v>333</v>
      </c>
      <c r="E125" s="29" t="s">
        <v>2874</v>
      </c>
      <c r="F125" s="30" t="s">
        <v>1154</v>
      </c>
      <c r="G125" s="29">
        <v>2677</v>
      </c>
      <c r="H125" s="29" t="s">
        <v>2557</v>
      </c>
      <c r="I125" s="29" t="s">
        <v>2558</v>
      </c>
      <c r="J125" s="30" t="s">
        <v>1155</v>
      </c>
      <c r="K125" s="30">
        <v>3534145502</v>
      </c>
      <c r="L125" s="30" t="s">
        <v>1152</v>
      </c>
      <c r="M125" s="30" t="s">
        <v>1156</v>
      </c>
      <c r="N125" s="29" t="s">
        <v>33</v>
      </c>
      <c r="O125" s="30">
        <v>3534240539</v>
      </c>
      <c r="P125" s="30" t="s">
        <v>1157</v>
      </c>
      <c r="Q125" s="30" t="s">
        <v>1156</v>
      </c>
      <c r="R125" s="30" t="s">
        <v>8</v>
      </c>
      <c r="S125" s="30">
        <v>3534240539</v>
      </c>
      <c r="T125" s="30" t="s">
        <v>1157</v>
      </c>
      <c r="U125" s="29">
        <v>2021</v>
      </c>
    </row>
    <row r="126" spans="1:44" s="1" customFormat="1" ht="30" customHeight="1" x14ac:dyDescent="0.2">
      <c r="A126" s="1">
        <v>124</v>
      </c>
      <c r="B126" s="30">
        <v>140319700</v>
      </c>
      <c r="C126" s="29" t="s">
        <v>371</v>
      </c>
      <c r="D126" s="29" t="s">
        <v>333</v>
      </c>
      <c r="E126" s="29" t="s">
        <v>593</v>
      </c>
      <c r="F126" s="30" t="s">
        <v>2782</v>
      </c>
      <c r="G126" s="29">
        <v>2400</v>
      </c>
      <c r="H126" s="29" t="s">
        <v>2518</v>
      </c>
      <c r="I126" s="29" t="s">
        <v>2558</v>
      </c>
      <c r="J126" s="30" t="s">
        <v>372</v>
      </c>
      <c r="K126" s="30">
        <v>3564424556</v>
      </c>
      <c r="L126" s="30" t="s">
        <v>370</v>
      </c>
      <c r="M126" s="30" t="s">
        <v>373</v>
      </c>
      <c r="N126" s="29" t="s">
        <v>33</v>
      </c>
      <c r="O126" s="30">
        <v>3564564320</v>
      </c>
      <c r="P126" s="30" t="s">
        <v>370</v>
      </c>
      <c r="Q126" s="30" t="s">
        <v>374</v>
      </c>
      <c r="R126" s="30" t="s">
        <v>17</v>
      </c>
      <c r="S126" s="30">
        <v>3564690570</v>
      </c>
      <c r="T126" s="30" t="s">
        <v>375</v>
      </c>
      <c r="U126" s="29">
        <v>2022</v>
      </c>
      <c r="AQ126" s="3"/>
    </row>
    <row r="127" spans="1:44" s="1" customFormat="1" ht="30" customHeight="1" x14ac:dyDescent="0.2">
      <c r="A127" s="1">
        <v>125</v>
      </c>
      <c r="B127" s="30">
        <v>140319900</v>
      </c>
      <c r="C127" s="29" t="s">
        <v>965</v>
      </c>
      <c r="D127" s="29" t="s">
        <v>333</v>
      </c>
      <c r="E127" s="29" t="s">
        <v>2115</v>
      </c>
      <c r="F127" s="30" t="s">
        <v>2115</v>
      </c>
      <c r="G127" s="29">
        <v>5280</v>
      </c>
      <c r="H127" s="29" t="s">
        <v>2557</v>
      </c>
      <c r="I127" s="29" t="s">
        <v>2558</v>
      </c>
      <c r="J127" s="30" t="s">
        <v>966</v>
      </c>
      <c r="K127" s="30" t="s">
        <v>967</v>
      </c>
      <c r="L127" s="30" t="s">
        <v>964</v>
      </c>
      <c r="M127" s="30" t="s">
        <v>2116</v>
      </c>
      <c r="N127" s="29" t="s">
        <v>33</v>
      </c>
      <c r="O127" s="30">
        <v>3875030360</v>
      </c>
      <c r="P127" s="30" t="s">
        <v>968</v>
      </c>
      <c r="Q127" s="30" t="s">
        <v>969</v>
      </c>
      <c r="R127" s="30" t="s">
        <v>17</v>
      </c>
      <c r="S127" s="30" t="s">
        <v>970</v>
      </c>
      <c r="T127" s="30" t="s">
        <v>971</v>
      </c>
      <c r="U127" s="29">
        <v>2021</v>
      </c>
    </row>
    <row r="128" spans="1:44" s="1" customFormat="1" ht="30" customHeight="1" x14ac:dyDescent="0.2">
      <c r="A128" s="1">
        <v>126</v>
      </c>
      <c r="B128" s="30">
        <v>140322200</v>
      </c>
      <c r="C128" s="29" t="s">
        <v>276</v>
      </c>
      <c r="D128" s="29" t="s">
        <v>333</v>
      </c>
      <c r="E128" s="29" t="s">
        <v>593</v>
      </c>
      <c r="F128" s="30" t="s">
        <v>277</v>
      </c>
      <c r="G128" s="29">
        <v>2419</v>
      </c>
      <c r="H128" s="29" t="s">
        <v>2518</v>
      </c>
      <c r="I128" s="29" t="s">
        <v>2558</v>
      </c>
      <c r="J128" s="30" t="s">
        <v>278</v>
      </c>
      <c r="K128" s="30" t="s">
        <v>1996</v>
      </c>
      <c r="L128" s="30" t="s">
        <v>275</v>
      </c>
      <c r="M128" s="30" t="s">
        <v>279</v>
      </c>
      <c r="N128" s="29" t="s">
        <v>33</v>
      </c>
      <c r="O128" s="30" t="s">
        <v>280</v>
      </c>
      <c r="P128" s="30" t="s">
        <v>281</v>
      </c>
      <c r="Q128" s="30" t="s">
        <v>282</v>
      </c>
      <c r="R128" s="30" t="s">
        <v>17</v>
      </c>
      <c r="S128" s="30" t="s">
        <v>283</v>
      </c>
      <c r="T128" s="30" t="s">
        <v>275</v>
      </c>
      <c r="U128" s="29">
        <v>2021</v>
      </c>
    </row>
    <row r="129" spans="1:44" s="1" customFormat="1" ht="30" customHeight="1" x14ac:dyDescent="0.2">
      <c r="A129" s="1">
        <v>127</v>
      </c>
      <c r="B129" s="30">
        <v>140333900</v>
      </c>
      <c r="C129" s="29" t="s">
        <v>332</v>
      </c>
      <c r="D129" s="29" t="s">
        <v>333</v>
      </c>
      <c r="E129" s="29" t="s">
        <v>2651</v>
      </c>
      <c r="F129" s="30" t="s">
        <v>333</v>
      </c>
      <c r="G129" s="29">
        <v>5000</v>
      </c>
      <c r="H129" s="29" t="s">
        <v>2518</v>
      </c>
      <c r="I129" s="29" t="s">
        <v>2519</v>
      </c>
      <c r="J129" s="30" t="s">
        <v>334</v>
      </c>
      <c r="K129" s="30">
        <v>3513514869</v>
      </c>
      <c r="L129" s="30" t="s">
        <v>335</v>
      </c>
      <c r="M129" s="30" t="s">
        <v>2001</v>
      </c>
      <c r="N129" s="29" t="s">
        <v>33</v>
      </c>
      <c r="O129" s="30">
        <v>3512772841</v>
      </c>
      <c r="P129" s="30" t="s">
        <v>336</v>
      </c>
      <c r="Q129" s="30" t="s">
        <v>337</v>
      </c>
      <c r="R129" s="30" t="s">
        <v>36</v>
      </c>
      <c r="S129" s="30">
        <v>3515555102</v>
      </c>
      <c r="T129" s="30" t="s">
        <v>331</v>
      </c>
      <c r="U129" s="29">
        <v>2020</v>
      </c>
    </row>
    <row r="130" spans="1:44" s="1" customFormat="1" ht="30" customHeight="1" x14ac:dyDescent="0.2">
      <c r="A130" s="1">
        <v>128</v>
      </c>
      <c r="B130" s="30">
        <v>140337300</v>
      </c>
      <c r="C130" s="29" t="s">
        <v>2101</v>
      </c>
      <c r="D130" s="29" t="s">
        <v>333</v>
      </c>
      <c r="E130" s="29" t="s">
        <v>2624</v>
      </c>
      <c r="F130" s="30" t="s">
        <v>886</v>
      </c>
      <c r="G130" s="29">
        <v>5900</v>
      </c>
      <c r="H130" s="29" t="s">
        <v>2557</v>
      </c>
      <c r="I130" s="29" t="s">
        <v>2519</v>
      </c>
      <c r="J130" s="30" t="s">
        <v>887</v>
      </c>
      <c r="K130" s="30" t="s">
        <v>2102</v>
      </c>
      <c r="L130" s="30" t="s">
        <v>885</v>
      </c>
      <c r="M130" s="30" t="s">
        <v>888</v>
      </c>
      <c r="N130" s="29" t="s">
        <v>33</v>
      </c>
      <c r="O130" s="30">
        <v>3534276386</v>
      </c>
      <c r="P130" s="30" t="s">
        <v>889</v>
      </c>
      <c r="Q130" s="30" t="s">
        <v>890</v>
      </c>
      <c r="R130" s="30" t="s">
        <v>17</v>
      </c>
      <c r="S130" s="30">
        <v>3513546470</v>
      </c>
      <c r="T130" s="30" t="s">
        <v>891</v>
      </c>
      <c r="U130" s="29">
        <v>2020</v>
      </c>
    </row>
    <row r="131" spans="1:44" s="1" customFormat="1" ht="30" customHeight="1" x14ac:dyDescent="0.2">
      <c r="A131" s="1">
        <v>129</v>
      </c>
      <c r="B131" s="30">
        <v>140359300</v>
      </c>
      <c r="C131" s="29" t="s">
        <v>1853</v>
      </c>
      <c r="D131" s="29" t="s">
        <v>333</v>
      </c>
      <c r="E131" s="29" t="s">
        <v>2875</v>
      </c>
      <c r="F131" s="30" t="s">
        <v>1854</v>
      </c>
      <c r="G131" s="29">
        <v>5870</v>
      </c>
      <c r="H131" s="29" t="s">
        <v>2557</v>
      </c>
      <c r="I131" s="29" t="s">
        <v>2519</v>
      </c>
      <c r="J131" s="30" t="s">
        <v>1855</v>
      </c>
      <c r="K131" s="30">
        <v>3544631390</v>
      </c>
      <c r="L131" s="30" t="s">
        <v>1856</v>
      </c>
      <c r="M131" s="30" t="s">
        <v>1857</v>
      </c>
      <c r="N131" s="29" t="s">
        <v>33</v>
      </c>
      <c r="O131" s="30">
        <v>3544631390</v>
      </c>
      <c r="P131" s="30" t="s">
        <v>1858</v>
      </c>
      <c r="Q131" s="30" t="s">
        <v>1857</v>
      </c>
      <c r="R131" s="30" t="s">
        <v>8</v>
      </c>
      <c r="S131" s="30">
        <v>3544631390</v>
      </c>
      <c r="T131" s="30" t="s">
        <v>1858</v>
      </c>
      <c r="U131" s="29">
        <v>2016</v>
      </c>
    </row>
    <row r="132" spans="1:44" s="1" customFormat="1" ht="30" customHeight="1" x14ac:dyDescent="0.2">
      <c r="A132" s="1">
        <v>130</v>
      </c>
      <c r="B132" s="30">
        <v>140443800</v>
      </c>
      <c r="C132" s="29" t="s">
        <v>1834</v>
      </c>
      <c r="D132" s="29" t="s">
        <v>333</v>
      </c>
      <c r="E132" s="29" t="s">
        <v>2651</v>
      </c>
      <c r="F132" s="30" t="s">
        <v>333</v>
      </c>
      <c r="G132" s="29">
        <v>5000</v>
      </c>
      <c r="H132" s="29" t="s">
        <v>2518</v>
      </c>
      <c r="I132" s="29" t="s">
        <v>2519</v>
      </c>
      <c r="J132" s="30" t="s">
        <v>1835</v>
      </c>
      <c r="K132" s="30">
        <v>3517516762</v>
      </c>
      <c r="L132" s="30" t="s">
        <v>1836</v>
      </c>
      <c r="M132" s="30" t="s">
        <v>1837</v>
      </c>
      <c r="N132" s="29" t="s">
        <v>33</v>
      </c>
      <c r="O132" s="30">
        <v>3517516762</v>
      </c>
      <c r="P132" s="30" t="s">
        <v>1836</v>
      </c>
      <c r="Q132" s="30" t="s">
        <v>1838</v>
      </c>
      <c r="R132" s="30" t="s">
        <v>17</v>
      </c>
      <c r="S132" s="30">
        <v>3515376550</v>
      </c>
      <c r="T132" s="30" t="s">
        <v>1839</v>
      </c>
      <c r="U132" s="29">
        <v>2016</v>
      </c>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row>
    <row r="133" spans="1:44" s="1" customFormat="1" ht="30" customHeight="1" x14ac:dyDescent="0.2">
      <c r="A133" s="1">
        <v>131</v>
      </c>
      <c r="B133" s="30">
        <v>140463300</v>
      </c>
      <c r="C133" s="29" t="s">
        <v>2452</v>
      </c>
      <c r="D133" s="29" t="s">
        <v>333</v>
      </c>
      <c r="E133" s="29" t="s">
        <v>60</v>
      </c>
      <c r="F133" s="30" t="s">
        <v>60</v>
      </c>
      <c r="G133" s="29">
        <v>5800</v>
      </c>
      <c r="H133" s="29" t="s">
        <v>2518</v>
      </c>
      <c r="I133" s="29" t="s">
        <v>2519</v>
      </c>
      <c r="J133" s="30" t="s">
        <v>61</v>
      </c>
      <c r="K133" s="30">
        <v>358464627080</v>
      </c>
      <c r="L133" s="30" t="s">
        <v>62</v>
      </c>
      <c r="M133" s="30" t="s">
        <v>63</v>
      </c>
      <c r="N133" s="29" t="s">
        <v>33</v>
      </c>
      <c r="O133" s="30">
        <v>3585093150</v>
      </c>
      <c r="P133" s="30" t="s">
        <v>64</v>
      </c>
      <c r="Q133" s="30" t="s">
        <v>63</v>
      </c>
      <c r="R133" s="30" t="s">
        <v>8</v>
      </c>
      <c r="S133" s="30">
        <v>3585093150</v>
      </c>
      <c r="T133" s="30" t="s">
        <v>64</v>
      </c>
      <c r="U133" s="29">
        <v>2016</v>
      </c>
    </row>
    <row r="134" spans="1:44" s="1" customFormat="1" ht="30" customHeight="1" x14ac:dyDescent="0.2">
      <c r="A134" s="1">
        <v>132</v>
      </c>
      <c r="B134" s="30">
        <v>140488900</v>
      </c>
      <c r="C134" s="29" t="s">
        <v>146</v>
      </c>
      <c r="D134" s="29" t="s">
        <v>333</v>
      </c>
      <c r="E134" s="29" t="s">
        <v>2876</v>
      </c>
      <c r="F134" s="30" t="s">
        <v>147</v>
      </c>
      <c r="G134" s="29">
        <v>5963</v>
      </c>
      <c r="H134" s="29" t="s">
        <v>2518</v>
      </c>
      <c r="I134" s="29" t="s">
        <v>2519</v>
      </c>
      <c r="J134" s="30" t="s">
        <v>148</v>
      </c>
      <c r="K134" s="30" t="s">
        <v>1978</v>
      </c>
      <c r="L134" s="30" t="s">
        <v>145</v>
      </c>
      <c r="M134" s="30" t="s">
        <v>149</v>
      </c>
      <c r="N134" s="29" t="s">
        <v>33</v>
      </c>
      <c r="O134" s="30" t="s">
        <v>150</v>
      </c>
      <c r="P134" s="30" t="s">
        <v>151</v>
      </c>
      <c r="Q134" s="30" t="s">
        <v>152</v>
      </c>
      <c r="R134" s="30" t="s">
        <v>17</v>
      </c>
      <c r="S134" s="30" t="s">
        <v>153</v>
      </c>
      <c r="T134" s="30" t="s">
        <v>154</v>
      </c>
      <c r="U134" s="29">
        <v>2016</v>
      </c>
    </row>
    <row r="135" spans="1:44" s="1" customFormat="1" ht="30" customHeight="1" x14ac:dyDescent="0.2">
      <c r="A135" s="1">
        <v>133</v>
      </c>
      <c r="B135" s="30">
        <v>140510100</v>
      </c>
      <c r="C135" s="29" t="s">
        <v>340</v>
      </c>
      <c r="D135" s="29" t="s">
        <v>333</v>
      </c>
      <c r="E135" s="29" t="s">
        <v>2651</v>
      </c>
      <c r="F135" s="30" t="s">
        <v>333</v>
      </c>
      <c r="G135" s="29">
        <v>5000</v>
      </c>
      <c r="H135" s="29" t="s">
        <v>2518</v>
      </c>
      <c r="I135" s="29" t="s">
        <v>2519</v>
      </c>
      <c r="J135" s="30" t="s">
        <v>341</v>
      </c>
      <c r="K135" s="30">
        <v>3516430818</v>
      </c>
      <c r="L135" s="30" t="s">
        <v>342</v>
      </c>
      <c r="M135" s="30" t="s">
        <v>343</v>
      </c>
      <c r="N135" s="29" t="s">
        <v>33</v>
      </c>
      <c r="O135" s="30">
        <v>3516430818</v>
      </c>
      <c r="P135" s="30" t="s">
        <v>342</v>
      </c>
      <c r="Q135" s="30" t="s">
        <v>344</v>
      </c>
      <c r="R135" s="30" t="s">
        <v>17</v>
      </c>
      <c r="S135" s="30" t="s">
        <v>345</v>
      </c>
      <c r="T135" s="30" t="s">
        <v>346</v>
      </c>
      <c r="U135" s="29">
        <v>2018</v>
      </c>
    </row>
    <row r="136" spans="1:44" s="1" customFormat="1" ht="30" customHeight="1" x14ac:dyDescent="0.2">
      <c r="A136" s="1">
        <v>134</v>
      </c>
      <c r="B136" s="30">
        <v>140510101</v>
      </c>
      <c r="C136" s="29" t="s">
        <v>398</v>
      </c>
      <c r="D136" s="29" t="s">
        <v>333</v>
      </c>
      <c r="E136" s="29" t="s">
        <v>2870</v>
      </c>
      <c r="F136" s="30" t="s">
        <v>399</v>
      </c>
      <c r="G136" s="29">
        <v>5166</v>
      </c>
      <c r="H136" s="29" t="s">
        <v>2518</v>
      </c>
      <c r="I136" s="29" t="s">
        <v>2519</v>
      </c>
      <c r="J136" s="30" t="s">
        <v>400</v>
      </c>
      <c r="K136" s="30" t="s">
        <v>2011</v>
      </c>
      <c r="L136" s="30" t="s">
        <v>397</v>
      </c>
      <c r="M136" s="30" t="s">
        <v>401</v>
      </c>
      <c r="N136" s="29" t="s">
        <v>33</v>
      </c>
      <c r="O136" s="30">
        <v>3516430818</v>
      </c>
      <c r="P136" s="30" t="s">
        <v>339</v>
      </c>
      <c r="Q136" s="30" t="s">
        <v>402</v>
      </c>
      <c r="R136" s="30" t="s">
        <v>17</v>
      </c>
      <c r="S136" s="30">
        <v>3541512904</v>
      </c>
      <c r="T136" s="30" t="s">
        <v>403</v>
      </c>
      <c r="U136" s="29">
        <v>2018</v>
      </c>
    </row>
    <row r="137" spans="1:44" s="1" customFormat="1" ht="30" customHeight="1" x14ac:dyDescent="0.2">
      <c r="A137" s="1">
        <v>135</v>
      </c>
      <c r="B137" s="30">
        <v>140510102</v>
      </c>
      <c r="C137" s="29" t="s">
        <v>386</v>
      </c>
      <c r="D137" s="29" t="s">
        <v>333</v>
      </c>
      <c r="E137" s="29" t="s">
        <v>2754</v>
      </c>
      <c r="F137" s="30" t="s">
        <v>2783</v>
      </c>
      <c r="G137" s="29">
        <v>5220</v>
      </c>
      <c r="H137" s="29" t="s">
        <v>2518</v>
      </c>
      <c r="I137" s="29" t="s">
        <v>2519</v>
      </c>
      <c r="J137" s="30" t="s">
        <v>387</v>
      </c>
      <c r="K137" s="30" t="s">
        <v>388</v>
      </c>
      <c r="L137" s="30" t="s">
        <v>389</v>
      </c>
      <c r="M137" s="30" t="s">
        <v>390</v>
      </c>
      <c r="N137" s="29" t="s">
        <v>33</v>
      </c>
      <c r="O137" s="30">
        <v>3516430818</v>
      </c>
      <c r="P137" s="30" t="s">
        <v>339</v>
      </c>
      <c r="Q137" s="30" t="s">
        <v>391</v>
      </c>
      <c r="R137" s="30" t="s">
        <v>17</v>
      </c>
      <c r="S137" s="30">
        <v>3525410202</v>
      </c>
      <c r="T137" s="30" t="s">
        <v>389</v>
      </c>
      <c r="U137" s="29">
        <v>2018</v>
      </c>
    </row>
    <row r="138" spans="1:44" s="1" customFormat="1" ht="30" customHeight="1" x14ac:dyDescent="0.2">
      <c r="A138" s="1">
        <v>136</v>
      </c>
      <c r="B138" s="30">
        <v>140510103</v>
      </c>
      <c r="C138" s="29" t="s">
        <v>365</v>
      </c>
      <c r="D138" s="29" t="s">
        <v>333</v>
      </c>
      <c r="E138" s="29" t="s">
        <v>2877</v>
      </c>
      <c r="F138" s="30" t="s">
        <v>366</v>
      </c>
      <c r="G138" s="29">
        <v>5980</v>
      </c>
      <c r="H138" s="29" t="s">
        <v>2518</v>
      </c>
      <c r="I138" s="29" t="s">
        <v>2519</v>
      </c>
      <c r="J138" s="30" t="s">
        <v>367</v>
      </c>
      <c r="K138" s="30">
        <v>3532408119</v>
      </c>
      <c r="L138" s="30" t="s">
        <v>364</v>
      </c>
      <c r="M138" s="30" t="s">
        <v>343</v>
      </c>
      <c r="N138" s="29" t="s">
        <v>33</v>
      </c>
      <c r="O138" s="30">
        <v>3516430818</v>
      </c>
      <c r="P138" s="30" t="s">
        <v>339</v>
      </c>
      <c r="Q138" s="30" t="s">
        <v>368</v>
      </c>
      <c r="R138" s="30" t="s">
        <v>17</v>
      </c>
      <c r="S138" s="30">
        <v>3532408119</v>
      </c>
      <c r="T138" s="30" t="s">
        <v>364</v>
      </c>
      <c r="U138" s="29">
        <v>2018</v>
      </c>
    </row>
    <row r="139" spans="1:44" s="1" customFormat="1" ht="30" customHeight="1" x14ac:dyDescent="0.2">
      <c r="A139" s="1">
        <v>137</v>
      </c>
      <c r="B139" s="30">
        <v>140510104</v>
      </c>
      <c r="C139" s="29" t="s">
        <v>2434</v>
      </c>
      <c r="D139" s="29" t="s">
        <v>333</v>
      </c>
      <c r="E139" s="29" t="s">
        <v>2115</v>
      </c>
      <c r="F139" s="30" t="s">
        <v>2115</v>
      </c>
      <c r="G139" s="29">
        <v>5280</v>
      </c>
      <c r="H139" s="29" t="s">
        <v>2518</v>
      </c>
      <c r="I139" s="29" t="s">
        <v>2519</v>
      </c>
      <c r="J139" s="30" t="s">
        <v>2392</v>
      </c>
      <c r="K139" s="30">
        <v>3549421531</v>
      </c>
      <c r="L139" s="30" t="s">
        <v>2393</v>
      </c>
      <c r="M139" s="30" t="s">
        <v>343</v>
      </c>
      <c r="N139" s="29" t="s">
        <v>33</v>
      </c>
      <c r="O139" s="30">
        <v>3516430818</v>
      </c>
      <c r="P139" s="30" t="s">
        <v>339</v>
      </c>
      <c r="Q139" s="30" t="s">
        <v>2394</v>
      </c>
      <c r="R139" s="30" t="s">
        <v>17</v>
      </c>
      <c r="S139" s="30">
        <v>3549418758</v>
      </c>
      <c r="T139" s="30" t="s">
        <v>2395</v>
      </c>
      <c r="U139" s="29">
        <v>2018</v>
      </c>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row>
    <row r="140" spans="1:44" s="1" customFormat="1" ht="30" customHeight="1" x14ac:dyDescent="0.2">
      <c r="A140" s="1">
        <v>138</v>
      </c>
      <c r="B140" s="30">
        <v>140510105</v>
      </c>
      <c r="C140" s="29" t="s">
        <v>355</v>
      </c>
      <c r="D140" s="29" t="s">
        <v>333</v>
      </c>
      <c r="E140" s="29" t="s">
        <v>2259</v>
      </c>
      <c r="F140" s="30" t="s">
        <v>2259</v>
      </c>
      <c r="G140" s="29">
        <v>2580</v>
      </c>
      <c r="H140" s="29" t="s">
        <v>2518</v>
      </c>
      <c r="I140" s="29" t="s">
        <v>2519</v>
      </c>
      <c r="J140" s="30" t="s">
        <v>2321</v>
      </c>
      <c r="K140" s="30">
        <v>3472422119</v>
      </c>
      <c r="L140" s="30" t="s">
        <v>354</v>
      </c>
      <c r="M140" s="30" t="s">
        <v>343</v>
      </c>
      <c r="N140" s="29" t="s">
        <v>33</v>
      </c>
      <c r="O140" s="30">
        <v>3514202600</v>
      </c>
      <c r="P140" s="30" t="s">
        <v>2322</v>
      </c>
      <c r="Q140" s="30" t="s">
        <v>356</v>
      </c>
      <c r="R140" s="30" t="s">
        <v>17</v>
      </c>
      <c r="S140" s="30">
        <v>3472625539</v>
      </c>
      <c r="T140" s="30" t="s">
        <v>354</v>
      </c>
      <c r="U140" s="29">
        <v>2018</v>
      </c>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row>
    <row r="141" spans="1:44" s="1" customFormat="1" ht="30" customHeight="1" x14ac:dyDescent="0.2">
      <c r="A141" s="1">
        <v>139</v>
      </c>
      <c r="B141" s="30">
        <v>140510105</v>
      </c>
      <c r="C141" s="29" t="s">
        <v>355</v>
      </c>
      <c r="D141" s="29" t="s">
        <v>333</v>
      </c>
      <c r="E141" s="29" t="s">
        <v>2259</v>
      </c>
      <c r="F141" s="30" t="s">
        <v>2259</v>
      </c>
      <c r="G141" s="29">
        <v>2580</v>
      </c>
      <c r="H141" s="29" t="s">
        <v>2518</v>
      </c>
      <c r="I141" s="29" t="s">
        <v>2519</v>
      </c>
      <c r="J141" s="30" t="s">
        <v>2056</v>
      </c>
      <c r="K141" s="30" t="s">
        <v>2059</v>
      </c>
      <c r="L141" s="30" t="s">
        <v>354</v>
      </c>
      <c r="M141" s="30" t="s">
        <v>2057</v>
      </c>
      <c r="N141" s="29" t="s">
        <v>6</v>
      </c>
      <c r="O141" s="30" t="s">
        <v>2060</v>
      </c>
      <c r="P141" s="30" t="s">
        <v>339</v>
      </c>
      <c r="Q141" s="30" t="s">
        <v>356</v>
      </c>
      <c r="R141" s="30" t="s">
        <v>17</v>
      </c>
      <c r="S141" s="30" t="s">
        <v>2061</v>
      </c>
      <c r="T141" s="30" t="s">
        <v>354</v>
      </c>
      <c r="U141" s="29">
        <v>2018</v>
      </c>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row>
    <row r="142" spans="1:44" s="1" customFormat="1" ht="30" customHeight="1" x14ac:dyDescent="0.2">
      <c r="A142" s="1">
        <v>140</v>
      </c>
      <c r="B142" s="30">
        <v>140510106</v>
      </c>
      <c r="C142" s="29" t="s">
        <v>348</v>
      </c>
      <c r="D142" s="29" t="s">
        <v>333</v>
      </c>
      <c r="E142" s="29" t="s">
        <v>60</v>
      </c>
      <c r="F142" s="30" t="s">
        <v>60</v>
      </c>
      <c r="G142" s="29">
        <v>5800</v>
      </c>
      <c r="H142" s="29" t="s">
        <v>2518</v>
      </c>
      <c r="I142" s="29" t="s">
        <v>2558</v>
      </c>
      <c r="J142" s="30" t="s">
        <v>349</v>
      </c>
      <c r="K142" s="30">
        <v>3584209354</v>
      </c>
      <c r="L142" s="30" t="s">
        <v>347</v>
      </c>
      <c r="M142" s="30" t="s">
        <v>350</v>
      </c>
      <c r="N142" s="29" t="s">
        <v>33</v>
      </c>
      <c r="O142" s="30">
        <v>3516430818</v>
      </c>
      <c r="P142" s="30" t="s">
        <v>351</v>
      </c>
      <c r="Q142" s="30" t="s">
        <v>352</v>
      </c>
      <c r="R142" s="30" t="s">
        <v>17</v>
      </c>
      <c r="S142" s="30">
        <v>3584209354</v>
      </c>
      <c r="T142" s="30" t="s">
        <v>347</v>
      </c>
      <c r="U142" s="29">
        <v>2018</v>
      </c>
    </row>
    <row r="143" spans="1:44" s="1" customFormat="1" ht="30" customHeight="1" x14ac:dyDescent="0.2">
      <c r="A143" s="1">
        <v>141</v>
      </c>
      <c r="B143" s="30">
        <v>140510107</v>
      </c>
      <c r="C143" s="29" t="s">
        <v>405</v>
      </c>
      <c r="D143" s="29" t="s">
        <v>333</v>
      </c>
      <c r="E143" s="29" t="s">
        <v>2624</v>
      </c>
      <c r="F143" s="30" t="s">
        <v>886</v>
      </c>
      <c r="G143" s="29">
        <v>5900</v>
      </c>
      <c r="H143" s="29" t="s">
        <v>2518</v>
      </c>
      <c r="I143" s="29" t="s">
        <v>2519</v>
      </c>
      <c r="J143" s="30" t="s">
        <v>406</v>
      </c>
      <c r="K143" s="30">
        <v>3534534846</v>
      </c>
      <c r="L143" s="30" t="s">
        <v>407</v>
      </c>
      <c r="M143" s="30" t="s">
        <v>408</v>
      </c>
      <c r="N143" s="29" t="s">
        <v>33</v>
      </c>
      <c r="O143" s="30">
        <v>3534534846</v>
      </c>
      <c r="P143" s="30" t="s">
        <v>407</v>
      </c>
      <c r="Q143" s="30" t="s">
        <v>409</v>
      </c>
      <c r="R143" s="30" t="s">
        <v>17</v>
      </c>
      <c r="S143" s="30">
        <v>3535648046</v>
      </c>
      <c r="T143" s="30" t="s">
        <v>410</v>
      </c>
      <c r="U143" s="29">
        <v>2018</v>
      </c>
      <c r="Y143" s="2"/>
      <c r="AC143" s="2"/>
    </row>
    <row r="144" spans="1:44" s="1" customFormat="1" ht="30" customHeight="1" x14ac:dyDescent="0.2">
      <c r="A144" s="1">
        <v>142</v>
      </c>
      <c r="B144" s="30">
        <v>140510108</v>
      </c>
      <c r="C144" s="29" t="s">
        <v>377</v>
      </c>
      <c r="D144" s="29" t="s">
        <v>333</v>
      </c>
      <c r="E144" s="29" t="s">
        <v>2878</v>
      </c>
      <c r="F144" s="30" t="s">
        <v>2784</v>
      </c>
      <c r="G144" s="29">
        <v>5200</v>
      </c>
      <c r="H144" s="29" t="s">
        <v>2518</v>
      </c>
      <c r="I144" s="29" t="s">
        <v>2519</v>
      </c>
      <c r="J144" s="30" t="s">
        <v>378</v>
      </c>
      <c r="K144" s="30" t="s">
        <v>379</v>
      </c>
      <c r="L144" s="30" t="s">
        <v>380</v>
      </c>
      <c r="M144" s="30" t="s">
        <v>381</v>
      </c>
      <c r="N144" s="29" t="s">
        <v>33</v>
      </c>
      <c r="O144" s="30" t="s">
        <v>382</v>
      </c>
      <c r="P144" s="30" t="s">
        <v>339</v>
      </c>
      <c r="Q144" s="30" t="s">
        <v>383</v>
      </c>
      <c r="R144" s="30" t="s">
        <v>17</v>
      </c>
      <c r="S144" s="30" t="s">
        <v>384</v>
      </c>
      <c r="T144" s="30" t="s">
        <v>380</v>
      </c>
      <c r="U144" s="29">
        <v>2018</v>
      </c>
    </row>
    <row r="145" spans="1:39" s="1" customFormat="1" ht="30" customHeight="1" x14ac:dyDescent="0.2">
      <c r="A145" s="1">
        <v>143</v>
      </c>
      <c r="B145" s="30">
        <v>140510300</v>
      </c>
      <c r="C145" s="29" t="s">
        <v>1208</v>
      </c>
      <c r="D145" s="29" t="s">
        <v>333</v>
      </c>
      <c r="E145" s="29" t="s">
        <v>2879</v>
      </c>
      <c r="F145" s="30" t="s">
        <v>2785</v>
      </c>
      <c r="G145" s="29">
        <v>5194</v>
      </c>
      <c r="H145" s="29" t="s">
        <v>2557</v>
      </c>
      <c r="I145" s="29" t="s">
        <v>2519</v>
      </c>
      <c r="J145" s="30" t="s">
        <v>1209</v>
      </c>
      <c r="K145" s="30">
        <v>354615565829</v>
      </c>
      <c r="L145" s="30" t="s">
        <v>1207</v>
      </c>
      <c r="M145" s="30" t="s">
        <v>1210</v>
      </c>
      <c r="N145" s="29" t="s">
        <v>33</v>
      </c>
      <c r="O145" s="30">
        <v>3546523397</v>
      </c>
      <c r="P145" s="30" t="s">
        <v>1211</v>
      </c>
      <c r="Q145" s="30" t="s">
        <v>1212</v>
      </c>
      <c r="R145" s="30" t="s">
        <v>55</v>
      </c>
      <c r="S145" s="30">
        <v>354615419636</v>
      </c>
      <c r="T145" s="30" t="s">
        <v>1213</v>
      </c>
      <c r="U145" s="29">
        <v>2016</v>
      </c>
      <c r="AL145" s="3"/>
      <c r="AM145" s="3"/>
    </row>
    <row r="146" spans="1:39" s="1" customFormat="1" ht="30" customHeight="1" x14ac:dyDescent="0.2">
      <c r="A146" s="1">
        <v>144</v>
      </c>
      <c r="B146" s="30">
        <v>140532900</v>
      </c>
      <c r="C146" s="29" t="s">
        <v>357</v>
      </c>
      <c r="D146" s="29" t="s">
        <v>333</v>
      </c>
      <c r="E146" s="29" t="s">
        <v>593</v>
      </c>
      <c r="F146" s="30" t="s">
        <v>2782</v>
      </c>
      <c r="G146" s="29">
        <v>2400</v>
      </c>
      <c r="H146" s="29" t="s">
        <v>2518</v>
      </c>
      <c r="I146" s="29" t="s">
        <v>2558</v>
      </c>
      <c r="J146" s="30" t="s">
        <v>358</v>
      </c>
      <c r="K146" s="30">
        <v>3564504942</v>
      </c>
      <c r="L146" s="30" t="s">
        <v>359</v>
      </c>
      <c r="M146" s="30" t="s">
        <v>360</v>
      </c>
      <c r="N146" s="29" t="s">
        <v>33</v>
      </c>
      <c r="O146" s="30">
        <v>3564571932</v>
      </c>
      <c r="P146" s="30" t="s">
        <v>361</v>
      </c>
      <c r="Q146" s="30" t="s">
        <v>362</v>
      </c>
      <c r="R146" s="30" t="s">
        <v>8</v>
      </c>
      <c r="S146" s="30">
        <v>3564571932</v>
      </c>
      <c r="T146" s="30" t="s">
        <v>361</v>
      </c>
      <c r="U146" s="29">
        <v>2021</v>
      </c>
    </row>
    <row r="147" spans="1:39" s="1" customFormat="1" ht="30" customHeight="1" x14ac:dyDescent="0.2">
      <c r="A147" s="1">
        <v>145</v>
      </c>
      <c r="B147" s="30">
        <v>140544101</v>
      </c>
      <c r="C147" s="29" t="s">
        <v>1305</v>
      </c>
      <c r="D147" s="29" t="s">
        <v>333</v>
      </c>
      <c r="E147" s="29" t="s">
        <v>2754</v>
      </c>
      <c r="F147" s="30" t="s">
        <v>2817</v>
      </c>
      <c r="G147" s="29">
        <v>5145</v>
      </c>
      <c r="H147" s="29" t="s">
        <v>2557</v>
      </c>
      <c r="I147" s="29" t="s">
        <v>2519</v>
      </c>
      <c r="J147" s="30" t="s">
        <v>1306</v>
      </c>
      <c r="K147" s="30" t="s">
        <v>1307</v>
      </c>
      <c r="L147" s="30" t="s">
        <v>1304</v>
      </c>
      <c r="M147" s="30" t="s">
        <v>1308</v>
      </c>
      <c r="N147" s="29" t="s">
        <v>33</v>
      </c>
      <c r="O147" s="30">
        <v>3512988205</v>
      </c>
      <c r="P147" s="30" t="s">
        <v>1300</v>
      </c>
      <c r="Q147" s="30" t="s">
        <v>1309</v>
      </c>
      <c r="R147" s="30" t="s">
        <v>17</v>
      </c>
      <c r="S147" s="30" t="s">
        <v>1310</v>
      </c>
      <c r="T147" s="30" t="s">
        <v>1304</v>
      </c>
      <c r="U147" s="29">
        <v>2019</v>
      </c>
    </row>
    <row r="148" spans="1:39" s="1" customFormat="1" ht="30" customHeight="1" x14ac:dyDescent="0.2">
      <c r="A148" s="1">
        <v>146</v>
      </c>
      <c r="B148" s="30">
        <v>140544105</v>
      </c>
      <c r="C148" s="29" t="s">
        <v>1450</v>
      </c>
      <c r="D148" s="29" t="s">
        <v>333</v>
      </c>
      <c r="E148" s="29" t="s">
        <v>2651</v>
      </c>
      <c r="F148" s="30" t="s">
        <v>333</v>
      </c>
      <c r="G148" s="29">
        <v>5000</v>
      </c>
      <c r="H148" s="29" t="s">
        <v>2557</v>
      </c>
      <c r="I148" s="29" t="s">
        <v>2519</v>
      </c>
      <c r="J148" s="30" t="s">
        <v>1451</v>
      </c>
      <c r="K148" s="30"/>
      <c r="L148" s="30" t="s">
        <v>1452</v>
      </c>
      <c r="M148" s="30" t="s">
        <v>1453</v>
      </c>
      <c r="N148" s="29" t="s">
        <v>33</v>
      </c>
      <c r="O148" s="30" t="s">
        <v>1454</v>
      </c>
      <c r="P148" s="30" t="s">
        <v>1300</v>
      </c>
      <c r="Q148" s="30" t="s">
        <v>1455</v>
      </c>
      <c r="R148" s="30" t="s">
        <v>17</v>
      </c>
      <c r="S148" s="30" t="s">
        <v>1456</v>
      </c>
      <c r="T148" s="30" t="s">
        <v>1457</v>
      </c>
      <c r="U148" s="29">
        <v>2018</v>
      </c>
    </row>
    <row r="149" spans="1:39" s="1" customFormat="1" ht="30" customHeight="1" x14ac:dyDescent="0.2">
      <c r="A149" s="1">
        <v>147</v>
      </c>
      <c r="B149" s="30">
        <v>140544107</v>
      </c>
      <c r="C149" s="29" t="s">
        <v>1296</v>
      </c>
      <c r="D149" s="29" t="s">
        <v>333</v>
      </c>
      <c r="E149" s="29" t="s">
        <v>2651</v>
      </c>
      <c r="F149" s="30" t="s">
        <v>1297</v>
      </c>
      <c r="G149" s="29">
        <v>5000</v>
      </c>
      <c r="H149" s="29" t="s">
        <v>2557</v>
      </c>
      <c r="I149" s="29" t="s">
        <v>2519</v>
      </c>
      <c r="J149" s="30" t="s">
        <v>1298</v>
      </c>
      <c r="K149" s="30">
        <v>3512054618</v>
      </c>
      <c r="L149" s="30" t="s">
        <v>1295</v>
      </c>
      <c r="M149" s="30" t="s">
        <v>1299</v>
      </c>
      <c r="N149" s="29" t="s">
        <v>33</v>
      </c>
      <c r="O149" s="30">
        <v>3515400730</v>
      </c>
      <c r="P149" s="30" t="s">
        <v>1300</v>
      </c>
      <c r="Q149" s="30" t="s">
        <v>1301</v>
      </c>
      <c r="R149" s="30" t="s">
        <v>17</v>
      </c>
      <c r="S149" s="30">
        <v>3512054618</v>
      </c>
      <c r="T149" s="30" t="s">
        <v>1302</v>
      </c>
      <c r="U149" s="29">
        <v>2018</v>
      </c>
    </row>
    <row r="150" spans="1:39" s="1" customFormat="1" ht="30" customHeight="1" x14ac:dyDescent="0.2">
      <c r="A150" s="1">
        <v>148</v>
      </c>
      <c r="B150" s="30">
        <v>140575200</v>
      </c>
      <c r="C150" s="29" t="s">
        <v>642</v>
      </c>
      <c r="D150" s="29" t="s">
        <v>333</v>
      </c>
      <c r="E150" s="29" t="s">
        <v>2880</v>
      </c>
      <c r="F150" s="30" t="s">
        <v>333</v>
      </c>
      <c r="G150" s="29">
        <v>5209</v>
      </c>
      <c r="H150" s="29" t="s">
        <v>2557</v>
      </c>
      <c r="I150" s="29" t="s">
        <v>2519</v>
      </c>
      <c r="J150" s="30" t="s">
        <v>643</v>
      </c>
      <c r="K150" s="30">
        <v>3512292946</v>
      </c>
      <c r="L150" s="30" t="s">
        <v>644</v>
      </c>
      <c r="M150" s="30" t="s">
        <v>645</v>
      </c>
      <c r="N150" s="29" t="s">
        <v>33</v>
      </c>
      <c r="O150" s="30">
        <v>3512601899</v>
      </c>
      <c r="P150" s="30" t="s">
        <v>641</v>
      </c>
      <c r="Q150" s="30" t="s">
        <v>646</v>
      </c>
      <c r="R150" s="30" t="s">
        <v>17</v>
      </c>
      <c r="S150" s="30" t="s">
        <v>647</v>
      </c>
      <c r="T150" s="30" t="s">
        <v>648</v>
      </c>
      <c r="U150" s="29">
        <v>2024</v>
      </c>
    </row>
    <row r="151" spans="1:39" s="1" customFormat="1" ht="30" customHeight="1" x14ac:dyDescent="0.2">
      <c r="A151" s="1">
        <v>149</v>
      </c>
      <c r="B151" s="30">
        <v>180041100</v>
      </c>
      <c r="C151" s="29" t="s">
        <v>1806</v>
      </c>
      <c r="D151" s="30" t="s">
        <v>189</v>
      </c>
      <c r="E151" s="29" t="s">
        <v>2651</v>
      </c>
      <c r="F151" s="30" t="s">
        <v>189</v>
      </c>
      <c r="G151" s="29">
        <v>3400</v>
      </c>
      <c r="H151" s="29" t="s">
        <v>2557</v>
      </c>
      <c r="I151" s="29" t="s">
        <v>2557</v>
      </c>
      <c r="J151" s="30" t="s">
        <v>1807</v>
      </c>
      <c r="K151" s="30">
        <v>3794801972</v>
      </c>
      <c r="L151" s="30" t="s">
        <v>1808</v>
      </c>
      <c r="M151" s="30" t="s">
        <v>1809</v>
      </c>
      <c r="N151" s="29" t="s">
        <v>6</v>
      </c>
      <c r="O151" s="30">
        <v>3794801972</v>
      </c>
      <c r="P151" s="30" t="s">
        <v>1810</v>
      </c>
      <c r="Q151" s="30" t="s">
        <v>1811</v>
      </c>
      <c r="R151" s="30" t="s">
        <v>17</v>
      </c>
      <c r="S151" s="30" t="s">
        <v>1812</v>
      </c>
      <c r="T151" s="30" t="s">
        <v>1813</v>
      </c>
      <c r="U151" s="29">
        <v>2017</v>
      </c>
    </row>
    <row r="152" spans="1:39" s="1" customFormat="1" ht="30" customHeight="1" x14ac:dyDescent="0.2">
      <c r="A152" s="1">
        <v>150</v>
      </c>
      <c r="B152" s="30">
        <v>180067500</v>
      </c>
      <c r="C152" s="29" t="s">
        <v>2211</v>
      </c>
      <c r="D152" s="30" t="s">
        <v>189</v>
      </c>
      <c r="E152" s="29" t="s">
        <v>2881</v>
      </c>
      <c r="F152" s="30" t="s">
        <v>1552</v>
      </c>
      <c r="G152" s="29">
        <v>3460</v>
      </c>
      <c r="H152" s="29" t="s">
        <v>2557</v>
      </c>
      <c r="I152" s="29" t="s">
        <v>2519</v>
      </c>
      <c r="J152" s="30" t="s">
        <v>1553</v>
      </c>
      <c r="K152" s="30" t="s">
        <v>1554</v>
      </c>
      <c r="L152" s="30" t="s">
        <v>1555</v>
      </c>
      <c r="M152" s="30" t="s">
        <v>1556</v>
      </c>
      <c r="N152" s="29" t="s">
        <v>6</v>
      </c>
      <c r="O152" s="30">
        <v>3774419067</v>
      </c>
      <c r="P152" s="30" t="s">
        <v>1555</v>
      </c>
      <c r="Q152" s="30" t="s">
        <v>1557</v>
      </c>
      <c r="R152" s="30" t="s">
        <v>17</v>
      </c>
      <c r="S152" s="30">
        <v>3774500444</v>
      </c>
      <c r="T152" s="30" t="s">
        <v>1558</v>
      </c>
      <c r="U152" s="29">
        <v>2024</v>
      </c>
      <c r="AL152" s="3"/>
      <c r="AM152" s="3"/>
    </row>
    <row r="153" spans="1:39" s="1" customFormat="1" ht="30" customHeight="1" x14ac:dyDescent="0.2">
      <c r="A153" s="1">
        <v>151</v>
      </c>
      <c r="B153" s="30">
        <v>180121600</v>
      </c>
      <c r="C153" s="29" t="s">
        <v>196</v>
      </c>
      <c r="D153" s="30" t="s">
        <v>189</v>
      </c>
      <c r="E153" s="29" t="s">
        <v>197</v>
      </c>
      <c r="F153" s="30" t="s">
        <v>197</v>
      </c>
      <c r="G153" s="29">
        <v>3340</v>
      </c>
      <c r="H153" s="29" t="s">
        <v>2518</v>
      </c>
      <c r="I153" s="29" t="s">
        <v>2519</v>
      </c>
      <c r="J153" s="30" t="s">
        <v>198</v>
      </c>
      <c r="K153" s="30" t="s">
        <v>199</v>
      </c>
      <c r="L153" s="30" t="s">
        <v>195</v>
      </c>
      <c r="M153" s="30" t="s">
        <v>200</v>
      </c>
      <c r="N153" s="29" t="s">
        <v>6</v>
      </c>
      <c r="O153" s="30" t="s">
        <v>201</v>
      </c>
      <c r="P153" s="30" t="s">
        <v>202</v>
      </c>
      <c r="Q153" s="30" t="s">
        <v>203</v>
      </c>
      <c r="R153" s="30" t="s">
        <v>17</v>
      </c>
      <c r="S153" s="30" t="s">
        <v>204</v>
      </c>
      <c r="T153" s="30" t="s">
        <v>205</v>
      </c>
      <c r="U153" s="29">
        <v>2018</v>
      </c>
    </row>
    <row r="154" spans="1:39" s="1" customFormat="1" ht="30" customHeight="1" x14ac:dyDescent="0.2">
      <c r="A154" s="1">
        <v>152</v>
      </c>
      <c r="B154" s="30">
        <v>180141300</v>
      </c>
      <c r="C154" s="29" t="s">
        <v>3028</v>
      </c>
      <c r="D154" s="30" t="s">
        <v>189</v>
      </c>
      <c r="E154" s="29" t="s">
        <v>1692</v>
      </c>
      <c r="F154" s="30" t="s">
        <v>1692</v>
      </c>
      <c r="G154" s="29">
        <v>3196</v>
      </c>
      <c r="H154" s="29" t="s">
        <v>2557</v>
      </c>
      <c r="I154" s="29" t="s">
        <v>2558</v>
      </c>
      <c r="J154" s="30" t="s">
        <v>1693</v>
      </c>
      <c r="K154" s="30" t="s">
        <v>1694</v>
      </c>
      <c r="L154" s="30" t="s">
        <v>1691</v>
      </c>
      <c r="M154" s="30" t="s">
        <v>1695</v>
      </c>
      <c r="N154" s="29" t="s">
        <v>6</v>
      </c>
      <c r="O154" s="30">
        <v>3777527228</v>
      </c>
      <c r="P154" s="30" t="s">
        <v>1697</v>
      </c>
      <c r="Q154" s="30" t="s">
        <v>1698</v>
      </c>
      <c r="R154" s="30" t="s">
        <v>17</v>
      </c>
      <c r="S154" s="30" t="s">
        <v>1694</v>
      </c>
      <c r="T154" s="30" t="s">
        <v>1691</v>
      </c>
      <c r="U154" s="29">
        <v>2017</v>
      </c>
    </row>
    <row r="155" spans="1:39" s="1" customFormat="1" ht="30" customHeight="1" x14ac:dyDescent="0.2">
      <c r="A155" s="1">
        <v>153</v>
      </c>
      <c r="B155" s="30">
        <v>180141400</v>
      </c>
      <c r="C155" s="29" t="s">
        <v>1649</v>
      </c>
      <c r="D155" s="30" t="s">
        <v>189</v>
      </c>
      <c r="E155" s="29" t="s">
        <v>1650</v>
      </c>
      <c r="F155" s="30" t="s">
        <v>1650</v>
      </c>
      <c r="G155" s="29">
        <v>3470</v>
      </c>
      <c r="H155" s="29" t="s">
        <v>2557</v>
      </c>
      <c r="I155" s="29" t="s">
        <v>2558</v>
      </c>
      <c r="J155" s="30" t="s">
        <v>1651</v>
      </c>
      <c r="K155" s="30" t="s">
        <v>1652</v>
      </c>
      <c r="L155" s="30" t="s">
        <v>1653</v>
      </c>
      <c r="M155" s="30" t="s">
        <v>1654</v>
      </c>
      <c r="N155" s="29" t="s">
        <v>6</v>
      </c>
      <c r="O155" s="30" t="s">
        <v>1652</v>
      </c>
      <c r="P155" s="30" t="s">
        <v>1653</v>
      </c>
      <c r="Q155" s="30" t="s">
        <v>1655</v>
      </c>
      <c r="R155" s="30" t="s">
        <v>17</v>
      </c>
      <c r="S155" s="30" t="s">
        <v>1656</v>
      </c>
      <c r="T155" s="30" t="s">
        <v>1657</v>
      </c>
      <c r="U155" s="29">
        <v>2016</v>
      </c>
    </row>
    <row r="156" spans="1:39" s="1" customFormat="1" ht="30" customHeight="1" x14ac:dyDescent="0.2">
      <c r="A156" s="1">
        <v>154</v>
      </c>
      <c r="B156" s="30">
        <v>180141500</v>
      </c>
      <c r="C156" s="29" t="s">
        <v>955</v>
      </c>
      <c r="D156" s="30" t="s">
        <v>189</v>
      </c>
      <c r="E156" s="29" t="s">
        <v>956</v>
      </c>
      <c r="F156" s="30" t="s">
        <v>956</v>
      </c>
      <c r="G156" s="29">
        <v>3230</v>
      </c>
      <c r="H156" s="29" t="s">
        <v>2557</v>
      </c>
      <c r="I156" s="29" t="s">
        <v>2558</v>
      </c>
      <c r="J156" s="30" t="s">
        <v>957</v>
      </c>
      <c r="K156" s="30">
        <v>3772425037</v>
      </c>
      <c r="L156" s="30" t="s">
        <v>958</v>
      </c>
      <c r="M156" s="30" t="s">
        <v>959</v>
      </c>
      <c r="N156" s="29" t="s">
        <v>6</v>
      </c>
      <c r="O156" s="30">
        <v>3772634900</v>
      </c>
      <c r="P156" s="30" t="s">
        <v>960</v>
      </c>
      <c r="Q156" s="30" t="s">
        <v>961</v>
      </c>
      <c r="R156" s="30" t="s">
        <v>17</v>
      </c>
      <c r="S156" s="30">
        <v>3772526258</v>
      </c>
      <c r="T156" s="30" t="s">
        <v>962</v>
      </c>
      <c r="U156" s="29">
        <v>2016</v>
      </c>
      <c r="AL156" s="3"/>
      <c r="AM156" s="3"/>
    </row>
    <row r="157" spans="1:39" s="1" customFormat="1" ht="30" customHeight="1" x14ac:dyDescent="0.2">
      <c r="A157" s="1">
        <v>155</v>
      </c>
      <c r="B157" s="30">
        <v>180143000</v>
      </c>
      <c r="C157" s="29" t="s">
        <v>188</v>
      </c>
      <c r="D157" s="30" t="s">
        <v>189</v>
      </c>
      <c r="E157" s="29" t="s">
        <v>189</v>
      </c>
      <c r="F157" s="30" t="s">
        <v>189</v>
      </c>
      <c r="G157" s="29">
        <v>3400</v>
      </c>
      <c r="H157" s="29" t="s">
        <v>2518</v>
      </c>
      <c r="I157" s="29" t="s">
        <v>2519</v>
      </c>
      <c r="J157" s="30" t="s">
        <v>190</v>
      </c>
      <c r="K157" s="30"/>
      <c r="L157" s="30" t="s">
        <v>187</v>
      </c>
      <c r="M157" s="30" t="s">
        <v>191</v>
      </c>
      <c r="N157" s="29" t="s">
        <v>6</v>
      </c>
      <c r="O157" s="30">
        <v>3794340448</v>
      </c>
      <c r="P157" s="30" t="s">
        <v>187</v>
      </c>
      <c r="Q157" s="30" t="s">
        <v>192</v>
      </c>
      <c r="R157" s="30" t="s">
        <v>8</v>
      </c>
      <c r="S157" s="30">
        <v>3794569700</v>
      </c>
      <c r="T157" s="30" t="s">
        <v>193</v>
      </c>
      <c r="U157" s="29">
        <v>2016</v>
      </c>
    </row>
    <row r="158" spans="1:39" s="1" customFormat="1" ht="30" customHeight="1" x14ac:dyDescent="0.2">
      <c r="A158" s="1">
        <v>156</v>
      </c>
      <c r="B158" s="30">
        <v>180145100</v>
      </c>
      <c r="C158" s="29" t="s">
        <v>1587</v>
      </c>
      <c r="D158" s="30" t="s">
        <v>189</v>
      </c>
      <c r="E158" s="29" t="s">
        <v>2216</v>
      </c>
      <c r="F158" s="30" t="s">
        <v>2216</v>
      </c>
      <c r="G158" s="29">
        <v>3418</v>
      </c>
      <c r="H158" s="29" t="s">
        <v>2557</v>
      </c>
      <c r="I158" s="29" t="s">
        <v>2558</v>
      </c>
      <c r="J158" s="30" t="s">
        <v>2217</v>
      </c>
      <c r="K158" s="30">
        <v>3794751341</v>
      </c>
      <c r="L158" s="30" t="s">
        <v>1588</v>
      </c>
      <c r="M158" s="30" t="s">
        <v>2218</v>
      </c>
      <c r="N158" s="29" t="s">
        <v>6</v>
      </c>
      <c r="O158" s="30">
        <v>3794751341</v>
      </c>
      <c r="P158" s="30" t="s">
        <v>1588</v>
      </c>
      <c r="Q158" s="30" t="s">
        <v>1589</v>
      </c>
      <c r="R158" s="30" t="s">
        <v>17</v>
      </c>
      <c r="S158" s="30">
        <v>3624741038</v>
      </c>
      <c r="T158" s="30" t="s">
        <v>1590</v>
      </c>
      <c r="U158" s="29">
        <v>2018</v>
      </c>
      <c r="AL158" s="3"/>
      <c r="AM158" s="3"/>
    </row>
    <row r="159" spans="1:39" s="1" customFormat="1" ht="30" customHeight="1" x14ac:dyDescent="0.2">
      <c r="A159" s="1">
        <v>157</v>
      </c>
      <c r="B159" s="30">
        <v>180146600</v>
      </c>
      <c r="C159" s="29" t="s">
        <v>1844</v>
      </c>
      <c r="D159" s="30" t="s">
        <v>189</v>
      </c>
      <c r="E159" s="29" t="s">
        <v>2786</v>
      </c>
      <c r="F159" s="30" t="s">
        <v>2786</v>
      </c>
      <c r="G159" s="29">
        <v>3448</v>
      </c>
      <c r="H159" s="29" t="s">
        <v>2557</v>
      </c>
      <c r="I159" s="29" t="s">
        <v>2558</v>
      </c>
      <c r="J159" s="30" t="s">
        <v>1845</v>
      </c>
      <c r="K159" s="30" t="s">
        <v>1846</v>
      </c>
      <c r="L159" s="30" t="s">
        <v>1847</v>
      </c>
      <c r="M159" s="30" t="s">
        <v>1848</v>
      </c>
      <c r="N159" s="29" t="s">
        <v>6</v>
      </c>
      <c r="O159" s="30">
        <v>3777672098</v>
      </c>
      <c r="P159" s="30" t="s">
        <v>1849</v>
      </c>
      <c r="Q159" s="30" t="s">
        <v>1850</v>
      </c>
      <c r="R159" s="30" t="s">
        <v>17</v>
      </c>
      <c r="S159" s="30" t="s">
        <v>1846</v>
      </c>
      <c r="T159" s="30" t="s">
        <v>1851</v>
      </c>
      <c r="U159" s="29">
        <v>2016</v>
      </c>
    </row>
    <row r="160" spans="1:39" s="1" customFormat="1" ht="30" customHeight="1" x14ac:dyDescent="0.2">
      <c r="A160" s="1">
        <v>158</v>
      </c>
      <c r="B160" s="30">
        <v>180146700</v>
      </c>
      <c r="C160" s="29" t="s">
        <v>1758</v>
      </c>
      <c r="D160" s="30" t="s">
        <v>189</v>
      </c>
      <c r="E160" s="29" t="s">
        <v>1759</v>
      </c>
      <c r="F160" s="30" t="s">
        <v>1759</v>
      </c>
      <c r="G160" s="29">
        <v>3420</v>
      </c>
      <c r="H160" s="29" t="s">
        <v>2557</v>
      </c>
      <c r="I160" s="29" t="s">
        <v>2557</v>
      </c>
      <c r="J160" s="30" t="s">
        <v>1760</v>
      </c>
      <c r="K160" s="30">
        <v>3782610173</v>
      </c>
      <c r="L160" s="30" t="s">
        <v>1761</v>
      </c>
      <c r="M160" s="30" t="s">
        <v>1762</v>
      </c>
      <c r="N160" s="29" t="s">
        <v>6</v>
      </c>
      <c r="O160" s="30">
        <v>3782610173</v>
      </c>
      <c r="P160" s="30" t="s">
        <v>1761</v>
      </c>
      <c r="Q160" s="30" t="s">
        <v>1763</v>
      </c>
      <c r="R160" s="30" t="s">
        <v>17</v>
      </c>
      <c r="S160" s="30">
        <v>3782520903</v>
      </c>
      <c r="T160" s="30" t="s">
        <v>1764</v>
      </c>
      <c r="U160" s="29">
        <v>2016</v>
      </c>
      <c r="AL160" s="3"/>
      <c r="AM160" s="3"/>
    </row>
    <row r="161" spans="1:39" s="1" customFormat="1" ht="30" customHeight="1" x14ac:dyDescent="0.2">
      <c r="A161" s="1">
        <v>159</v>
      </c>
      <c r="B161" s="30">
        <v>180176500</v>
      </c>
      <c r="C161" s="29" t="s">
        <v>1004</v>
      </c>
      <c r="D161" s="30" t="s">
        <v>189</v>
      </c>
      <c r="E161" s="29" t="s">
        <v>2602</v>
      </c>
      <c r="F161" s="30" t="s">
        <v>2804</v>
      </c>
      <c r="G161" s="29">
        <v>3407</v>
      </c>
      <c r="H161" s="29" t="s">
        <v>2557</v>
      </c>
      <c r="I161" s="29" t="s">
        <v>2557</v>
      </c>
      <c r="J161" s="30" t="s">
        <v>1005</v>
      </c>
      <c r="K161" s="30">
        <v>3781484877</v>
      </c>
      <c r="L161" s="30" t="s">
        <v>1003</v>
      </c>
      <c r="M161" s="30" t="s">
        <v>1006</v>
      </c>
      <c r="N161" s="29" t="s">
        <v>6</v>
      </c>
      <c r="O161" s="30">
        <v>3781484877</v>
      </c>
      <c r="P161" s="30" t="s">
        <v>1007</v>
      </c>
      <c r="Q161" s="30" t="s">
        <v>1008</v>
      </c>
      <c r="R161" s="30" t="s">
        <v>98</v>
      </c>
      <c r="S161" s="30">
        <v>3795305794</v>
      </c>
      <c r="T161" s="30" t="s">
        <v>1009</v>
      </c>
      <c r="U161" s="29">
        <v>2019</v>
      </c>
    </row>
    <row r="162" spans="1:39" s="1" customFormat="1" ht="30" customHeight="1" x14ac:dyDescent="0.2">
      <c r="A162" s="1">
        <v>160</v>
      </c>
      <c r="B162" s="30">
        <v>180176600</v>
      </c>
      <c r="C162" s="29" t="s">
        <v>1715</v>
      </c>
      <c r="D162" s="30" t="s">
        <v>189</v>
      </c>
      <c r="E162" s="29" t="s">
        <v>2043</v>
      </c>
      <c r="F162" s="30" t="s">
        <v>2236</v>
      </c>
      <c r="G162" s="29">
        <v>3440</v>
      </c>
      <c r="H162" s="29" t="s">
        <v>2557</v>
      </c>
      <c r="I162" s="29" t="s">
        <v>2557</v>
      </c>
      <c r="J162" s="30" t="s">
        <v>1716</v>
      </c>
      <c r="K162" s="30"/>
      <c r="L162" s="30" t="s">
        <v>1717</v>
      </c>
      <c r="M162" s="30" t="s">
        <v>1718</v>
      </c>
      <c r="N162" s="29" t="s">
        <v>6</v>
      </c>
      <c r="O162" s="30" t="s">
        <v>2931</v>
      </c>
      <c r="P162" s="30" t="s">
        <v>1720</v>
      </c>
      <c r="Q162" s="30" t="s">
        <v>1721</v>
      </c>
      <c r="R162" s="30" t="s">
        <v>17</v>
      </c>
      <c r="S162" s="30">
        <v>3777540532</v>
      </c>
      <c r="T162" s="30" t="s">
        <v>1714</v>
      </c>
      <c r="U162" s="29">
        <v>2017</v>
      </c>
    </row>
    <row r="163" spans="1:39" s="1" customFormat="1" ht="30" customHeight="1" x14ac:dyDescent="0.2">
      <c r="A163" s="1">
        <v>161</v>
      </c>
      <c r="B163" s="30">
        <v>180182900</v>
      </c>
      <c r="C163" s="29" t="s">
        <v>2232</v>
      </c>
      <c r="D163" s="30" t="s">
        <v>189</v>
      </c>
      <c r="E163" s="29" t="s">
        <v>2818</v>
      </c>
      <c r="F163" s="30" t="s">
        <v>2818</v>
      </c>
      <c r="G163" s="29">
        <v>3414</v>
      </c>
      <c r="H163" s="29" t="s">
        <v>2557</v>
      </c>
      <c r="I163" s="29" t="s">
        <v>2558</v>
      </c>
      <c r="J163" s="30" t="s">
        <v>1701</v>
      </c>
      <c r="K163" s="30" t="s">
        <v>1702</v>
      </c>
      <c r="L163" s="30" t="s">
        <v>1700</v>
      </c>
      <c r="M163" s="30" t="s">
        <v>2234</v>
      </c>
      <c r="N163" s="29" t="s">
        <v>6</v>
      </c>
      <c r="O163" s="30">
        <v>3794221455</v>
      </c>
      <c r="P163" s="30" t="s">
        <v>1700</v>
      </c>
      <c r="Q163" s="30" t="s">
        <v>2235</v>
      </c>
      <c r="R163" s="30" t="s">
        <v>17</v>
      </c>
      <c r="S163" s="30">
        <v>3794356946</v>
      </c>
      <c r="T163" s="30" t="s">
        <v>1703</v>
      </c>
      <c r="U163" s="29">
        <v>2019</v>
      </c>
    </row>
    <row r="164" spans="1:39" s="1" customFormat="1" ht="30" customHeight="1" x14ac:dyDescent="0.2">
      <c r="A164" s="1">
        <v>162</v>
      </c>
      <c r="B164" s="30">
        <v>220089900</v>
      </c>
      <c r="C164" s="29" t="s">
        <v>1108</v>
      </c>
      <c r="D164" s="29" t="s">
        <v>2827</v>
      </c>
      <c r="E164" s="29" t="s">
        <v>2771</v>
      </c>
      <c r="F164" s="30" t="s">
        <v>22</v>
      </c>
      <c r="G164" s="29">
        <v>3500</v>
      </c>
      <c r="H164" s="29" t="s">
        <v>2557</v>
      </c>
      <c r="I164" s="29" t="s">
        <v>2519</v>
      </c>
      <c r="J164" s="30" t="s">
        <v>1109</v>
      </c>
      <c r="K164" s="30">
        <v>3624702042</v>
      </c>
      <c r="L164" s="30" t="s">
        <v>1107</v>
      </c>
      <c r="M164" s="30" t="s">
        <v>1110</v>
      </c>
      <c r="N164" s="29" t="s">
        <v>33</v>
      </c>
      <c r="O164" s="30">
        <v>3624702042</v>
      </c>
      <c r="P164" s="30" t="s">
        <v>1111</v>
      </c>
      <c r="Q164" s="30" t="s">
        <v>1112</v>
      </c>
      <c r="R164" s="30" t="s">
        <v>8</v>
      </c>
      <c r="S164" s="30" t="s">
        <v>1113</v>
      </c>
      <c r="T164" s="30" t="s">
        <v>1114</v>
      </c>
      <c r="U164" s="29">
        <v>2016</v>
      </c>
      <c r="AL164" s="3"/>
      <c r="AM164" s="3"/>
    </row>
    <row r="165" spans="1:39" s="1" customFormat="1" ht="30" customHeight="1" x14ac:dyDescent="0.2">
      <c r="A165" s="1">
        <v>163</v>
      </c>
      <c r="B165" s="30">
        <v>220089901</v>
      </c>
      <c r="C165" s="29" t="s">
        <v>1116</v>
      </c>
      <c r="D165" s="29" t="s">
        <v>2827</v>
      </c>
      <c r="E165" s="29" t="s">
        <v>2882</v>
      </c>
      <c r="F165" s="30" t="s">
        <v>1117</v>
      </c>
      <c r="G165" s="29">
        <v>3700</v>
      </c>
      <c r="H165" s="29" t="s">
        <v>2557</v>
      </c>
      <c r="I165" s="29" t="s">
        <v>2519</v>
      </c>
      <c r="J165" s="30" t="s">
        <v>1118</v>
      </c>
      <c r="K165" s="30">
        <v>3624702042</v>
      </c>
      <c r="L165" s="30" t="s">
        <v>1107</v>
      </c>
      <c r="M165" s="30" t="s">
        <v>1110</v>
      </c>
      <c r="N165" s="29" t="s">
        <v>33</v>
      </c>
      <c r="O165" s="30">
        <v>3624702042</v>
      </c>
      <c r="P165" s="30" t="s">
        <v>1111</v>
      </c>
      <c r="Q165" s="30" t="s">
        <v>1112</v>
      </c>
      <c r="R165" s="30" t="s">
        <v>8</v>
      </c>
      <c r="S165" s="30" t="s">
        <v>1113</v>
      </c>
      <c r="T165" s="30" t="s">
        <v>1114</v>
      </c>
      <c r="U165" s="29">
        <v>2022</v>
      </c>
    </row>
    <row r="166" spans="1:39" s="1" customFormat="1" ht="30" customHeight="1" x14ac:dyDescent="0.2">
      <c r="A166" s="1">
        <v>164</v>
      </c>
      <c r="B166" s="30">
        <v>220089902</v>
      </c>
      <c r="C166" s="29" t="s">
        <v>1120</v>
      </c>
      <c r="D166" s="29" t="s">
        <v>2827</v>
      </c>
      <c r="E166" s="29" t="s">
        <v>2883</v>
      </c>
      <c r="F166" s="30" t="s">
        <v>1121</v>
      </c>
      <c r="G166" s="29">
        <v>3531</v>
      </c>
      <c r="H166" s="29" t="s">
        <v>2557</v>
      </c>
      <c r="I166" s="29" t="s">
        <v>2519</v>
      </c>
      <c r="J166" s="30" t="s">
        <v>1122</v>
      </c>
      <c r="K166" s="30">
        <v>3624702042</v>
      </c>
      <c r="L166" s="30" t="s">
        <v>1107</v>
      </c>
      <c r="M166" s="30" t="s">
        <v>1110</v>
      </c>
      <c r="N166" s="29" t="s">
        <v>33</v>
      </c>
      <c r="O166" s="30">
        <v>3624702042</v>
      </c>
      <c r="P166" s="30" t="s">
        <v>1111</v>
      </c>
      <c r="Q166" s="30" t="s">
        <v>1112</v>
      </c>
      <c r="R166" s="30" t="s">
        <v>8</v>
      </c>
      <c r="S166" s="30" t="s">
        <v>1113</v>
      </c>
      <c r="T166" s="30" t="s">
        <v>1114</v>
      </c>
      <c r="U166" s="29">
        <v>2017</v>
      </c>
    </row>
    <row r="167" spans="1:39" s="1" customFormat="1" ht="30" customHeight="1" x14ac:dyDescent="0.2">
      <c r="A167" s="1">
        <v>165</v>
      </c>
      <c r="B167" s="30">
        <v>220089903</v>
      </c>
      <c r="C167" s="29" t="s">
        <v>1124</v>
      </c>
      <c r="D167" s="29" t="s">
        <v>2827</v>
      </c>
      <c r="E167" s="29" t="s">
        <v>2884</v>
      </c>
      <c r="F167" s="30" t="s">
        <v>1125</v>
      </c>
      <c r="G167" s="29">
        <v>3540</v>
      </c>
      <c r="H167" s="29" t="s">
        <v>2557</v>
      </c>
      <c r="I167" s="29" t="s">
        <v>2519</v>
      </c>
      <c r="J167" s="30" t="s">
        <v>1126</v>
      </c>
      <c r="K167" s="30">
        <v>3624702042</v>
      </c>
      <c r="L167" s="30" t="s">
        <v>1107</v>
      </c>
      <c r="M167" s="30" t="s">
        <v>1110</v>
      </c>
      <c r="N167" s="29" t="s">
        <v>33</v>
      </c>
      <c r="O167" s="30">
        <v>3624702042</v>
      </c>
      <c r="P167" s="30" t="s">
        <v>1111</v>
      </c>
      <c r="Q167" s="30" t="s">
        <v>1112</v>
      </c>
      <c r="R167" s="30" t="s">
        <v>8</v>
      </c>
      <c r="S167" s="30" t="s">
        <v>1113</v>
      </c>
      <c r="T167" s="30" t="s">
        <v>1114</v>
      </c>
      <c r="U167" s="29">
        <v>2017</v>
      </c>
    </row>
    <row r="168" spans="1:39" s="1" customFormat="1" ht="30" customHeight="1" x14ac:dyDescent="0.2">
      <c r="A168" s="1">
        <v>166</v>
      </c>
      <c r="B168" s="30">
        <v>220089904</v>
      </c>
      <c r="C168" s="29" t="s">
        <v>1128</v>
      </c>
      <c r="D168" s="29" t="s">
        <v>2827</v>
      </c>
      <c r="E168" s="29" t="s">
        <v>2885</v>
      </c>
      <c r="F168" s="30" t="s">
        <v>1129</v>
      </c>
      <c r="G168" s="29">
        <v>3705</v>
      </c>
      <c r="H168" s="29" t="s">
        <v>2557</v>
      </c>
      <c r="I168" s="29" t="s">
        <v>2519</v>
      </c>
      <c r="J168" s="30" t="s">
        <v>1130</v>
      </c>
      <c r="K168" s="30">
        <v>3624702042</v>
      </c>
      <c r="L168" s="30" t="s">
        <v>1107</v>
      </c>
      <c r="M168" s="30" t="s">
        <v>1110</v>
      </c>
      <c r="N168" s="29" t="s">
        <v>33</v>
      </c>
      <c r="O168" s="30">
        <v>3624702042</v>
      </c>
      <c r="P168" s="30" t="s">
        <v>1111</v>
      </c>
      <c r="Q168" s="30" t="s">
        <v>1112</v>
      </c>
      <c r="R168" s="30" t="s">
        <v>8</v>
      </c>
      <c r="S168" s="30" t="s">
        <v>1113</v>
      </c>
      <c r="T168" s="30" t="s">
        <v>1114</v>
      </c>
      <c r="U168" s="29">
        <v>2017</v>
      </c>
      <c r="AL168" s="3"/>
      <c r="AM168" s="3"/>
    </row>
    <row r="169" spans="1:39" s="1" customFormat="1" ht="30" customHeight="1" x14ac:dyDescent="0.2">
      <c r="A169" s="1">
        <v>167</v>
      </c>
      <c r="B169" s="30">
        <v>220089905</v>
      </c>
      <c r="C169" s="29" t="s">
        <v>1131</v>
      </c>
      <c r="D169" s="29" t="s">
        <v>2827</v>
      </c>
      <c r="E169" s="29" t="s">
        <v>2886</v>
      </c>
      <c r="F169" s="30" t="s">
        <v>1132</v>
      </c>
      <c r="G169" s="29">
        <v>3505</v>
      </c>
      <c r="H169" s="29" t="s">
        <v>2557</v>
      </c>
      <c r="I169" s="29" t="s">
        <v>2519</v>
      </c>
      <c r="J169" s="30" t="s">
        <v>1133</v>
      </c>
      <c r="K169" s="30">
        <v>3624702042</v>
      </c>
      <c r="L169" s="30" t="s">
        <v>1107</v>
      </c>
      <c r="M169" s="30" t="s">
        <v>1110</v>
      </c>
      <c r="N169" s="29" t="s">
        <v>33</v>
      </c>
      <c r="O169" s="30">
        <v>3624702042</v>
      </c>
      <c r="P169" s="30" t="s">
        <v>1111</v>
      </c>
      <c r="Q169" s="30" t="s">
        <v>1134</v>
      </c>
      <c r="R169" s="30" t="s">
        <v>17</v>
      </c>
      <c r="S169" s="30">
        <v>3624768071</v>
      </c>
      <c r="T169" s="30" t="s">
        <v>1135</v>
      </c>
      <c r="U169" s="29">
        <v>2017</v>
      </c>
    </row>
    <row r="170" spans="1:39" s="1" customFormat="1" ht="30" customHeight="1" x14ac:dyDescent="0.2">
      <c r="A170" s="1">
        <v>168</v>
      </c>
      <c r="B170" s="30">
        <v>220089907</v>
      </c>
      <c r="C170" s="29" t="s">
        <v>1136</v>
      </c>
      <c r="D170" s="29" t="s">
        <v>2827</v>
      </c>
      <c r="E170" s="29" t="s">
        <v>1461</v>
      </c>
      <c r="F170" s="30" t="s">
        <v>1137</v>
      </c>
      <c r="G170" s="29">
        <v>3730</v>
      </c>
      <c r="H170" s="29" t="s">
        <v>2557</v>
      </c>
      <c r="I170" s="29" t="s">
        <v>2519</v>
      </c>
      <c r="J170" s="30" t="s">
        <v>1138</v>
      </c>
      <c r="K170" s="30">
        <v>3624702042</v>
      </c>
      <c r="L170" s="30" t="s">
        <v>1107</v>
      </c>
      <c r="M170" s="30" t="s">
        <v>1110</v>
      </c>
      <c r="N170" s="29" t="s">
        <v>33</v>
      </c>
      <c r="O170" s="30">
        <v>3624702042</v>
      </c>
      <c r="P170" s="30" t="s">
        <v>1111</v>
      </c>
      <c r="Q170" s="30" t="s">
        <v>1112</v>
      </c>
      <c r="R170" s="30" t="s">
        <v>8</v>
      </c>
      <c r="S170" s="30" t="s">
        <v>1113</v>
      </c>
      <c r="T170" s="30" t="s">
        <v>1114</v>
      </c>
      <c r="U170" s="29">
        <v>2023</v>
      </c>
    </row>
    <row r="171" spans="1:39" s="1" customFormat="1" ht="30" customHeight="1" x14ac:dyDescent="0.2">
      <c r="A171" s="1">
        <v>169</v>
      </c>
      <c r="B171" s="30">
        <v>220089908</v>
      </c>
      <c r="C171" s="29" t="s">
        <v>1139</v>
      </c>
      <c r="D171" s="29" t="s">
        <v>2827</v>
      </c>
      <c r="E171" s="29" t="s">
        <v>2885</v>
      </c>
      <c r="F171" s="30" t="s">
        <v>1140</v>
      </c>
      <c r="G171" s="29">
        <v>3705</v>
      </c>
      <c r="H171" s="29" t="s">
        <v>2557</v>
      </c>
      <c r="I171" s="29" t="s">
        <v>2519</v>
      </c>
      <c r="J171" s="30" t="s">
        <v>1141</v>
      </c>
      <c r="K171" s="30">
        <v>3624702042</v>
      </c>
      <c r="L171" s="30" t="s">
        <v>1107</v>
      </c>
      <c r="M171" s="30" t="s">
        <v>1110</v>
      </c>
      <c r="N171" s="29" t="s">
        <v>33</v>
      </c>
      <c r="O171" s="30">
        <v>3624702042</v>
      </c>
      <c r="P171" s="30" t="s">
        <v>1111</v>
      </c>
      <c r="Q171" s="30" t="s">
        <v>1112</v>
      </c>
      <c r="R171" s="30" t="s">
        <v>8</v>
      </c>
      <c r="S171" s="30" t="s">
        <v>1113</v>
      </c>
      <c r="T171" s="30" t="s">
        <v>1114</v>
      </c>
      <c r="U171" s="29">
        <v>2023</v>
      </c>
    </row>
    <row r="172" spans="1:39" s="1" customFormat="1" ht="30" customHeight="1" x14ac:dyDescent="0.2">
      <c r="A172" s="1">
        <v>170</v>
      </c>
      <c r="B172" s="30">
        <v>220089909</v>
      </c>
      <c r="C172" s="29" t="s">
        <v>1143</v>
      </c>
      <c r="D172" s="29" t="s">
        <v>2827</v>
      </c>
      <c r="E172" s="29" t="s">
        <v>2887</v>
      </c>
      <c r="F172" s="30" t="s">
        <v>1144</v>
      </c>
      <c r="G172" s="29">
        <v>3524</v>
      </c>
      <c r="H172" s="29" t="s">
        <v>2557</v>
      </c>
      <c r="I172" s="29" t="s">
        <v>2519</v>
      </c>
      <c r="J172" s="30" t="s">
        <v>1145</v>
      </c>
      <c r="K172" s="30">
        <v>3624702042</v>
      </c>
      <c r="L172" s="30" t="s">
        <v>1107</v>
      </c>
      <c r="M172" s="30" t="s">
        <v>1110</v>
      </c>
      <c r="N172" s="29" t="s">
        <v>33</v>
      </c>
      <c r="O172" s="30">
        <v>3624702042</v>
      </c>
      <c r="P172" s="30" t="s">
        <v>1111</v>
      </c>
      <c r="Q172" s="30" t="s">
        <v>1112</v>
      </c>
      <c r="R172" s="30" t="s">
        <v>8</v>
      </c>
      <c r="S172" s="30" t="s">
        <v>1113</v>
      </c>
      <c r="T172" s="30" t="s">
        <v>1114</v>
      </c>
      <c r="U172" s="29">
        <v>2023</v>
      </c>
      <c r="AL172" s="3"/>
      <c r="AM172" s="3"/>
    </row>
    <row r="173" spans="1:39" s="1" customFormat="1" ht="30" customHeight="1" x14ac:dyDescent="0.2">
      <c r="A173" s="1">
        <v>171</v>
      </c>
      <c r="B173" s="30">
        <v>220089910</v>
      </c>
      <c r="C173" s="29" t="s">
        <v>1147</v>
      </c>
      <c r="D173" s="29" t="s">
        <v>2827</v>
      </c>
      <c r="E173" s="29" t="s">
        <v>2888</v>
      </c>
      <c r="F173" s="30" t="s">
        <v>1148</v>
      </c>
      <c r="G173" s="29">
        <v>3515</v>
      </c>
      <c r="H173" s="29" t="s">
        <v>2557</v>
      </c>
      <c r="I173" s="29" t="s">
        <v>2519</v>
      </c>
      <c r="J173" s="30" t="s">
        <v>1149</v>
      </c>
      <c r="K173" s="30">
        <v>3624702042</v>
      </c>
      <c r="L173" s="30" t="s">
        <v>1107</v>
      </c>
      <c r="M173" s="30" t="s">
        <v>1110</v>
      </c>
      <c r="N173" s="29" t="s">
        <v>33</v>
      </c>
      <c r="O173" s="30">
        <v>3624702042</v>
      </c>
      <c r="P173" s="30" t="s">
        <v>1111</v>
      </c>
      <c r="Q173" s="30" t="s">
        <v>1112</v>
      </c>
      <c r="R173" s="30" t="s">
        <v>8</v>
      </c>
      <c r="S173" s="30" t="s">
        <v>1113</v>
      </c>
      <c r="T173" s="30" t="s">
        <v>1114</v>
      </c>
      <c r="U173" s="29">
        <v>2023</v>
      </c>
    </row>
    <row r="174" spans="1:39" s="1" customFormat="1" ht="30" customHeight="1" x14ac:dyDescent="0.2">
      <c r="A174" s="1">
        <v>172</v>
      </c>
      <c r="B174" s="30">
        <v>220089911</v>
      </c>
      <c r="C174" s="29" t="s">
        <v>1150</v>
      </c>
      <c r="D174" s="29" t="s">
        <v>2827</v>
      </c>
      <c r="E174" s="29" t="s">
        <v>2207</v>
      </c>
      <c r="F174" s="30" t="s">
        <v>2131</v>
      </c>
      <c r="G174" s="29">
        <v>3509</v>
      </c>
      <c r="H174" s="29" t="s">
        <v>2557</v>
      </c>
      <c r="I174" s="29" t="s">
        <v>2519</v>
      </c>
      <c r="J174" s="30" t="s">
        <v>1151</v>
      </c>
      <c r="K174" s="30">
        <v>3624702042</v>
      </c>
      <c r="L174" s="30" t="s">
        <v>1107</v>
      </c>
      <c r="M174" s="30" t="s">
        <v>1110</v>
      </c>
      <c r="N174" s="29" t="s">
        <v>33</v>
      </c>
      <c r="O174" s="30">
        <v>3624702042</v>
      </c>
      <c r="P174" s="30" t="s">
        <v>1111</v>
      </c>
      <c r="Q174" s="30" t="s">
        <v>1134</v>
      </c>
      <c r="R174" s="30" t="s">
        <v>17</v>
      </c>
      <c r="S174" s="30">
        <v>3624768071</v>
      </c>
      <c r="T174" s="30" t="s">
        <v>1135</v>
      </c>
      <c r="U174" s="29">
        <v>2023</v>
      </c>
    </row>
    <row r="175" spans="1:39" s="1" customFormat="1" ht="30" customHeight="1" x14ac:dyDescent="0.2">
      <c r="A175" s="1">
        <v>173</v>
      </c>
      <c r="B175" s="30">
        <v>220178400</v>
      </c>
      <c r="C175" s="29" t="s">
        <v>21</v>
      </c>
      <c r="D175" s="29" t="s">
        <v>2827</v>
      </c>
      <c r="E175" s="29" t="s">
        <v>2771</v>
      </c>
      <c r="F175" s="30" t="s">
        <v>22</v>
      </c>
      <c r="G175" s="29">
        <v>3500</v>
      </c>
      <c r="H175" s="29" t="s">
        <v>2518</v>
      </c>
      <c r="I175" s="29" t="s">
        <v>2519</v>
      </c>
      <c r="J175" s="30" t="s">
        <v>23</v>
      </c>
      <c r="K175" s="30">
        <v>3624603455</v>
      </c>
      <c r="L175" s="30" t="s">
        <v>24</v>
      </c>
      <c r="M175" s="30" t="s">
        <v>25</v>
      </c>
      <c r="N175" s="29" t="s">
        <v>6</v>
      </c>
      <c r="O175" s="30">
        <v>3624603455</v>
      </c>
      <c r="P175" s="30" t="s">
        <v>20</v>
      </c>
      <c r="Q175" s="30" t="s">
        <v>26</v>
      </c>
      <c r="R175" s="30" t="s">
        <v>27</v>
      </c>
      <c r="S175" s="30">
        <v>3794905600</v>
      </c>
      <c r="T175" s="30" t="s">
        <v>24</v>
      </c>
      <c r="U175" s="29">
        <v>2025</v>
      </c>
    </row>
    <row r="176" spans="1:39" s="1" customFormat="1" ht="30" customHeight="1" x14ac:dyDescent="0.2">
      <c r="A176" s="1">
        <v>174</v>
      </c>
      <c r="B176" s="30">
        <v>260061100</v>
      </c>
      <c r="C176" s="29" t="s">
        <v>3011</v>
      </c>
      <c r="D176" s="29" t="s">
        <v>3009</v>
      </c>
      <c r="E176" s="29" t="s">
        <v>3024</v>
      </c>
      <c r="F176" s="30" t="s">
        <v>3012</v>
      </c>
      <c r="G176" s="29">
        <v>9100</v>
      </c>
      <c r="H176" s="29" t="s">
        <v>2518</v>
      </c>
      <c r="I176" s="29" t="s">
        <v>2519</v>
      </c>
      <c r="J176" s="30" t="s">
        <v>3013</v>
      </c>
      <c r="K176" s="30">
        <v>2804378522</v>
      </c>
      <c r="L176" s="30" t="s">
        <v>3010</v>
      </c>
      <c r="M176" s="30" t="s">
        <v>3014</v>
      </c>
      <c r="N176" s="29" t="s">
        <v>33</v>
      </c>
      <c r="O176" s="30">
        <v>2804352275</v>
      </c>
      <c r="P176" s="30" t="s">
        <v>3015</v>
      </c>
      <c r="Q176" s="30" t="s">
        <v>3016</v>
      </c>
      <c r="R176" s="30" t="s">
        <v>17</v>
      </c>
      <c r="S176" s="30">
        <v>2894378522</v>
      </c>
      <c r="T176" s="30" t="s">
        <v>3010</v>
      </c>
      <c r="U176" s="29">
        <v>2021</v>
      </c>
    </row>
    <row r="177" spans="1:44" s="1" customFormat="1" ht="30" customHeight="1" x14ac:dyDescent="0.2">
      <c r="A177" s="1">
        <v>175</v>
      </c>
      <c r="B177" s="30">
        <v>260061101</v>
      </c>
      <c r="C177" s="29" t="s">
        <v>3011</v>
      </c>
      <c r="D177" s="29" t="s">
        <v>3009</v>
      </c>
      <c r="E177" s="29" t="s">
        <v>3025</v>
      </c>
      <c r="F177" s="30" t="s">
        <v>3018</v>
      </c>
      <c r="G177" s="29">
        <v>9000</v>
      </c>
      <c r="H177" s="29" t="s">
        <v>2518</v>
      </c>
      <c r="I177" s="29" t="s">
        <v>2519</v>
      </c>
      <c r="J177" s="30" t="s">
        <v>3019</v>
      </c>
      <c r="K177" s="30" t="s">
        <v>3020</v>
      </c>
      <c r="L177" s="30" t="s">
        <v>3010</v>
      </c>
      <c r="M177" s="30" t="s">
        <v>3021</v>
      </c>
      <c r="N177" s="29" t="s">
        <v>33</v>
      </c>
      <c r="O177" s="30">
        <v>2804352275</v>
      </c>
      <c r="P177" s="30" t="s">
        <v>3015</v>
      </c>
      <c r="Q177" s="30" t="s">
        <v>3022</v>
      </c>
      <c r="R177" s="30" t="s">
        <v>17</v>
      </c>
      <c r="S177" s="30">
        <v>2974772880</v>
      </c>
      <c r="T177" s="30" t="s">
        <v>3010</v>
      </c>
      <c r="U177" s="29">
        <v>2023</v>
      </c>
    </row>
    <row r="178" spans="1:44" s="1" customFormat="1" ht="30" customHeight="1" x14ac:dyDescent="0.2">
      <c r="A178" s="1">
        <v>176</v>
      </c>
      <c r="B178" s="30">
        <v>300029300</v>
      </c>
      <c r="C178" s="29" t="s">
        <v>468</v>
      </c>
      <c r="D178" s="29" t="s">
        <v>1393</v>
      </c>
      <c r="E178" s="29" t="s">
        <v>2889</v>
      </c>
      <c r="F178" s="30" t="s">
        <v>2787</v>
      </c>
      <c r="G178" s="29">
        <v>3100</v>
      </c>
      <c r="H178" s="29" t="s">
        <v>2518</v>
      </c>
      <c r="I178" s="29" t="s">
        <v>2519</v>
      </c>
      <c r="J178" s="30" t="s">
        <v>469</v>
      </c>
      <c r="K178" s="30">
        <v>3434310100</v>
      </c>
      <c r="L178" s="30" t="s">
        <v>470</v>
      </c>
      <c r="M178" s="30" t="s">
        <v>471</v>
      </c>
      <c r="N178" s="29" t="s">
        <v>6</v>
      </c>
      <c r="O178" s="30">
        <v>343154257387</v>
      </c>
      <c r="P178" s="30" t="s">
        <v>472</v>
      </c>
      <c r="Q178" s="30" t="s">
        <v>473</v>
      </c>
      <c r="R178" s="30" t="s">
        <v>98</v>
      </c>
      <c r="S178" s="30">
        <v>344515416295</v>
      </c>
      <c r="T178" s="30" t="s">
        <v>474</v>
      </c>
      <c r="U178" s="29">
        <v>2016</v>
      </c>
    </row>
    <row r="179" spans="1:44" s="1" customFormat="1" ht="30" customHeight="1" x14ac:dyDescent="0.2">
      <c r="A179" s="1">
        <v>177</v>
      </c>
      <c r="B179" s="30">
        <v>300078400</v>
      </c>
      <c r="C179" s="29" t="s">
        <v>980</v>
      </c>
      <c r="D179" s="29" t="s">
        <v>1393</v>
      </c>
      <c r="E179" s="29" t="s">
        <v>2889</v>
      </c>
      <c r="F179" s="30" t="s">
        <v>981</v>
      </c>
      <c r="G179" s="29">
        <v>3134</v>
      </c>
      <c r="H179" s="29" t="s">
        <v>2557</v>
      </c>
      <c r="I179" s="29" t="s">
        <v>2519</v>
      </c>
      <c r="J179" s="30" t="s">
        <v>982</v>
      </c>
      <c r="K179" s="30">
        <v>3434930334</v>
      </c>
      <c r="L179" s="30" t="s">
        <v>979</v>
      </c>
      <c r="M179" s="30" t="s">
        <v>983</v>
      </c>
      <c r="N179" s="29" t="s">
        <v>6</v>
      </c>
      <c r="O179" s="30">
        <v>3434467811</v>
      </c>
      <c r="P179" s="30" t="s">
        <v>984</v>
      </c>
      <c r="Q179" s="30" t="s">
        <v>985</v>
      </c>
      <c r="R179" s="30" t="s">
        <v>17</v>
      </c>
      <c r="S179" s="30">
        <v>3435108114</v>
      </c>
      <c r="T179" s="30" t="s">
        <v>986</v>
      </c>
      <c r="U179" s="29">
        <v>2016</v>
      </c>
      <c r="Y179" s="2"/>
    </row>
    <row r="180" spans="1:44" s="1" customFormat="1" ht="30" customHeight="1" x14ac:dyDescent="0.2">
      <c r="A180" s="1">
        <v>178</v>
      </c>
      <c r="B180" s="30">
        <v>300122100</v>
      </c>
      <c r="C180" s="29" t="s">
        <v>1317</v>
      </c>
      <c r="D180" s="29" t="s">
        <v>1393</v>
      </c>
      <c r="E180" s="29" t="s">
        <v>2890</v>
      </c>
      <c r="F180" s="30" t="s">
        <v>2163</v>
      </c>
      <c r="G180" s="29">
        <v>2823</v>
      </c>
      <c r="H180" s="29" t="s">
        <v>2557</v>
      </c>
      <c r="I180" s="29" t="s">
        <v>2558</v>
      </c>
      <c r="J180" s="30" t="s">
        <v>1318</v>
      </c>
      <c r="K180" s="30">
        <v>3446495035</v>
      </c>
      <c r="L180" s="30" t="s">
        <v>1316</v>
      </c>
      <c r="M180" s="30" t="s">
        <v>1319</v>
      </c>
      <c r="N180" s="29" t="s">
        <v>6</v>
      </c>
      <c r="O180" s="30">
        <v>3446592249</v>
      </c>
      <c r="P180" s="30" t="s">
        <v>1320</v>
      </c>
      <c r="Q180" s="30" t="s">
        <v>2164</v>
      </c>
      <c r="R180" s="30" t="s">
        <v>17</v>
      </c>
      <c r="S180" s="30">
        <v>3446558904</v>
      </c>
      <c r="T180" s="30" t="s">
        <v>1321</v>
      </c>
      <c r="U180" s="29">
        <v>2017</v>
      </c>
    </row>
    <row r="181" spans="1:44" s="1" customFormat="1" ht="30" customHeight="1" x14ac:dyDescent="0.2">
      <c r="A181" s="1">
        <v>179</v>
      </c>
      <c r="B181" s="30">
        <v>300129700</v>
      </c>
      <c r="C181" s="29" t="s">
        <v>1382</v>
      </c>
      <c r="D181" s="29" t="s">
        <v>1393</v>
      </c>
      <c r="E181" s="29" t="s">
        <v>2891</v>
      </c>
      <c r="F181" s="30" t="s">
        <v>1383</v>
      </c>
      <c r="G181" s="29">
        <v>3187</v>
      </c>
      <c r="H181" s="29" t="s">
        <v>2557</v>
      </c>
      <c r="I181" s="29" t="s">
        <v>2558</v>
      </c>
      <c r="J181" s="30" t="s">
        <v>1384</v>
      </c>
      <c r="K181" s="30"/>
      <c r="L181" s="30" t="s">
        <v>1381</v>
      </c>
      <c r="M181" s="30" t="s">
        <v>1385</v>
      </c>
      <c r="N181" s="29" t="s">
        <v>6</v>
      </c>
      <c r="O181" s="30">
        <v>3458451738</v>
      </c>
      <c r="P181" s="30" t="s">
        <v>1386</v>
      </c>
      <c r="Q181" s="30" t="s">
        <v>1387</v>
      </c>
      <c r="R181" s="30" t="s">
        <v>17</v>
      </c>
      <c r="S181" s="30">
        <v>3458456405</v>
      </c>
      <c r="T181" s="30" t="s">
        <v>1388</v>
      </c>
      <c r="U181" s="29">
        <v>2022</v>
      </c>
    </row>
    <row r="182" spans="1:44" s="1" customFormat="1" ht="30" customHeight="1" x14ac:dyDescent="0.2">
      <c r="A182" s="1">
        <v>180</v>
      </c>
      <c r="B182" s="30">
        <v>300148300</v>
      </c>
      <c r="C182" s="29" t="s">
        <v>1773</v>
      </c>
      <c r="D182" s="29" t="s">
        <v>1393</v>
      </c>
      <c r="E182" s="29" t="s">
        <v>2892</v>
      </c>
      <c r="F182" s="30" t="s">
        <v>1774</v>
      </c>
      <c r="G182" s="29">
        <v>3174</v>
      </c>
      <c r="H182" s="29" t="s">
        <v>2557</v>
      </c>
      <c r="I182" s="29" t="s">
        <v>2558</v>
      </c>
      <c r="J182" s="30" t="s">
        <v>1775</v>
      </c>
      <c r="K182" s="30">
        <v>3445421836</v>
      </c>
      <c r="L182" s="30" t="s">
        <v>1776</v>
      </c>
      <c r="M182" s="30" t="s">
        <v>1777</v>
      </c>
      <c r="N182" s="29" t="s">
        <v>6</v>
      </c>
      <c r="O182" s="30" t="s">
        <v>1778</v>
      </c>
      <c r="P182" s="30" t="s">
        <v>1779</v>
      </c>
      <c r="Q182" s="30" t="s">
        <v>1780</v>
      </c>
      <c r="R182" s="30" t="s">
        <v>17</v>
      </c>
      <c r="S182" s="30" t="s">
        <v>1781</v>
      </c>
      <c r="T182" s="30" t="s">
        <v>1782</v>
      </c>
      <c r="U182" s="29">
        <v>2016</v>
      </c>
    </row>
    <row r="183" spans="1:44" s="1" customFormat="1" ht="30" customHeight="1" x14ac:dyDescent="0.2">
      <c r="A183" s="1">
        <v>181</v>
      </c>
      <c r="B183" s="30">
        <v>300152300</v>
      </c>
      <c r="C183" s="29" t="s">
        <v>1507</v>
      </c>
      <c r="D183" s="29" t="s">
        <v>1393</v>
      </c>
      <c r="E183" s="29" t="s">
        <v>1508</v>
      </c>
      <c r="F183" s="30" t="s">
        <v>1508</v>
      </c>
      <c r="G183" s="29">
        <v>2820</v>
      </c>
      <c r="H183" s="29" t="s">
        <v>2557</v>
      </c>
      <c r="I183" s="29" t="s">
        <v>2558</v>
      </c>
      <c r="J183" s="30" t="s">
        <v>1509</v>
      </c>
      <c r="K183" s="30" t="s">
        <v>1510</v>
      </c>
      <c r="L183" s="30" t="s">
        <v>1506</v>
      </c>
      <c r="M183" s="30" t="s">
        <v>2204</v>
      </c>
      <c r="N183" s="29" t="s">
        <v>6</v>
      </c>
      <c r="O183" s="30" t="s">
        <v>2205</v>
      </c>
      <c r="P183" s="30" t="s">
        <v>1511</v>
      </c>
      <c r="Q183" s="30" t="s">
        <v>2204</v>
      </c>
      <c r="R183" s="30" t="s">
        <v>6</v>
      </c>
      <c r="S183" s="30" t="s">
        <v>2205</v>
      </c>
      <c r="T183" s="30" t="s">
        <v>1511</v>
      </c>
      <c r="U183" s="29">
        <v>2016</v>
      </c>
    </row>
    <row r="184" spans="1:44" s="1" customFormat="1" ht="30" customHeight="1" x14ac:dyDescent="0.2">
      <c r="A184" s="1">
        <v>182</v>
      </c>
      <c r="B184" s="30">
        <v>300155100</v>
      </c>
      <c r="C184" s="29" t="s">
        <v>1391</v>
      </c>
      <c r="D184" s="29" t="s">
        <v>1393</v>
      </c>
      <c r="E184" s="29" t="s">
        <v>1392</v>
      </c>
      <c r="F184" s="30" t="s">
        <v>1392</v>
      </c>
      <c r="G184" s="29">
        <v>3105</v>
      </c>
      <c r="H184" s="29" t="s">
        <v>2557</v>
      </c>
      <c r="I184" s="29" t="s">
        <v>2519</v>
      </c>
      <c r="J184" s="30" t="s">
        <v>1393</v>
      </c>
      <c r="K184" s="30">
        <v>3433020562</v>
      </c>
      <c r="L184" s="30" t="s">
        <v>1390</v>
      </c>
      <c r="M184" s="30" t="s">
        <v>1394</v>
      </c>
      <c r="N184" s="29" t="s">
        <v>6</v>
      </c>
      <c r="O184" s="30">
        <v>3434620654</v>
      </c>
      <c r="P184" s="30" t="s">
        <v>1395</v>
      </c>
      <c r="Q184" s="30" t="s">
        <v>1396</v>
      </c>
      <c r="R184" s="30" t="s">
        <v>17</v>
      </c>
      <c r="S184" s="30">
        <v>3435364958</v>
      </c>
      <c r="T184" s="30" t="s">
        <v>1397</v>
      </c>
      <c r="U184" s="29">
        <v>2017</v>
      </c>
    </row>
    <row r="185" spans="1:44" s="1" customFormat="1" ht="30" customHeight="1" x14ac:dyDescent="0.2">
      <c r="A185" s="1">
        <v>183</v>
      </c>
      <c r="B185" s="30">
        <v>300164300</v>
      </c>
      <c r="C185" s="29" t="s">
        <v>2088</v>
      </c>
      <c r="D185" s="29" t="s">
        <v>1393</v>
      </c>
      <c r="E185" s="29" t="s">
        <v>728</v>
      </c>
      <c r="F185" s="30" t="s">
        <v>728</v>
      </c>
      <c r="G185" s="29">
        <v>3180</v>
      </c>
      <c r="H185" s="29" t="s">
        <v>2557</v>
      </c>
      <c r="I185" s="29" t="s">
        <v>2558</v>
      </c>
      <c r="J185" s="30" t="s">
        <v>729</v>
      </c>
      <c r="K185" s="30" t="s">
        <v>730</v>
      </c>
      <c r="L185" s="30" t="s">
        <v>727</v>
      </c>
      <c r="M185" s="30" t="s">
        <v>731</v>
      </c>
      <c r="N185" s="29" t="s">
        <v>6</v>
      </c>
      <c r="O185" s="30" t="s">
        <v>732</v>
      </c>
      <c r="P185" s="30" t="s">
        <v>733</v>
      </c>
      <c r="Q185" s="30" t="s">
        <v>734</v>
      </c>
      <c r="R185" s="30" t="s">
        <v>17</v>
      </c>
      <c r="S185" s="30">
        <v>3454411216</v>
      </c>
      <c r="T185" s="30" t="s">
        <v>735</v>
      </c>
      <c r="U185" s="29">
        <v>2022</v>
      </c>
    </row>
    <row r="186" spans="1:44" s="1" customFormat="1" ht="30" customHeight="1" x14ac:dyDescent="0.2">
      <c r="A186" s="1">
        <v>184</v>
      </c>
      <c r="B186" s="30">
        <v>300173900</v>
      </c>
      <c r="C186" s="29" t="s">
        <v>1474</v>
      </c>
      <c r="D186" s="29" t="s">
        <v>1393</v>
      </c>
      <c r="E186" s="29" t="s">
        <v>2819</v>
      </c>
      <c r="F186" s="30" t="s">
        <v>2819</v>
      </c>
      <c r="G186" s="29">
        <v>3190</v>
      </c>
      <c r="H186" s="29" t="s">
        <v>2557</v>
      </c>
      <c r="I186" s="29" t="s">
        <v>2558</v>
      </c>
      <c r="J186" s="30" t="s">
        <v>1475</v>
      </c>
      <c r="K186" s="30" t="s">
        <v>1476</v>
      </c>
      <c r="L186" s="30" t="s">
        <v>1473</v>
      </c>
      <c r="M186" s="30" t="s">
        <v>1477</v>
      </c>
      <c r="N186" s="29" t="s">
        <v>6</v>
      </c>
      <c r="O186" s="30" t="s">
        <v>1478</v>
      </c>
      <c r="P186" s="30" t="s">
        <v>1473</v>
      </c>
      <c r="Q186" s="30" t="s">
        <v>1479</v>
      </c>
      <c r="R186" s="30" t="s">
        <v>17</v>
      </c>
      <c r="S186" s="30" t="s">
        <v>1480</v>
      </c>
      <c r="T186" s="30" t="s">
        <v>1481</v>
      </c>
      <c r="U186" s="29">
        <v>2017</v>
      </c>
    </row>
    <row r="187" spans="1:44" s="1" customFormat="1" ht="30" customHeight="1" x14ac:dyDescent="0.2">
      <c r="A187" s="1">
        <v>185</v>
      </c>
      <c r="B187" s="30">
        <v>300178300</v>
      </c>
      <c r="C187" s="29" t="s">
        <v>1012</v>
      </c>
      <c r="D187" s="29" t="s">
        <v>1393</v>
      </c>
      <c r="E187" s="29" t="s">
        <v>2893</v>
      </c>
      <c r="F187" s="30" t="s">
        <v>1013</v>
      </c>
      <c r="G187" s="29">
        <v>3150</v>
      </c>
      <c r="H187" s="29" t="s">
        <v>2557</v>
      </c>
      <c r="I187" s="29" t="s">
        <v>2519</v>
      </c>
      <c r="J187" s="30" t="s">
        <v>1014</v>
      </c>
      <c r="K187" s="30">
        <v>3435421212</v>
      </c>
      <c r="L187" s="30" t="s">
        <v>1015</v>
      </c>
      <c r="M187" s="30" t="s">
        <v>1016</v>
      </c>
      <c r="N187" s="29" t="s">
        <v>6</v>
      </c>
      <c r="O187" s="30">
        <v>3435509741</v>
      </c>
      <c r="P187" s="30" t="s">
        <v>1017</v>
      </c>
      <c r="Q187" s="30" t="s">
        <v>1018</v>
      </c>
      <c r="R187" s="30" t="s">
        <v>17</v>
      </c>
      <c r="S187" s="30">
        <v>3435452181</v>
      </c>
      <c r="T187" s="30" t="s">
        <v>1011</v>
      </c>
      <c r="U187" s="29">
        <v>2020</v>
      </c>
      <c r="AL187" s="3"/>
      <c r="AM187" s="3"/>
    </row>
    <row r="188" spans="1:44" s="1" customFormat="1" ht="30" customHeight="1" x14ac:dyDescent="0.2">
      <c r="A188" s="1">
        <v>186</v>
      </c>
      <c r="B188" s="30">
        <v>300185800</v>
      </c>
      <c r="C188" s="29" t="s">
        <v>1428</v>
      </c>
      <c r="D188" s="29" t="s">
        <v>1393</v>
      </c>
      <c r="E188" s="29" t="s">
        <v>2889</v>
      </c>
      <c r="F188" s="30" t="s">
        <v>1429</v>
      </c>
      <c r="G188" s="29">
        <v>3109</v>
      </c>
      <c r="H188" s="29" t="s">
        <v>2557</v>
      </c>
      <c r="I188" s="29" t="s">
        <v>2558</v>
      </c>
      <c r="J188" s="30" t="s">
        <v>1430</v>
      </c>
      <c r="K188" s="30">
        <v>3434920137</v>
      </c>
      <c r="L188" s="30" t="s">
        <v>1431</v>
      </c>
      <c r="M188" s="30" t="s">
        <v>1432</v>
      </c>
      <c r="N188" s="29" t="s">
        <v>6</v>
      </c>
      <c r="O188" s="30">
        <v>3435166197</v>
      </c>
      <c r="P188" s="30" t="s">
        <v>1433</v>
      </c>
      <c r="Q188" s="30" t="s">
        <v>1434</v>
      </c>
      <c r="R188" s="30" t="s">
        <v>17</v>
      </c>
      <c r="S188" s="30">
        <v>3435180979</v>
      </c>
      <c r="T188" s="30" t="s">
        <v>1435</v>
      </c>
      <c r="U188" s="29">
        <v>2017</v>
      </c>
    </row>
    <row r="189" spans="1:44" s="1" customFormat="1" ht="30" customHeight="1" x14ac:dyDescent="0.2">
      <c r="A189" s="1">
        <v>187</v>
      </c>
      <c r="B189" s="30">
        <v>300201100</v>
      </c>
      <c r="C189" s="29" t="s">
        <v>2339</v>
      </c>
      <c r="D189" s="29" t="s">
        <v>1393</v>
      </c>
      <c r="E189" s="29" t="s">
        <v>113</v>
      </c>
      <c r="F189" s="30" t="s">
        <v>113</v>
      </c>
      <c r="G189" s="29">
        <v>3200</v>
      </c>
      <c r="H189" s="29" t="s">
        <v>2518</v>
      </c>
      <c r="I189" s="29" t="s">
        <v>2519</v>
      </c>
      <c r="J189" s="30" t="s">
        <v>114</v>
      </c>
      <c r="K189" s="30">
        <v>3454213349</v>
      </c>
      <c r="L189" s="30" t="s">
        <v>112</v>
      </c>
      <c r="M189" s="30" t="s">
        <v>2340</v>
      </c>
      <c r="N189" s="29" t="s">
        <v>6</v>
      </c>
      <c r="O189" s="30">
        <v>3454184052</v>
      </c>
      <c r="P189" s="30" t="s">
        <v>112</v>
      </c>
      <c r="Q189" s="30" t="s">
        <v>2340</v>
      </c>
      <c r="R189" s="30" t="s">
        <v>6</v>
      </c>
      <c r="S189" s="30">
        <v>3454213349</v>
      </c>
      <c r="T189" s="30" t="s">
        <v>112</v>
      </c>
      <c r="U189" s="29">
        <v>2016</v>
      </c>
    </row>
    <row r="190" spans="1:44" s="1" customFormat="1" ht="30" customHeight="1" x14ac:dyDescent="0.2">
      <c r="A190" s="1">
        <v>188</v>
      </c>
      <c r="B190" s="30">
        <v>300251300</v>
      </c>
      <c r="C190" s="29" t="s">
        <v>174</v>
      </c>
      <c r="D190" s="29" t="s">
        <v>1393</v>
      </c>
      <c r="E190" s="29" t="s">
        <v>175</v>
      </c>
      <c r="F190" s="30" t="s">
        <v>175</v>
      </c>
      <c r="G190" s="29">
        <v>2840</v>
      </c>
      <c r="H190" s="29" t="s">
        <v>2518</v>
      </c>
      <c r="I190" s="29" t="s">
        <v>2519</v>
      </c>
      <c r="J190" s="30" t="s">
        <v>176</v>
      </c>
      <c r="K190" s="30" t="s">
        <v>177</v>
      </c>
      <c r="L190" s="30" t="s">
        <v>173</v>
      </c>
      <c r="M190" s="30" t="s">
        <v>178</v>
      </c>
      <c r="N190" s="29" t="s">
        <v>6</v>
      </c>
      <c r="O190" s="30" t="s">
        <v>179</v>
      </c>
      <c r="P190" s="30" t="s">
        <v>180</v>
      </c>
      <c r="Q190" s="30" t="s">
        <v>178</v>
      </c>
      <c r="R190" s="30" t="s">
        <v>6</v>
      </c>
      <c r="S190" s="30" t="s">
        <v>179</v>
      </c>
      <c r="T190" s="30" t="s">
        <v>180</v>
      </c>
      <c r="U190" s="29">
        <v>2016</v>
      </c>
    </row>
    <row r="191" spans="1:44" s="1" customFormat="1" ht="30" customHeight="1" x14ac:dyDescent="0.2">
      <c r="A191" s="1">
        <v>189</v>
      </c>
      <c r="B191" s="30">
        <v>300306900</v>
      </c>
      <c r="C191" s="29" t="s">
        <v>996</v>
      </c>
      <c r="D191" s="29" t="s">
        <v>1393</v>
      </c>
      <c r="E191" s="29" t="s">
        <v>2788</v>
      </c>
      <c r="F191" s="30" t="s">
        <v>2788</v>
      </c>
      <c r="G191" s="29">
        <v>3153</v>
      </c>
      <c r="H191" s="29" t="s">
        <v>2557</v>
      </c>
      <c r="I191" s="29" t="s">
        <v>2519</v>
      </c>
      <c r="J191" s="30" t="s">
        <v>997</v>
      </c>
      <c r="K191" s="30">
        <v>3436422878</v>
      </c>
      <c r="L191" s="30" t="s">
        <v>995</v>
      </c>
      <c r="M191" s="30" t="s">
        <v>998</v>
      </c>
      <c r="N191" s="29" t="s">
        <v>6</v>
      </c>
      <c r="O191" s="30">
        <v>34365430706</v>
      </c>
      <c r="P191" s="30" t="s">
        <v>999</v>
      </c>
      <c r="Q191" s="30" t="s">
        <v>1000</v>
      </c>
      <c r="R191" s="30" t="s">
        <v>17</v>
      </c>
      <c r="S191" s="30">
        <v>343615404881</v>
      </c>
      <c r="T191" s="30" t="s">
        <v>1001</v>
      </c>
      <c r="U191" s="29">
        <v>2018</v>
      </c>
    </row>
    <row r="192" spans="1:44" s="1" customFormat="1" ht="30" customHeight="1" x14ac:dyDescent="0.2">
      <c r="A192" s="1">
        <v>190</v>
      </c>
      <c r="B192" s="30">
        <v>300312900</v>
      </c>
      <c r="C192" s="29" t="s">
        <v>2271</v>
      </c>
      <c r="D192" s="29" t="s">
        <v>1393</v>
      </c>
      <c r="E192" s="30" t="s">
        <v>2927</v>
      </c>
      <c r="F192" s="30" t="s">
        <v>1073</v>
      </c>
      <c r="G192" s="29">
        <v>3228</v>
      </c>
      <c r="H192" s="29" t="s">
        <v>2557</v>
      </c>
      <c r="I192" s="29" t="s">
        <v>2558</v>
      </c>
      <c r="J192" s="30" t="s">
        <v>2272</v>
      </c>
      <c r="K192" s="30"/>
      <c r="L192" s="30" t="s">
        <v>1072</v>
      </c>
      <c r="M192" s="30" t="s">
        <v>2273</v>
      </c>
      <c r="N192" s="29" t="s">
        <v>6</v>
      </c>
      <c r="O192" s="30">
        <v>3456446508</v>
      </c>
      <c r="P192" s="30" t="s">
        <v>1074</v>
      </c>
      <c r="Q192" s="30" t="s">
        <v>1075</v>
      </c>
      <c r="R192" s="30" t="s">
        <v>17</v>
      </c>
      <c r="S192" s="30">
        <v>3456583974</v>
      </c>
      <c r="T192" s="30" t="s">
        <v>2274</v>
      </c>
      <c r="U192" s="29">
        <v>2025</v>
      </c>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row>
    <row r="193" spans="1:44" s="1" customFormat="1" ht="30" customHeight="1" x14ac:dyDescent="0.2">
      <c r="A193" s="1">
        <v>191</v>
      </c>
      <c r="B193" s="30">
        <v>300348800</v>
      </c>
      <c r="C193" s="29" t="s">
        <v>2130</v>
      </c>
      <c r="D193" s="29" t="s">
        <v>1393</v>
      </c>
      <c r="E193" s="29" t="s">
        <v>1100</v>
      </c>
      <c r="F193" s="30" t="s">
        <v>1100</v>
      </c>
      <c r="G193" s="29">
        <v>3240</v>
      </c>
      <c r="H193" s="29" t="s">
        <v>2518</v>
      </c>
      <c r="I193" s="29" t="s">
        <v>2519</v>
      </c>
      <c r="J193" s="30" t="s">
        <v>1101</v>
      </c>
      <c r="K193" s="30" t="s">
        <v>1102</v>
      </c>
      <c r="L193" s="30" t="s">
        <v>1099</v>
      </c>
      <c r="M193" s="30" t="s">
        <v>1103</v>
      </c>
      <c r="N193" s="29" t="s">
        <v>6</v>
      </c>
      <c r="O193" s="30" t="s">
        <v>1104</v>
      </c>
      <c r="P193" s="30" t="s">
        <v>1105</v>
      </c>
      <c r="Q193" s="30" t="s">
        <v>1103</v>
      </c>
      <c r="R193" s="30" t="s">
        <v>6</v>
      </c>
      <c r="S193" s="30" t="s">
        <v>1104</v>
      </c>
      <c r="T193" s="30" t="s">
        <v>1105</v>
      </c>
      <c r="U193" s="29">
        <v>2025</v>
      </c>
      <c r="AL193" s="3"/>
      <c r="AM193" s="3"/>
    </row>
    <row r="194" spans="1:44" s="1" customFormat="1" ht="30" customHeight="1" x14ac:dyDescent="0.2">
      <c r="A194" s="1">
        <v>192</v>
      </c>
      <c r="B194" s="30">
        <v>380035200</v>
      </c>
      <c r="C194" s="29" t="s">
        <v>2929</v>
      </c>
      <c r="D194" s="29" t="s">
        <v>2689</v>
      </c>
      <c r="E194" s="29" t="s">
        <v>2894</v>
      </c>
      <c r="F194" s="30" t="s">
        <v>2207</v>
      </c>
      <c r="G194" s="29">
        <v>4512</v>
      </c>
      <c r="H194" s="29" t="s">
        <v>2557</v>
      </c>
      <c r="I194" s="29" t="s">
        <v>2519</v>
      </c>
      <c r="J194" s="30" t="s">
        <v>2208</v>
      </c>
      <c r="K194" s="30">
        <v>3886422209</v>
      </c>
      <c r="L194" s="30" t="s">
        <v>1512</v>
      </c>
      <c r="M194" s="30" t="s">
        <v>1514</v>
      </c>
      <c r="N194" s="29" t="s">
        <v>6</v>
      </c>
      <c r="O194" s="30">
        <v>3886656333</v>
      </c>
      <c r="P194" s="30" t="s">
        <v>1515</v>
      </c>
      <c r="Q194" s="30" t="s">
        <v>1516</v>
      </c>
      <c r="R194" s="30" t="s">
        <v>17</v>
      </c>
      <c r="S194" s="30">
        <v>3886412470</v>
      </c>
      <c r="T194" s="30" t="s">
        <v>1517</v>
      </c>
      <c r="U194" s="29">
        <v>2024</v>
      </c>
    </row>
    <row r="195" spans="1:44" s="1" customFormat="1" ht="30" customHeight="1" x14ac:dyDescent="0.2">
      <c r="A195" s="1">
        <v>193</v>
      </c>
      <c r="B195" s="30">
        <v>380052001</v>
      </c>
      <c r="C195" s="30" t="s">
        <v>2427</v>
      </c>
      <c r="D195" s="29" t="s">
        <v>2689</v>
      </c>
      <c r="E195" s="29" t="s">
        <v>2895</v>
      </c>
      <c r="F195" s="30" t="s">
        <v>2428</v>
      </c>
      <c r="G195" s="29">
        <v>4640</v>
      </c>
      <c r="H195" s="29" t="s">
        <v>2557</v>
      </c>
      <c r="I195" s="29" t="s">
        <v>2558</v>
      </c>
      <c r="J195" s="30" t="s">
        <v>2429</v>
      </c>
      <c r="K195" s="30">
        <v>3885036832</v>
      </c>
      <c r="L195" s="30" t="s">
        <v>2426</v>
      </c>
      <c r="M195" s="30" t="s">
        <v>2430</v>
      </c>
      <c r="N195" s="29" t="s">
        <v>6</v>
      </c>
      <c r="O195" s="30">
        <v>3885036832</v>
      </c>
      <c r="P195" s="30" t="s">
        <v>2426</v>
      </c>
      <c r="Q195" s="30" t="s">
        <v>2431</v>
      </c>
      <c r="R195" s="30" t="s">
        <v>17</v>
      </c>
      <c r="S195" s="30">
        <v>3886651098</v>
      </c>
      <c r="T195" s="30" t="s">
        <v>2432</v>
      </c>
      <c r="U195" s="29">
        <v>2023</v>
      </c>
      <c r="AL195" s="3"/>
      <c r="AM195" s="3"/>
    </row>
    <row r="196" spans="1:44" s="1" customFormat="1" ht="30" customHeight="1" x14ac:dyDescent="0.2">
      <c r="A196" s="1">
        <v>194</v>
      </c>
      <c r="B196" s="30">
        <v>380081400</v>
      </c>
      <c r="C196" s="29" t="s">
        <v>2766</v>
      </c>
      <c r="D196" s="29" t="s">
        <v>2689</v>
      </c>
      <c r="E196" s="29" t="s">
        <v>2690</v>
      </c>
      <c r="F196" s="30" t="s">
        <v>553</v>
      </c>
      <c r="G196" s="29">
        <v>4600</v>
      </c>
      <c r="H196" s="29" t="s">
        <v>2518</v>
      </c>
      <c r="I196" s="29" t="s">
        <v>2519</v>
      </c>
      <c r="J196" s="30" t="s">
        <v>1724</v>
      </c>
      <c r="K196" s="30" t="s">
        <v>1725</v>
      </c>
      <c r="L196" s="30" t="s">
        <v>532</v>
      </c>
      <c r="M196" s="30" t="s">
        <v>1726</v>
      </c>
      <c r="N196" s="29" t="s">
        <v>6</v>
      </c>
      <c r="O196" s="30">
        <v>3885718538</v>
      </c>
      <c r="P196" s="30" t="s">
        <v>536</v>
      </c>
      <c r="Q196" s="30" t="s">
        <v>1726</v>
      </c>
      <c r="R196" s="30" t="s">
        <v>6</v>
      </c>
      <c r="S196" s="30">
        <v>3885718538</v>
      </c>
      <c r="T196" s="30" t="s">
        <v>1727</v>
      </c>
      <c r="U196" s="29">
        <v>2021</v>
      </c>
    </row>
    <row r="197" spans="1:44" s="1" customFormat="1" ht="30" customHeight="1" x14ac:dyDescent="0.2">
      <c r="A197" s="1">
        <v>195</v>
      </c>
      <c r="B197" s="30">
        <v>380081401</v>
      </c>
      <c r="C197" s="29" t="s">
        <v>2024</v>
      </c>
      <c r="D197" s="29" t="s">
        <v>2689</v>
      </c>
      <c r="E197" s="29" t="s">
        <v>1238</v>
      </c>
      <c r="F197" s="30" t="s">
        <v>2025</v>
      </c>
      <c r="G197" s="29">
        <v>4500</v>
      </c>
      <c r="H197" s="29" t="s">
        <v>2518</v>
      </c>
      <c r="I197" s="29" t="s">
        <v>2519</v>
      </c>
      <c r="J197" s="30" t="s">
        <v>533</v>
      </c>
      <c r="K197" s="30" t="s">
        <v>534</v>
      </c>
      <c r="L197" s="30" t="s">
        <v>532</v>
      </c>
      <c r="M197" s="30" t="s">
        <v>2026</v>
      </c>
      <c r="N197" s="29" t="s">
        <v>6</v>
      </c>
      <c r="O197" s="30" t="s">
        <v>535</v>
      </c>
      <c r="P197" s="30" t="s">
        <v>536</v>
      </c>
      <c r="Q197" s="30" t="s">
        <v>2027</v>
      </c>
      <c r="R197" s="30" t="s">
        <v>6</v>
      </c>
      <c r="S197" s="30" t="s">
        <v>535</v>
      </c>
      <c r="T197" s="30" t="s">
        <v>536</v>
      </c>
      <c r="U197" s="29">
        <v>2021</v>
      </c>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row>
    <row r="198" spans="1:44" s="1" customFormat="1" ht="30" customHeight="1" x14ac:dyDescent="0.2">
      <c r="A198" s="1">
        <v>196</v>
      </c>
      <c r="B198" s="30">
        <v>380081402</v>
      </c>
      <c r="C198" s="29" t="s">
        <v>2046</v>
      </c>
      <c r="D198" s="29" t="s">
        <v>2689</v>
      </c>
      <c r="E198" s="29" t="s">
        <v>2896</v>
      </c>
      <c r="F198" s="30" t="s">
        <v>562</v>
      </c>
      <c r="G198" s="29">
        <v>4650</v>
      </c>
      <c r="H198" s="29" t="s">
        <v>2518</v>
      </c>
      <c r="I198" s="29" t="s">
        <v>2519</v>
      </c>
      <c r="J198" s="30" t="s">
        <v>563</v>
      </c>
      <c r="K198" s="30">
        <v>5493884640279</v>
      </c>
      <c r="L198" s="30" t="s">
        <v>561</v>
      </c>
      <c r="M198" s="30" t="s">
        <v>2047</v>
      </c>
      <c r="N198" s="29" t="s">
        <v>6</v>
      </c>
      <c r="O198" s="30">
        <v>3883440555</v>
      </c>
      <c r="P198" s="30" t="s">
        <v>561</v>
      </c>
      <c r="Q198" s="30" t="s">
        <v>2048</v>
      </c>
      <c r="R198" s="30" t="s">
        <v>17</v>
      </c>
      <c r="S198" s="30">
        <v>5493884134412</v>
      </c>
      <c r="T198" s="30" t="s">
        <v>561</v>
      </c>
      <c r="U198" s="29">
        <v>2021</v>
      </c>
      <c r="AL198" s="3"/>
      <c r="AM198" s="3"/>
    </row>
    <row r="199" spans="1:44" s="1" customFormat="1" ht="30" customHeight="1" x14ac:dyDescent="0.2">
      <c r="A199" s="1">
        <v>197</v>
      </c>
      <c r="B199" s="30">
        <v>380097800</v>
      </c>
      <c r="C199" s="29" t="s">
        <v>2928</v>
      </c>
      <c r="D199" s="29" t="s">
        <v>2689</v>
      </c>
      <c r="E199" s="29" t="s">
        <v>2690</v>
      </c>
      <c r="F199" s="30" t="s">
        <v>553</v>
      </c>
      <c r="G199" s="29">
        <v>4600</v>
      </c>
      <c r="H199" s="29" t="s">
        <v>2557</v>
      </c>
      <c r="I199" s="29" t="s">
        <v>2519</v>
      </c>
      <c r="J199" s="30" t="s">
        <v>1363</v>
      </c>
      <c r="K199" s="30">
        <v>3884889596</v>
      </c>
      <c r="L199" s="30" t="s">
        <v>1364</v>
      </c>
      <c r="M199" s="30" t="s">
        <v>1365</v>
      </c>
      <c r="N199" s="29" t="s">
        <v>6</v>
      </c>
      <c r="O199" s="30">
        <v>3884889596</v>
      </c>
      <c r="P199" s="30" t="s">
        <v>1364</v>
      </c>
      <c r="Q199" s="30" t="s">
        <v>1365</v>
      </c>
      <c r="R199" s="30" t="s">
        <v>6</v>
      </c>
      <c r="S199" s="30">
        <v>3884889596</v>
      </c>
      <c r="T199" s="30" t="s">
        <v>1364</v>
      </c>
      <c r="U199" s="29">
        <v>2017</v>
      </c>
      <c r="AL199" s="3"/>
      <c r="AM199" s="3"/>
    </row>
    <row r="200" spans="1:44" s="1" customFormat="1" ht="30" customHeight="1" x14ac:dyDescent="0.2">
      <c r="A200" s="1">
        <v>198</v>
      </c>
      <c r="B200" s="30">
        <v>380098400</v>
      </c>
      <c r="C200" s="29" t="s">
        <v>1868</v>
      </c>
      <c r="D200" s="29" t="s">
        <v>2689</v>
      </c>
      <c r="E200" s="29" t="s">
        <v>2690</v>
      </c>
      <c r="F200" s="30" t="s">
        <v>553</v>
      </c>
      <c r="G200" s="29">
        <v>4600</v>
      </c>
      <c r="H200" s="29" t="s">
        <v>2518</v>
      </c>
      <c r="I200" s="29" t="s">
        <v>2519</v>
      </c>
      <c r="J200" s="29" t="s">
        <v>1869</v>
      </c>
      <c r="K200" s="30">
        <v>3885006672</v>
      </c>
      <c r="L200" s="30" t="s">
        <v>1870</v>
      </c>
      <c r="M200" s="30" t="s">
        <v>1871</v>
      </c>
      <c r="N200" s="29" t="s">
        <v>6</v>
      </c>
      <c r="O200" s="30" t="s">
        <v>1872</v>
      </c>
      <c r="P200" s="30" t="s">
        <v>1873</v>
      </c>
      <c r="Q200" s="30" t="s">
        <v>1874</v>
      </c>
      <c r="R200" s="30" t="s">
        <v>17</v>
      </c>
      <c r="S200" s="30">
        <v>3883388385</v>
      </c>
      <c r="T200" s="30" t="s">
        <v>1875</v>
      </c>
      <c r="U200" s="29">
        <v>2024</v>
      </c>
      <c r="AL200" s="3"/>
      <c r="AM200" s="3"/>
    </row>
    <row r="201" spans="1:44" s="1" customFormat="1" ht="30" customHeight="1" x14ac:dyDescent="0.2">
      <c r="A201" s="1">
        <v>199</v>
      </c>
      <c r="B201" s="30">
        <v>500124000</v>
      </c>
      <c r="C201" s="29" t="s">
        <v>1158</v>
      </c>
      <c r="D201" s="29" t="s">
        <v>2717</v>
      </c>
      <c r="E201" s="29" t="s">
        <v>2897</v>
      </c>
      <c r="F201" s="30" t="s">
        <v>1159</v>
      </c>
      <c r="G201" s="29">
        <v>5567</v>
      </c>
      <c r="H201" s="29" t="s">
        <v>2557</v>
      </c>
      <c r="I201" s="29" t="s">
        <v>2519</v>
      </c>
      <c r="J201" s="30" t="s">
        <v>2133</v>
      </c>
      <c r="K201" s="30" t="s">
        <v>1160</v>
      </c>
      <c r="L201" s="30" t="s">
        <v>1161</v>
      </c>
      <c r="M201" s="30" t="s">
        <v>1162</v>
      </c>
      <c r="N201" s="29" t="s">
        <v>6</v>
      </c>
      <c r="O201" s="30">
        <v>2622628740</v>
      </c>
      <c r="P201" s="30" t="s">
        <v>1161</v>
      </c>
      <c r="Q201" s="30" t="s">
        <v>1163</v>
      </c>
      <c r="R201" s="30" t="s">
        <v>17</v>
      </c>
      <c r="S201" s="30" t="s">
        <v>1164</v>
      </c>
      <c r="T201" s="30" t="s">
        <v>1165</v>
      </c>
      <c r="U201" s="29">
        <v>2016</v>
      </c>
      <c r="AL201" s="3"/>
      <c r="AM201" s="3"/>
    </row>
    <row r="202" spans="1:44" s="1" customFormat="1" ht="30" customHeight="1" x14ac:dyDescent="0.2">
      <c r="A202" s="1">
        <v>200</v>
      </c>
      <c r="B202" s="30">
        <v>500124001</v>
      </c>
      <c r="C202" s="29" t="s">
        <v>2134</v>
      </c>
      <c r="D202" s="29" t="s">
        <v>2717</v>
      </c>
      <c r="E202" s="29" t="s">
        <v>2898</v>
      </c>
      <c r="F202" s="30" t="s">
        <v>2805</v>
      </c>
      <c r="G202" s="29">
        <v>5521</v>
      </c>
      <c r="H202" s="29" t="s">
        <v>2557</v>
      </c>
      <c r="I202" s="29" t="s">
        <v>2519</v>
      </c>
      <c r="J202" s="30" t="s">
        <v>1167</v>
      </c>
      <c r="K202" s="30" t="s">
        <v>1160</v>
      </c>
      <c r="L202" s="30" t="s">
        <v>1161</v>
      </c>
      <c r="M202" s="30" t="s">
        <v>1162</v>
      </c>
      <c r="N202" s="29" t="s">
        <v>6</v>
      </c>
      <c r="O202" s="30" t="s">
        <v>1168</v>
      </c>
      <c r="P202" s="30" t="s">
        <v>1161</v>
      </c>
      <c r="Q202" s="30" t="s">
        <v>1169</v>
      </c>
      <c r="R202" s="30" t="s">
        <v>17</v>
      </c>
      <c r="S202" s="30" t="s">
        <v>1170</v>
      </c>
      <c r="T202" s="30" t="s">
        <v>1171</v>
      </c>
      <c r="U202" s="29">
        <v>2016</v>
      </c>
      <c r="AL202" s="3"/>
      <c r="AM202" s="3"/>
    </row>
    <row r="203" spans="1:44" s="1" customFormat="1" ht="30" customHeight="1" x14ac:dyDescent="0.2">
      <c r="A203" s="1">
        <v>201</v>
      </c>
      <c r="B203" s="30">
        <v>500124002</v>
      </c>
      <c r="C203" s="29" t="s">
        <v>1884</v>
      </c>
      <c r="D203" s="29" t="s">
        <v>2717</v>
      </c>
      <c r="E203" s="29" t="s">
        <v>2651</v>
      </c>
      <c r="F203" s="30" t="s">
        <v>1173</v>
      </c>
      <c r="G203" s="29">
        <v>5500</v>
      </c>
      <c r="H203" s="29" t="s">
        <v>2557</v>
      </c>
      <c r="I203" s="29" t="s">
        <v>2519</v>
      </c>
      <c r="J203" s="30" t="s">
        <v>1174</v>
      </c>
      <c r="K203" s="30" t="s">
        <v>1160</v>
      </c>
      <c r="L203" s="30" t="s">
        <v>1161</v>
      </c>
      <c r="M203" s="30" t="s">
        <v>1162</v>
      </c>
      <c r="N203" s="29" t="s">
        <v>6</v>
      </c>
      <c r="O203" s="30" t="s">
        <v>1168</v>
      </c>
      <c r="P203" s="30" t="s">
        <v>1161</v>
      </c>
      <c r="Q203" s="30" t="s">
        <v>1175</v>
      </c>
      <c r="R203" s="30" t="s">
        <v>17</v>
      </c>
      <c r="S203" s="30" t="s">
        <v>1176</v>
      </c>
      <c r="T203" s="30" t="s">
        <v>1161</v>
      </c>
      <c r="U203" s="29">
        <v>2016</v>
      </c>
      <c r="AL203" s="3"/>
      <c r="AM203" s="3"/>
    </row>
    <row r="204" spans="1:44" s="1" customFormat="1" ht="30" customHeight="1" x14ac:dyDescent="0.2">
      <c r="A204" s="1">
        <v>202</v>
      </c>
      <c r="B204" s="30">
        <v>500124003</v>
      </c>
      <c r="C204" s="29" t="s">
        <v>2136</v>
      </c>
      <c r="D204" s="29" t="s">
        <v>2717</v>
      </c>
      <c r="E204" s="29" t="s">
        <v>1178</v>
      </c>
      <c r="F204" s="30" t="s">
        <v>1178</v>
      </c>
      <c r="G204" s="29">
        <v>5600</v>
      </c>
      <c r="H204" s="29" t="s">
        <v>2557</v>
      </c>
      <c r="I204" s="29" t="s">
        <v>2519</v>
      </c>
      <c r="J204" s="30" t="s">
        <v>1179</v>
      </c>
      <c r="K204" s="30" t="s">
        <v>1160</v>
      </c>
      <c r="L204" s="30" t="s">
        <v>1161</v>
      </c>
      <c r="M204" s="30" t="s">
        <v>1162</v>
      </c>
      <c r="N204" s="29" t="s">
        <v>6</v>
      </c>
      <c r="O204" s="30" t="s">
        <v>1168</v>
      </c>
      <c r="P204" s="30" t="s">
        <v>1161</v>
      </c>
      <c r="Q204" s="30" t="s">
        <v>1180</v>
      </c>
      <c r="R204" s="30" t="s">
        <v>17</v>
      </c>
      <c r="S204" s="30" t="s">
        <v>1181</v>
      </c>
      <c r="T204" s="30" t="s">
        <v>1161</v>
      </c>
      <c r="U204" s="29">
        <v>2016</v>
      </c>
      <c r="AL204" s="3"/>
      <c r="AM204" s="3"/>
    </row>
    <row r="205" spans="1:44" s="1" customFormat="1" ht="30" customHeight="1" x14ac:dyDescent="0.2">
      <c r="A205" s="1">
        <v>203</v>
      </c>
      <c r="B205" s="30">
        <v>500124004</v>
      </c>
      <c r="C205" s="29" t="s">
        <v>1191</v>
      </c>
      <c r="D205" s="29" t="s">
        <v>2717</v>
      </c>
      <c r="E205" s="29" t="s">
        <v>1192</v>
      </c>
      <c r="F205" s="30" t="s">
        <v>1192</v>
      </c>
      <c r="G205" s="29">
        <v>5560</v>
      </c>
      <c r="H205" s="29" t="s">
        <v>2557</v>
      </c>
      <c r="I205" s="29" t="s">
        <v>2519</v>
      </c>
      <c r="J205" s="30" t="s">
        <v>1193</v>
      </c>
      <c r="K205" s="30" t="s">
        <v>1160</v>
      </c>
      <c r="L205" s="30" t="s">
        <v>1161</v>
      </c>
      <c r="M205" s="30" t="s">
        <v>1162</v>
      </c>
      <c r="N205" s="29" t="s">
        <v>6</v>
      </c>
      <c r="O205" s="30" t="s">
        <v>1168</v>
      </c>
      <c r="P205" s="30" t="s">
        <v>1161</v>
      </c>
      <c r="Q205" s="30" t="s">
        <v>1194</v>
      </c>
      <c r="R205" s="30" t="s">
        <v>17</v>
      </c>
      <c r="S205" s="30" t="s">
        <v>1195</v>
      </c>
      <c r="T205" s="30" t="s">
        <v>1161</v>
      </c>
      <c r="U205" s="29">
        <v>2016</v>
      </c>
      <c r="AL205" s="3"/>
      <c r="AM205" s="3"/>
    </row>
    <row r="206" spans="1:44" s="1" customFormat="1" ht="30" customHeight="1" x14ac:dyDescent="0.2">
      <c r="A206" s="1">
        <v>204</v>
      </c>
      <c r="B206" s="30">
        <v>500124006</v>
      </c>
      <c r="C206" s="29" t="s">
        <v>1196</v>
      </c>
      <c r="D206" s="29" t="s">
        <v>2717</v>
      </c>
      <c r="E206" s="29" t="s">
        <v>1197</v>
      </c>
      <c r="F206" s="30" t="s">
        <v>1197</v>
      </c>
      <c r="G206" s="29">
        <v>5577</v>
      </c>
      <c r="H206" s="29" t="s">
        <v>2557</v>
      </c>
      <c r="I206" s="29" t="s">
        <v>2519</v>
      </c>
      <c r="J206" s="30" t="s">
        <v>1198</v>
      </c>
      <c r="K206" s="30" t="s">
        <v>1160</v>
      </c>
      <c r="L206" s="30" t="s">
        <v>1161</v>
      </c>
      <c r="M206" s="30" t="s">
        <v>1162</v>
      </c>
      <c r="N206" s="29" t="s">
        <v>6</v>
      </c>
      <c r="O206" s="30" t="s">
        <v>1168</v>
      </c>
      <c r="P206" s="30" t="s">
        <v>1161</v>
      </c>
      <c r="Q206" s="30" t="s">
        <v>1199</v>
      </c>
      <c r="R206" s="30" t="s">
        <v>17</v>
      </c>
      <c r="S206" s="30" t="s">
        <v>1200</v>
      </c>
      <c r="T206" s="30" t="s">
        <v>1201</v>
      </c>
      <c r="U206" s="29">
        <v>2016</v>
      </c>
    </row>
    <row r="207" spans="1:44" s="1" customFormat="1" ht="30" customHeight="1" x14ac:dyDescent="0.2">
      <c r="A207" s="1">
        <v>205</v>
      </c>
      <c r="B207" s="30">
        <v>500124007</v>
      </c>
      <c r="C207" s="29" t="s">
        <v>1203</v>
      </c>
      <c r="D207" s="29" t="s">
        <v>2717</v>
      </c>
      <c r="E207" s="29" t="s">
        <v>2899</v>
      </c>
      <c r="F207" s="30" t="s">
        <v>2820</v>
      </c>
      <c r="G207" s="29">
        <v>5505</v>
      </c>
      <c r="H207" s="29" t="s">
        <v>2557</v>
      </c>
      <c r="I207" s="29" t="s">
        <v>2519</v>
      </c>
      <c r="J207" s="30" t="s">
        <v>1204</v>
      </c>
      <c r="K207" s="30"/>
      <c r="L207" s="30" t="s">
        <v>1161</v>
      </c>
      <c r="M207" s="30" t="s">
        <v>1162</v>
      </c>
      <c r="N207" s="29" t="s">
        <v>6</v>
      </c>
      <c r="O207" s="30" t="s">
        <v>1168</v>
      </c>
      <c r="P207" s="30" t="s">
        <v>1161</v>
      </c>
      <c r="Q207" s="30" t="s">
        <v>2139</v>
      </c>
      <c r="R207" s="30" t="s">
        <v>17</v>
      </c>
      <c r="S207" s="30" t="s">
        <v>1205</v>
      </c>
      <c r="T207" s="30" t="s">
        <v>1206</v>
      </c>
      <c r="U207" s="29">
        <v>2016</v>
      </c>
      <c r="AL207" s="3"/>
      <c r="AM207" s="3"/>
    </row>
    <row r="208" spans="1:44" s="1" customFormat="1" ht="30" customHeight="1" x14ac:dyDescent="0.2">
      <c r="A208" s="1">
        <v>206</v>
      </c>
      <c r="B208" s="30">
        <v>500124009</v>
      </c>
      <c r="C208" s="29" t="s">
        <v>1215</v>
      </c>
      <c r="D208" s="29" t="s">
        <v>2717</v>
      </c>
      <c r="E208" s="29" t="s">
        <v>2900</v>
      </c>
      <c r="F208" s="30" t="s">
        <v>2821</v>
      </c>
      <c r="G208" s="29">
        <v>5594</v>
      </c>
      <c r="H208" s="29" t="s">
        <v>2557</v>
      </c>
      <c r="I208" s="29" t="s">
        <v>2519</v>
      </c>
      <c r="J208" s="30" t="s">
        <v>1216</v>
      </c>
      <c r="K208" s="30" t="s">
        <v>1160</v>
      </c>
      <c r="L208" s="30" t="s">
        <v>1161</v>
      </c>
      <c r="M208" s="30" t="s">
        <v>1162</v>
      </c>
      <c r="N208" s="29" t="s">
        <v>6</v>
      </c>
      <c r="O208" s="30" t="s">
        <v>1168</v>
      </c>
      <c r="P208" s="30" t="s">
        <v>1161</v>
      </c>
      <c r="Q208" s="30" t="s">
        <v>1217</v>
      </c>
      <c r="R208" s="30" t="s">
        <v>17</v>
      </c>
      <c r="S208" s="30" t="s">
        <v>1218</v>
      </c>
      <c r="T208" s="30" t="s">
        <v>1219</v>
      </c>
      <c r="U208" s="29">
        <v>2016</v>
      </c>
    </row>
    <row r="209" spans="1:44" s="1" customFormat="1" ht="30" customHeight="1" x14ac:dyDescent="0.2">
      <c r="A209" s="1">
        <v>207</v>
      </c>
      <c r="B209" s="30">
        <v>500132400</v>
      </c>
      <c r="C209" s="29" t="s">
        <v>302</v>
      </c>
      <c r="D209" s="29" t="s">
        <v>2717</v>
      </c>
      <c r="E209" s="29" t="s">
        <v>1178</v>
      </c>
      <c r="F209" s="30" t="s">
        <v>1178</v>
      </c>
      <c r="G209" s="29">
        <v>5600</v>
      </c>
      <c r="H209" s="29" t="s">
        <v>2518</v>
      </c>
      <c r="I209" s="29" t="s">
        <v>2519</v>
      </c>
      <c r="J209" s="30" t="s">
        <v>303</v>
      </c>
      <c r="K209" s="30">
        <v>2604421079</v>
      </c>
      <c r="L209" s="30" t="s">
        <v>301</v>
      </c>
      <c r="M209" s="30" t="s">
        <v>304</v>
      </c>
      <c r="N209" s="29" t="s">
        <v>6</v>
      </c>
      <c r="O209" s="30">
        <v>2604320557</v>
      </c>
      <c r="P209" s="30" t="s">
        <v>305</v>
      </c>
      <c r="Q209" s="30" t="s">
        <v>304</v>
      </c>
      <c r="R209" s="30" t="s">
        <v>6</v>
      </c>
      <c r="S209" s="30">
        <v>2604320557</v>
      </c>
      <c r="T209" s="30" t="s">
        <v>305</v>
      </c>
      <c r="U209" s="29">
        <v>2016</v>
      </c>
    </row>
    <row r="210" spans="1:44" s="1" customFormat="1" ht="30" customHeight="1" x14ac:dyDescent="0.2">
      <c r="A210" s="1">
        <v>208</v>
      </c>
      <c r="B210" s="30">
        <v>500134800</v>
      </c>
      <c r="C210" s="29" t="s">
        <v>876</v>
      </c>
      <c r="D210" s="29" t="s">
        <v>2717</v>
      </c>
      <c r="E210" s="29" t="s">
        <v>877</v>
      </c>
      <c r="F210" s="30" t="s">
        <v>877</v>
      </c>
      <c r="G210" s="29">
        <v>5620</v>
      </c>
      <c r="H210" s="29" t="s">
        <v>2557</v>
      </c>
      <c r="I210" s="29" t="s">
        <v>2558</v>
      </c>
      <c r="J210" s="30" t="s">
        <v>878</v>
      </c>
      <c r="K210" s="30" t="s">
        <v>879</v>
      </c>
      <c r="L210" s="30" t="s">
        <v>875</v>
      </c>
      <c r="M210" s="30" t="s">
        <v>880</v>
      </c>
      <c r="N210" s="29" t="s">
        <v>6</v>
      </c>
      <c r="O210" s="30">
        <v>2625406292</v>
      </c>
      <c r="P210" s="30" t="s">
        <v>881</v>
      </c>
      <c r="Q210" s="30" t="s">
        <v>882</v>
      </c>
      <c r="R210" s="30" t="s">
        <v>17</v>
      </c>
      <c r="S210" s="30">
        <v>2625412103</v>
      </c>
      <c r="T210" s="30" t="s">
        <v>883</v>
      </c>
      <c r="U210" s="29">
        <v>2016</v>
      </c>
    </row>
    <row r="211" spans="1:44" s="1" customFormat="1" ht="30" customHeight="1" x14ac:dyDescent="0.2">
      <c r="A211" s="1">
        <v>209</v>
      </c>
      <c r="B211" s="30">
        <v>500180400</v>
      </c>
      <c r="C211" s="29" t="s">
        <v>565</v>
      </c>
      <c r="D211" s="29" t="s">
        <v>2717</v>
      </c>
      <c r="E211" s="29" t="s">
        <v>2651</v>
      </c>
      <c r="F211" s="30" t="s">
        <v>2717</v>
      </c>
      <c r="G211" s="29">
        <v>5500</v>
      </c>
      <c r="H211" s="29" t="s">
        <v>2518</v>
      </c>
      <c r="I211" s="29" t="s">
        <v>2519</v>
      </c>
      <c r="J211" s="30" t="s">
        <v>566</v>
      </c>
      <c r="K211" s="30">
        <v>2615326701</v>
      </c>
      <c r="L211" s="30" t="s">
        <v>564</v>
      </c>
      <c r="M211" s="30" t="s">
        <v>2041</v>
      </c>
      <c r="N211" s="29" t="s">
        <v>6</v>
      </c>
      <c r="O211" s="30">
        <v>2615326701</v>
      </c>
      <c r="P211" s="30" t="s">
        <v>564</v>
      </c>
      <c r="Q211" s="30" t="s">
        <v>2042</v>
      </c>
      <c r="R211" s="30" t="s">
        <v>98</v>
      </c>
      <c r="S211" s="30">
        <v>2615326701</v>
      </c>
      <c r="T211" s="30" t="s">
        <v>564</v>
      </c>
      <c r="U211" s="29">
        <v>2021</v>
      </c>
      <c r="AL211" s="3"/>
      <c r="AM211" s="3"/>
    </row>
    <row r="212" spans="1:44" s="1" customFormat="1" ht="30" customHeight="1" x14ac:dyDescent="0.2">
      <c r="A212" s="1">
        <v>210</v>
      </c>
      <c r="B212" s="30">
        <v>500180401</v>
      </c>
      <c r="C212" s="29" t="s">
        <v>568</v>
      </c>
      <c r="D212" s="29" t="s">
        <v>2717</v>
      </c>
      <c r="E212" s="29" t="s">
        <v>1604</v>
      </c>
      <c r="F212" s="30" t="s">
        <v>1604</v>
      </c>
      <c r="G212" s="29">
        <v>5573</v>
      </c>
      <c r="H212" s="29" t="s">
        <v>2518</v>
      </c>
      <c r="I212" s="29" t="s">
        <v>2519</v>
      </c>
      <c r="J212" s="29" t="s">
        <v>569</v>
      </c>
      <c r="K212" s="30">
        <v>2615326701</v>
      </c>
      <c r="L212" s="30" t="s">
        <v>564</v>
      </c>
      <c r="M212" s="30" t="s">
        <v>2041</v>
      </c>
      <c r="N212" s="29" t="s">
        <v>6</v>
      </c>
      <c r="O212" s="30">
        <v>2615326701</v>
      </c>
      <c r="P212" s="30" t="s">
        <v>570</v>
      </c>
      <c r="Q212" s="30" t="s">
        <v>2042</v>
      </c>
      <c r="R212" s="30" t="s">
        <v>98</v>
      </c>
      <c r="S212" s="30">
        <v>2615326701</v>
      </c>
      <c r="T212" s="30" t="s">
        <v>564</v>
      </c>
      <c r="U212" s="29">
        <v>2023</v>
      </c>
    </row>
    <row r="213" spans="1:44" s="1" customFormat="1" ht="30" customHeight="1" x14ac:dyDescent="0.2">
      <c r="A213" s="1">
        <v>211</v>
      </c>
      <c r="B213" s="30">
        <v>500180402</v>
      </c>
      <c r="C213" s="29" t="s">
        <v>572</v>
      </c>
      <c r="D213" s="29" t="s">
        <v>2717</v>
      </c>
      <c r="E213" s="29" t="s">
        <v>2043</v>
      </c>
      <c r="F213" s="30" t="s">
        <v>2043</v>
      </c>
      <c r="G213" s="29">
        <v>5533</v>
      </c>
      <c r="H213" s="29" t="s">
        <v>2518</v>
      </c>
      <c r="I213" s="29" t="s">
        <v>2519</v>
      </c>
      <c r="J213" s="29" t="s">
        <v>573</v>
      </c>
      <c r="K213" s="30">
        <v>2615326701</v>
      </c>
      <c r="L213" s="30" t="s">
        <v>564</v>
      </c>
      <c r="M213" s="30" t="s">
        <v>2041</v>
      </c>
      <c r="N213" s="29" t="s">
        <v>6</v>
      </c>
      <c r="O213" s="30">
        <v>2615326701</v>
      </c>
      <c r="P213" s="30" t="s">
        <v>570</v>
      </c>
      <c r="Q213" s="30" t="s">
        <v>2042</v>
      </c>
      <c r="R213" s="30" t="s">
        <v>98</v>
      </c>
      <c r="S213" s="30">
        <v>2615326701</v>
      </c>
      <c r="T213" s="30" t="s">
        <v>564</v>
      </c>
      <c r="U213" s="29">
        <v>2023</v>
      </c>
    </row>
    <row r="214" spans="1:44" s="1" customFormat="1" ht="30" customHeight="1" x14ac:dyDescent="0.2">
      <c r="A214" s="1">
        <v>212</v>
      </c>
      <c r="B214" s="30">
        <v>500180404</v>
      </c>
      <c r="C214" s="29" t="s">
        <v>575</v>
      </c>
      <c r="D214" s="29" t="s">
        <v>2717</v>
      </c>
      <c r="E214" s="29" t="s">
        <v>2044</v>
      </c>
      <c r="F214" s="30" t="s">
        <v>2044</v>
      </c>
      <c r="G214" s="29">
        <v>5561</v>
      </c>
      <c r="H214" s="29" t="s">
        <v>2518</v>
      </c>
      <c r="I214" s="29" t="s">
        <v>2519</v>
      </c>
      <c r="J214" s="29" t="s">
        <v>576</v>
      </c>
      <c r="K214" s="30">
        <v>2615326701</v>
      </c>
      <c r="L214" s="30" t="s">
        <v>564</v>
      </c>
      <c r="M214" s="30" t="s">
        <v>2041</v>
      </c>
      <c r="N214" s="29" t="s">
        <v>6</v>
      </c>
      <c r="O214" s="30">
        <v>2615326701</v>
      </c>
      <c r="P214" s="30" t="s">
        <v>570</v>
      </c>
      <c r="Q214" s="30" t="s">
        <v>2042</v>
      </c>
      <c r="R214" s="30" t="s">
        <v>98</v>
      </c>
      <c r="S214" s="30">
        <v>2615326701</v>
      </c>
      <c r="T214" s="30" t="s">
        <v>564</v>
      </c>
      <c r="U214" s="29">
        <v>2023</v>
      </c>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row>
    <row r="215" spans="1:44" s="1" customFormat="1" ht="30" customHeight="1" x14ac:dyDescent="0.2">
      <c r="A215" s="1">
        <v>213</v>
      </c>
      <c r="B215" s="30">
        <v>500180406</v>
      </c>
      <c r="C215" s="29" t="s">
        <v>577</v>
      </c>
      <c r="D215" s="29" t="s">
        <v>2717</v>
      </c>
      <c r="E215" s="29" t="s">
        <v>877</v>
      </c>
      <c r="F215" s="30" t="s">
        <v>877</v>
      </c>
      <c r="G215" s="29">
        <v>5620</v>
      </c>
      <c r="H215" s="29" t="s">
        <v>2518</v>
      </c>
      <c r="I215" s="29" t="s">
        <v>2519</v>
      </c>
      <c r="J215" s="29" t="s">
        <v>578</v>
      </c>
      <c r="K215" s="30">
        <v>2615326701</v>
      </c>
      <c r="L215" s="30" t="s">
        <v>564</v>
      </c>
      <c r="M215" s="30" t="s">
        <v>2041</v>
      </c>
      <c r="N215" s="29" t="s">
        <v>6</v>
      </c>
      <c r="O215" s="30">
        <v>2615326701</v>
      </c>
      <c r="P215" s="30" t="s">
        <v>570</v>
      </c>
      <c r="Q215" s="30" t="s">
        <v>2042</v>
      </c>
      <c r="R215" s="30" t="s">
        <v>98</v>
      </c>
      <c r="S215" s="30">
        <v>2615326701</v>
      </c>
      <c r="T215" s="30" t="s">
        <v>564</v>
      </c>
      <c r="U215" s="29">
        <v>2023</v>
      </c>
    </row>
    <row r="216" spans="1:44" s="1" customFormat="1" ht="30" customHeight="1" x14ac:dyDescent="0.2">
      <c r="A216" s="1">
        <v>214</v>
      </c>
      <c r="B216" s="30">
        <v>500180407</v>
      </c>
      <c r="C216" s="29" t="s">
        <v>579</v>
      </c>
      <c r="D216" s="29" t="s">
        <v>2717</v>
      </c>
      <c r="E216" s="29" t="s">
        <v>2045</v>
      </c>
      <c r="F216" s="30" t="s">
        <v>2045</v>
      </c>
      <c r="G216" s="29">
        <v>5613</v>
      </c>
      <c r="H216" s="29" t="s">
        <v>2518</v>
      </c>
      <c r="I216" s="29" t="s">
        <v>2519</v>
      </c>
      <c r="J216" s="29" t="s">
        <v>580</v>
      </c>
      <c r="K216" s="30">
        <v>2615326701</v>
      </c>
      <c r="L216" s="30" t="s">
        <v>564</v>
      </c>
      <c r="M216" s="30" t="s">
        <v>581</v>
      </c>
      <c r="N216" s="29" t="s">
        <v>6</v>
      </c>
      <c r="O216" s="30">
        <v>2615326701</v>
      </c>
      <c r="P216" s="30" t="s">
        <v>570</v>
      </c>
      <c r="Q216" s="30" t="s">
        <v>2042</v>
      </c>
      <c r="R216" s="30" t="s">
        <v>98</v>
      </c>
      <c r="S216" s="30">
        <v>2615326701</v>
      </c>
      <c r="T216" s="30" t="s">
        <v>564</v>
      </c>
      <c r="U216" s="29">
        <v>2023</v>
      </c>
      <c r="AL216" s="3"/>
      <c r="AM216" s="3"/>
    </row>
    <row r="217" spans="1:44" s="1" customFormat="1" ht="30" customHeight="1" x14ac:dyDescent="0.2">
      <c r="A217" s="1">
        <v>215</v>
      </c>
      <c r="B217" s="30">
        <v>500221200</v>
      </c>
      <c r="C217" s="29" t="s">
        <v>2435</v>
      </c>
      <c r="D217" s="29" t="s">
        <v>2717</v>
      </c>
      <c r="E217" s="29" t="s">
        <v>2718</v>
      </c>
      <c r="F217" s="30" t="s">
        <v>2718</v>
      </c>
      <c r="G217" s="29">
        <v>5515</v>
      </c>
      <c r="H217" s="29" t="s">
        <v>2557</v>
      </c>
      <c r="I217" s="29" t="s">
        <v>2558</v>
      </c>
      <c r="J217" s="30" t="s">
        <v>2400</v>
      </c>
      <c r="K217" s="30"/>
      <c r="L217" s="30" t="s">
        <v>2397</v>
      </c>
      <c r="M217" s="30" t="s">
        <v>2401</v>
      </c>
      <c r="N217" s="29" t="s">
        <v>6</v>
      </c>
      <c r="O217" s="30">
        <v>2616979257</v>
      </c>
      <c r="P217" s="30" t="s">
        <v>2397</v>
      </c>
      <c r="Q217" s="30" t="s">
        <v>2401</v>
      </c>
      <c r="R217" s="30" t="s">
        <v>6</v>
      </c>
      <c r="S217" s="30">
        <v>2616979257</v>
      </c>
      <c r="T217" s="30" t="s">
        <v>2397</v>
      </c>
      <c r="U217" s="29">
        <v>2016</v>
      </c>
    </row>
    <row r="218" spans="1:44" s="1" customFormat="1" ht="30" customHeight="1" x14ac:dyDescent="0.2">
      <c r="A218" s="1">
        <v>216</v>
      </c>
      <c r="B218" s="30">
        <v>500224900</v>
      </c>
      <c r="C218" s="29" t="s">
        <v>2095</v>
      </c>
      <c r="D218" s="29" t="s">
        <v>2717</v>
      </c>
      <c r="E218" s="29" t="s">
        <v>2901</v>
      </c>
      <c r="F218" s="30" t="s">
        <v>2789</v>
      </c>
      <c r="G218" s="29">
        <v>5539</v>
      </c>
      <c r="H218" s="29" t="s">
        <v>2557</v>
      </c>
      <c r="I218" s="29" t="s">
        <v>2558</v>
      </c>
      <c r="J218" s="30" t="s">
        <v>815</v>
      </c>
      <c r="K218" s="30">
        <v>2615614036</v>
      </c>
      <c r="L218" s="30" t="s">
        <v>814</v>
      </c>
      <c r="M218" s="30" t="s">
        <v>816</v>
      </c>
      <c r="N218" s="29" t="s">
        <v>6</v>
      </c>
      <c r="O218" s="30">
        <v>2615614036</v>
      </c>
      <c r="P218" s="30" t="s">
        <v>817</v>
      </c>
      <c r="Q218" s="30" t="s">
        <v>818</v>
      </c>
      <c r="R218" s="30" t="s">
        <v>17</v>
      </c>
      <c r="S218" s="30">
        <v>2612159987</v>
      </c>
      <c r="T218" s="30" t="s">
        <v>819</v>
      </c>
      <c r="U218" s="29">
        <v>2016</v>
      </c>
    </row>
    <row r="219" spans="1:44" s="1" customFormat="1" ht="30" customHeight="1" x14ac:dyDescent="0.2">
      <c r="A219" s="1">
        <v>217</v>
      </c>
      <c r="B219" s="30">
        <v>500238900</v>
      </c>
      <c r="C219" s="29" t="s">
        <v>538</v>
      </c>
      <c r="D219" s="29" t="s">
        <v>2717</v>
      </c>
      <c r="E219" s="29" t="s">
        <v>539</v>
      </c>
      <c r="F219" s="30" t="s">
        <v>539</v>
      </c>
      <c r="G219" s="29">
        <v>5501</v>
      </c>
      <c r="H219" s="29" t="s">
        <v>2518</v>
      </c>
      <c r="I219" s="29" t="s">
        <v>2558</v>
      </c>
      <c r="J219" s="30" t="s">
        <v>540</v>
      </c>
      <c r="K219" s="30">
        <v>2617602800</v>
      </c>
      <c r="L219" s="30" t="s">
        <v>537</v>
      </c>
      <c r="M219" s="30" t="s">
        <v>541</v>
      </c>
      <c r="N219" s="29" t="s">
        <v>6</v>
      </c>
      <c r="O219" s="30">
        <v>2615933753</v>
      </c>
      <c r="P219" s="30" t="s">
        <v>542</v>
      </c>
      <c r="Q219" s="30" t="s">
        <v>543</v>
      </c>
      <c r="R219" s="30" t="s">
        <v>17</v>
      </c>
      <c r="S219" s="30">
        <v>2615155946</v>
      </c>
      <c r="T219" s="30" t="s">
        <v>544</v>
      </c>
      <c r="U219" s="29">
        <v>2020</v>
      </c>
      <c r="AC219" s="2"/>
    </row>
    <row r="220" spans="1:44" s="1" customFormat="1" ht="30" customHeight="1" x14ac:dyDescent="0.2">
      <c r="A220" s="1">
        <v>218</v>
      </c>
      <c r="B220" s="30">
        <v>540027900</v>
      </c>
      <c r="C220" s="29" t="s">
        <v>243</v>
      </c>
      <c r="D220" s="29" t="s">
        <v>2828</v>
      </c>
      <c r="E220" s="29" t="s">
        <v>2902</v>
      </c>
      <c r="F220" s="30" t="s">
        <v>2822</v>
      </c>
      <c r="G220" s="29">
        <v>3315</v>
      </c>
      <c r="H220" s="29" t="s">
        <v>2518</v>
      </c>
      <c r="I220" s="29" t="s">
        <v>2519</v>
      </c>
      <c r="J220" s="30" t="s">
        <v>244</v>
      </c>
      <c r="K220" s="30" t="s">
        <v>1990</v>
      </c>
      <c r="L220" s="30" t="s">
        <v>245</v>
      </c>
      <c r="M220" s="30" t="s">
        <v>246</v>
      </c>
      <c r="N220" s="29" t="s">
        <v>6</v>
      </c>
      <c r="O220" s="30" t="s">
        <v>2932</v>
      </c>
      <c r="P220" s="30" t="s">
        <v>248</v>
      </c>
      <c r="Q220" s="30" t="s">
        <v>249</v>
      </c>
      <c r="R220" s="30" t="s">
        <v>17</v>
      </c>
      <c r="S220" s="30">
        <v>93754442544</v>
      </c>
      <c r="T220" s="30" t="s">
        <v>242</v>
      </c>
      <c r="U220" s="29">
        <v>2021</v>
      </c>
    </row>
    <row r="221" spans="1:44" s="1" customFormat="1" ht="30" customHeight="1" x14ac:dyDescent="0.2">
      <c r="A221" s="1">
        <v>219</v>
      </c>
      <c r="B221" s="30">
        <v>540153300</v>
      </c>
      <c r="C221" s="29" t="s">
        <v>12</v>
      </c>
      <c r="D221" s="29" t="s">
        <v>2828</v>
      </c>
      <c r="E221" s="29" t="s">
        <v>2651</v>
      </c>
      <c r="F221" s="30" t="s">
        <v>1952</v>
      </c>
      <c r="G221" s="29">
        <v>3300</v>
      </c>
      <c r="H221" s="29" t="s">
        <v>2518</v>
      </c>
      <c r="I221" s="29" t="s">
        <v>2519</v>
      </c>
      <c r="J221" s="30" t="s">
        <v>13</v>
      </c>
      <c r="K221" s="30">
        <v>3765415117</v>
      </c>
      <c r="L221" s="30" t="s">
        <v>14</v>
      </c>
      <c r="M221" s="30" t="s">
        <v>15</v>
      </c>
      <c r="N221" s="29" t="s">
        <v>6</v>
      </c>
      <c r="O221" s="30">
        <v>3764376295</v>
      </c>
      <c r="P221" s="30" t="s">
        <v>14</v>
      </c>
      <c r="Q221" s="30" t="s">
        <v>16</v>
      </c>
      <c r="R221" s="30" t="s">
        <v>17</v>
      </c>
      <c r="S221" s="30">
        <v>3757404145</v>
      </c>
      <c r="T221" s="30" t="s">
        <v>18</v>
      </c>
      <c r="U221" s="29">
        <v>2021</v>
      </c>
    </row>
    <row r="222" spans="1:44" s="1" customFormat="1" ht="30" customHeight="1" x14ac:dyDescent="0.2">
      <c r="A222" s="1">
        <v>220</v>
      </c>
      <c r="B222" s="30">
        <v>540186600</v>
      </c>
      <c r="C222" s="29" t="s">
        <v>0</v>
      </c>
      <c r="D222" s="29" t="s">
        <v>2828</v>
      </c>
      <c r="E222" s="29" t="s">
        <v>1</v>
      </c>
      <c r="F222" s="30" t="s">
        <v>1</v>
      </c>
      <c r="G222" s="29">
        <v>3380</v>
      </c>
      <c r="H222" s="29" t="s">
        <v>2518</v>
      </c>
      <c r="I222" s="29" t="s">
        <v>2519</v>
      </c>
      <c r="J222" s="30" t="s">
        <v>2</v>
      </c>
      <c r="K222" s="30" t="s">
        <v>3</v>
      </c>
      <c r="L222" s="30" t="s">
        <v>4</v>
      </c>
      <c r="M222" s="30" t="s">
        <v>5</v>
      </c>
      <c r="N222" s="29" t="s">
        <v>6</v>
      </c>
      <c r="O222" s="30" t="s">
        <v>3</v>
      </c>
      <c r="P222" s="30" t="s">
        <v>4</v>
      </c>
      <c r="Q222" s="30" t="s">
        <v>7</v>
      </c>
      <c r="R222" s="30" t="s">
        <v>8</v>
      </c>
      <c r="S222" s="30" t="s">
        <v>9</v>
      </c>
      <c r="T222" s="30" t="s">
        <v>10</v>
      </c>
      <c r="U222" s="29">
        <v>2021</v>
      </c>
    </row>
    <row r="223" spans="1:44" s="1" customFormat="1" ht="30" customHeight="1" x14ac:dyDescent="0.2">
      <c r="A223" s="1">
        <v>221</v>
      </c>
      <c r="B223" s="30">
        <v>540207800</v>
      </c>
      <c r="C223" s="29" t="s">
        <v>584</v>
      </c>
      <c r="D223" s="29" t="s">
        <v>2828</v>
      </c>
      <c r="E223" s="29" t="s">
        <v>2651</v>
      </c>
      <c r="F223" s="30" t="s">
        <v>2790</v>
      </c>
      <c r="G223" s="29">
        <v>3328</v>
      </c>
      <c r="H223" s="29" t="s">
        <v>2557</v>
      </c>
      <c r="I223" s="29" t="s">
        <v>2519</v>
      </c>
      <c r="J223" s="30" t="s">
        <v>585</v>
      </c>
      <c r="K223" s="30">
        <v>3743527081</v>
      </c>
      <c r="L223" s="30" t="s">
        <v>586</v>
      </c>
      <c r="M223" s="30" t="s">
        <v>587</v>
      </c>
      <c r="N223" s="29" t="s">
        <v>6</v>
      </c>
      <c r="O223" s="30">
        <v>3743527081</v>
      </c>
      <c r="P223" s="30" t="s">
        <v>583</v>
      </c>
      <c r="Q223" s="30" t="s">
        <v>588</v>
      </c>
      <c r="R223" s="30" t="s">
        <v>17</v>
      </c>
      <c r="S223" s="30">
        <v>3764313514</v>
      </c>
      <c r="T223" s="30" t="s">
        <v>589</v>
      </c>
      <c r="U223" s="29">
        <v>2023</v>
      </c>
      <c r="Y223" s="2"/>
      <c r="AC223" s="2"/>
    </row>
    <row r="224" spans="1:44" s="1" customFormat="1" ht="30" customHeight="1" x14ac:dyDescent="0.2">
      <c r="A224" s="1">
        <v>222</v>
      </c>
      <c r="B224" s="30">
        <v>580075500</v>
      </c>
      <c r="C224" s="29" t="s">
        <v>323</v>
      </c>
      <c r="D224" s="30" t="s">
        <v>2791</v>
      </c>
      <c r="E224" s="29" t="s">
        <v>2903</v>
      </c>
      <c r="F224" s="30" t="s">
        <v>324</v>
      </c>
      <c r="G224" s="29">
        <v>8318</v>
      </c>
      <c r="H224" s="29" t="s">
        <v>2518</v>
      </c>
      <c r="I224" s="29" t="s">
        <v>2519</v>
      </c>
      <c r="J224" s="30" t="s">
        <v>325</v>
      </c>
      <c r="K224" s="30" t="s">
        <v>326</v>
      </c>
      <c r="L224" s="30" t="s">
        <v>327</v>
      </c>
      <c r="M224" s="30" t="s">
        <v>328</v>
      </c>
      <c r="N224" s="29" t="s">
        <v>33</v>
      </c>
      <c r="O224" s="30" t="s">
        <v>329</v>
      </c>
      <c r="P224" s="30" t="s">
        <v>322</v>
      </c>
      <c r="Q224" s="30" t="s">
        <v>328</v>
      </c>
      <c r="R224" s="30" t="s">
        <v>8</v>
      </c>
      <c r="S224" s="30" t="s">
        <v>329</v>
      </c>
      <c r="T224" s="30" t="s">
        <v>322</v>
      </c>
      <c r="U224" s="29">
        <v>2016</v>
      </c>
    </row>
    <row r="225" spans="1:44" s="1" customFormat="1" ht="30" customHeight="1" x14ac:dyDescent="0.2">
      <c r="A225" s="1">
        <v>223</v>
      </c>
      <c r="B225" s="30">
        <v>580108100</v>
      </c>
      <c r="C225" s="29" t="s">
        <v>446</v>
      </c>
      <c r="D225" s="30" t="s">
        <v>2791</v>
      </c>
      <c r="E225" s="29" t="s">
        <v>2903</v>
      </c>
      <c r="F225" s="30" t="s">
        <v>2791</v>
      </c>
      <c r="G225" s="29">
        <v>8340</v>
      </c>
      <c r="H225" s="29" t="s">
        <v>2518</v>
      </c>
      <c r="I225" s="29" t="s">
        <v>2519</v>
      </c>
      <c r="J225" s="30" t="s">
        <v>447</v>
      </c>
      <c r="K225" s="30" t="s">
        <v>448</v>
      </c>
      <c r="L225" s="30" t="s">
        <v>445</v>
      </c>
      <c r="M225" s="30" t="s">
        <v>449</v>
      </c>
      <c r="N225" s="29" t="s">
        <v>33</v>
      </c>
      <c r="O225" s="30" t="s">
        <v>2933</v>
      </c>
      <c r="P225" s="30" t="s">
        <v>451</v>
      </c>
      <c r="Q225" s="30" t="s">
        <v>452</v>
      </c>
      <c r="R225" s="30" t="s">
        <v>98</v>
      </c>
      <c r="S225" s="30" t="s">
        <v>453</v>
      </c>
      <c r="T225" s="30" t="s">
        <v>445</v>
      </c>
      <c r="U225" s="29">
        <v>2023</v>
      </c>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row>
    <row r="226" spans="1:44" s="1" customFormat="1" ht="30" customHeight="1" x14ac:dyDescent="0.2">
      <c r="A226" s="1">
        <v>224</v>
      </c>
      <c r="B226" s="30">
        <v>580131900</v>
      </c>
      <c r="C226" s="29" t="s">
        <v>1077</v>
      </c>
      <c r="D226" s="30" t="s">
        <v>2791</v>
      </c>
      <c r="E226" s="29" t="s">
        <v>2903</v>
      </c>
      <c r="F226" s="30" t="s">
        <v>1078</v>
      </c>
      <c r="G226" s="29">
        <v>8300</v>
      </c>
      <c r="H226" s="29" t="s">
        <v>2557</v>
      </c>
      <c r="I226" s="29" t="s">
        <v>2519</v>
      </c>
      <c r="J226" s="30" t="s">
        <v>1079</v>
      </c>
      <c r="K226" s="30">
        <v>2994823636</v>
      </c>
      <c r="L226" s="30" t="s">
        <v>1076</v>
      </c>
      <c r="M226" s="30" t="s">
        <v>1080</v>
      </c>
      <c r="N226" s="29" t="s">
        <v>6</v>
      </c>
      <c r="O226" s="30">
        <v>2994823636</v>
      </c>
      <c r="P226" s="30" t="s">
        <v>1076</v>
      </c>
      <c r="Q226" s="30" t="s">
        <v>1081</v>
      </c>
      <c r="R226" s="30" t="s">
        <v>17</v>
      </c>
      <c r="S226" s="30">
        <v>2994823636</v>
      </c>
      <c r="T226" s="30" t="s">
        <v>1076</v>
      </c>
      <c r="U226" s="109">
        <v>380098400</v>
      </c>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row>
    <row r="227" spans="1:44" s="1" customFormat="1" ht="30" customHeight="1" x14ac:dyDescent="0.2">
      <c r="A227" s="1">
        <v>225</v>
      </c>
      <c r="B227" s="30">
        <v>620100300</v>
      </c>
      <c r="C227" s="29" t="s">
        <v>1816</v>
      </c>
      <c r="D227" s="29" t="s">
        <v>2725</v>
      </c>
      <c r="E227" s="29" t="s">
        <v>2639</v>
      </c>
      <c r="F227" s="30" t="s">
        <v>2639</v>
      </c>
      <c r="G227" s="29">
        <v>8332</v>
      </c>
      <c r="H227" s="29" t="s">
        <v>2518</v>
      </c>
      <c r="I227" s="29" t="s">
        <v>2519</v>
      </c>
      <c r="J227" s="30" t="s">
        <v>1817</v>
      </c>
      <c r="K227" s="30">
        <v>2984336468</v>
      </c>
      <c r="L227" s="30" t="s">
        <v>1815</v>
      </c>
      <c r="M227" s="30" t="s">
        <v>1818</v>
      </c>
      <c r="N227" s="29" t="s">
        <v>33</v>
      </c>
      <c r="O227" s="30">
        <v>2984336468</v>
      </c>
      <c r="P227" s="30" t="s">
        <v>1815</v>
      </c>
      <c r="Q227" s="30" t="s">
        <v>1819</v>
      </c>
      <c r="R227" s="30" t="s">
        <v>17</v>
      </c>
      <c r="S227" s="30">
        <v>2984336468</v>
      </c>
      <c r="T227" s="30" t="s">
        <v>1815</v>
      </c>
      <c r="U227" s="29">
        <v>2021</v>
      </c>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row>
    <row r="228" spans="1:44" s="1" customFormat="1" ht="30" customHeight="1" x14ac:dyDescent="0.2">
      <c r="A228" s="1">
        <v>226</v>
      </c>
      <c r="B228" s="30">
        <v>620100301</v>
      </c>
      <c r="C228" s="29" t="s">
        <v>1841</v>
      </c>
      <c r="D228" s="29" t="s">
        <v>2725</v>
      </c>
      <c r="E228" s="29" t="s">
        <v>2792</v>
      </c>
      <c r="F228" s="30" t="s">
        <v>2792</v>
      </c>
      <c r="G228" s="29">
        <v>8400</v>
      </c>
      <c r="H228" s="29" t="s">
        <v>2518</v>
      </c>
      <c r="I228" s="29" t="s">
        <v>2519</v>
      </c>
      <c r="J228" s="30" t="s">
        <v>1842</v>
      </c>
      <c r="K228" s="30">
        <v>2984336468</v>
      </c>
      <c r="L228" s="30" t="s">
        <v>1843</v>
      </c>
      <c r="M228" s="30" t="s">
        <v>1829</v>
      </c>
      <c r="N228" s="29" t="s">
        <v>33</v>
      </c>
      <c r="O228" s="30">
        <v>2984336468</v>
      </c>
      <c r="P228" s="30" t="s">
        <v>1815</v>
      </c>
      <c r="Q228" s="30" t="s">
        <v>1824</v>
      </c>
      <c r="R228" s="30" t="s">
        <v>8</v>
      </c>
      <c r="S228" s="30">
        <v>2984336468</v>
      </c>
      <c r="T228" s="30" t="s">
        <v>1815</v>
      </c>
      <c r="U228" s="29">
        <v>2021</v>
      </c>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row>
    <row r="229" spans="1:44" s="1" customFormat="1" ht="30" customHeight="1" x14ac:dyDescent="0.2">
      <c r="A229" s="1">
        <v>227</v>
      </c>
      <c r="B229" s="30">
        <v>620100302</v>
      </c>
      <c r="C229" s="29" t="s">
        <v>1821</v>
      </c>
      <c r="D229" s="29" t="s">
        <v>2725</v>
      </c>
      <c r="E229" s="29" t="s">
        <v>2639</v>
      </c>
      <c r="F229" s="30" t="s">
        <v>2793</v>
      </c>
      <c r="G229" s="29">
        <v>8336</v>
      </c>
      <c r="H229" s="29" t="s">
        <v>2518</v>
      </c>
      <c r="I229" s="29" t="s">
        <v>2519</v>
      </c>
      <c r="J229" s="30" t="s">
        <v>1822</v>
      </c>
      <c r="K229" s="30">
        <v>2984281131</v>
      </c>
      <c r="L229" s="30" t="s">
        <v>1823</v>
      </c>
      <c r="M229" s="30" t="s">
        <v>1824</v>
      </c>
      <c r="N229" s="29" t="s">
        <v>33</v>
      </c>
      <c r="O229" s="30">
        <v>2984336468</v>
      </c>
      <c r="P229" s="30" t="s">
        <v>1815</v>
      </c>
      <c r="Q229" s="30" t="s">
        <v>1824</v>
      </c>
      <c r="R229" s="30" t="s">
        <v>8</v>
      </c>
      <c r="S229" s="30">
        <v>2984336468</v>
      </c>
      <c r="T229" s="30" t="s">
        <v>1815</v>
      </c>
      <c r="U229" s="29">
        <v>2021</v>
      </c>
      <c r="AL229" s="3"/>
      <c r="AM229" s="3"/>
    </row>
    <row r="230" spans="1:44" s="1" customFormat="1" ht="30" customHeight="1" x14ac:dyDescent="0.2">
      <c r="A230" s="1">
        <v>228</v>
      </c>
      <c r="B230" s="30">
        <v>620100305</v>
      </c>
      <c r="C230" s="29" t="s">
        <v>1825</v>
      </c>
      <c r="D230" s="29" t="s">
        <v>2725</v>
      </c>
      <c r="E230" s="29" t="s">
        <v>2639</v>
      </c>
      <c r="F230" s="30" t="s">
        <v>2823</v>
      </c>
      <c r="G230" s="29">
        <v>8303</v>
      </c>
      <c r="H230" s="29" t="s">
        <v>2518</v>
      </c>
      <c r="I230" s="29" t="s">
        <v>2519</v>
      </c>
      <c r="J230" s="30" t="s">
        <v>1826</v>
      </c>
      <c r="K230" s="30">
        <v>2984336468</v>
      </c>
      <c r="L230" s="30" t="s">
        <v>1827</v>
      </c>
      <c r="M230" s="30" t="s">
        <v>1828</v>
      </c>
      <c r="N230" s="29" t="s">
        <v>33</v>
      </c>
      <c r="O230" s="30">
        <v>2984336468</v>
      </c>
      <c r="P230" s="30" t="s">
        <v>1815</v>
      </c>
      <c r="Q230" s="30" t="s">
        <v>1829</v>
      </c>
      <c r="R230" s="30" t="s">
        <v>17</v>
      </c>
      <c r="S230" s="30">
        <v>2984336468</v>
      </c>
      <c r="T230" s="30" t="s">
        <v>1815</v>
      </c>
      <c r="U230" s="29">
        <v>2021</v>
      </c>
    </row>
    <row r="231" spans="1:44" s="1" customFormat="1" ht="30" customHeight="1" x14ac:dyDescent="0.2">
      <c r="A231" s="1">
        <v>229</v>
      </c>
      <c r="B231" s="30">
        <v>620100306</v>
      </c>
      <c r="C231" s="29" t="s">
        <v>1831</v>
      </c>
      <c r="D231" s="29" t="s">
        <v>2725</v>
      </c>
      <c r="E231" s="29" t="s">
        <v>2904</v>
      </c>
      <c r="F231" s="30" t="s">
        <v>2794</v>
      </c>
      <c r="G231" s="29">
        <v>8520</v>
      </c>
      <c r="H231" s="29" t="s">
        <v>2518</v>
      </c>
      <c r="I231" s="29" t="s">
        <v>2519</v>
      </c>
      <c r="J231" s="30" t="s">
        <v>1832</v>
      </c>
      <c r="K231" s="30">
        <v>2984336468</v>
      </c>
      <c r="L231" s="30" t="s">
        <v>1815</v>
      </c>
      <c r="M231" s="30" t="s">
        <v>1829</v>
      </c>
      <c r="N231" s="29" t="s">
        <v>33</v>
      </c>
      <c r="O231" s="30">
        <v>2984336468</v>
      </c>
      <c r="P231" s="30" t="s">
        <v>1815</v>
      </c>
      <c r="Q231" s="30" t="s">
        <v>1828</v>
      </c>
      <c r="R231" s="30" t="s">
        <v>8</v>
      </c>
      <c r="S231" s="30">
        <v>2984336468</v>
      </c>
      <c r="T231" s="30" t="s">
        <v>1815</v>
      </c>
      <c r="U231" s="29">
        <v>2021</v>
      </c>
    </row>
    <row r="232" spans="1:44" s="1" customFormat="1" ht="30" customHeight="1" x14ac:dyDescent="0.2">
      <c r="A232" s="1">
        <v>230</v>
      </c>
      <c r="B232" s="30">
        <v>660057600</v>
      </c>
      <c r="C232" s="29" t="s">
        <v>2829</v>
      </c>
      <c r="D232" s="29" t="s">
        <v>236</v>
      </c>
      <c r="E232" s="29" t="s">
        <v>2905</v>
      </c>
      <c r="F232" s="30" t="s">
        <v>1257</v>
      </c>
      <c r="G232" s="29">
        <v>4550</v>
      </c>
      <c r="H232" s="29" t="s">
        <v>2557</v>
      </c>
      <c r="I232" s="29" t="s">
        <v>2558</v>
      </c>
      <c r="J232" s="30" t="s">
        <v>1258</v>
      </c>
      <c r="K232" s="30" t="s">
        <v>1259</v>
      </c>
      <c r="L232" s="30" t="s">
        <v>1255</v>
      </c>
      <c r="M232" s="30" t="s">
        <v>1260</v>
      </c>
      <c r="N232" s="29" t="s">
        <v>6</v>
      </c>
      <c r="O232" s="30">
        <v>3878688830</v>
      </c>
      <c r="P232" s="30" t="s">
        <v>1261</v>
      </c>
      <c r="Q232" s="30" t="s">
        <v>1262</v>
      </c>
      <c r="R232" s="30" t="s">
        <v>17</v>
      </c>
      <c r="S232" s="30">
        <v>3887629666</v>
      </c>
      <c r="T232" s="30" t="s">
        <v>1263</v>
      </c>
      <c r="U232" s="29">
        <v>2022</v>
      </c>
    </row>
    <row r="233" spans="1:44" s="1" customFormat="1" ht="30" customHeight="1" x14ac:dyDescent="0.2">
      <c r="A233" s="1">
        <v>231</v>
      </c>
      <c r="B233" s="30">
        <v>660063300</v>
      </c>
      <c r="C233" s="29" t="s">
        <v>2006</v>
      </c>
      <c r="D233" s="29" t="s">
        <v>236</v>
      </c>
      <c r="E233" s="29" t="s">
        <v>2651</v>
      </c>
      <c r="F233" s="30" t="s">
        <v>236</v>
      </c>
      <c r="G233" s="29">
        <v>4400</v>
      </c>
      <c r="H233" s="29" t="s">
        <v>2518</v>
      </c>
      <c r="I233" s="29" t="s">
        <v>2519</v>
      </c>
      <c r="J233" s="30" t="s">
        <v>394</v>
      </c>
      <c r="K233" s="30">
        <v>3874214433</v>
      </c>
      <c r="L233" s="30" t="s">
        <v>395</v>
      </c>
      <c r="M233" s="30" t="s">
        <v>2008</v>
      </c>
      <c r="N233" s="29" t="s">
        <v>6</v>
      </c>
      <c r="O233" s="30">
        <v>3875352871</v>
      </c>
      <c r="P233" s="30" t="s">
        <v>393</v>
      </c>
      <c r="Q233" s="30" t="s">
        <v>2009</v>
      </c>
      <c r="R233" s="30" t="s">
        <v>17</v>
      </c>
      <c r="S233" s="30">
        <v>3875787564</v>
      </c>
      <c r="T233" s="30" t="s">
        <v>396</v>
      </c>
      <c r="U233" s="29">
        <v>2016</v>
      </c>
    </row>
    <row r="234" spans="1:44" s="1" customFormat="1" ht="30" customHeight="1" x14ac:dyDescent="0.2">
      <c r="A234" s="1">
        <v>232</v>
      </c>
      <c r="B234" s="30">
        <v>660117400</v>
      </c>
      <c r="C234" s="29" t="s">
        <v>1988</v>
      </c>
      <c r="D234" s="29" t="s">
        <v>236</v>
      </c>
      <c r="E234" s="29" t="s">
        <v>2651</v>
      </c>
      <c r="F234" s="30" t="s">
        <v>236</v>
      </c>
      <c r="G234" s="29">
        <v>4400</v>
      </c>
      <c r="H234" s="29" t="s">
        <v>2518</v>
      </c>
      <c r="I234" s="29" t="s">
        <v>2519</v>
      </c>
      <c r="J234" s="30" t="s">
        <v>237</v>
      </c>
      <c r="K234" s="30">
        <v>3874318963</v>
      </c>
      <c r="L234" s="30" t="s">
        <v>235</v>
      </c>
      <c r="M234" s="30" t="s">
        <v>238</v>
      </c>
      <c r="N234" s="29" t="s">
        <v>6</v>
      </c>
      <c r="O234" s="30">
        <v>3874872615</v>
      </c>
      <c r="P234" s="30" t="s">
        <v>235</v>
      </c>
      <c r="Q234" s="30" t="s">
        <v>239</v>
      </c>
      <c r="R234" s="30" t="s">
        <v>17</v>
      </c>
      <c r="S234" s="30">
        <v>3874403056</v>
      </c>
      <c r="T234" s="30" t="s">
        <v>240</v>
      </c>
      <c r="U234" s="29">
        <v>2021</v>
      </c>
    </row>
    <row r="235" spans="1:44" s="1" customFormat="1" ht="30" customHeight="1" x14ac:dyDescent="0.2">
      <c r="A235" s="1">
        <v>233</v>
      </c>
      <c r="B235" s="30">
        <v>660117401</v>
      </c>
      <c r="C235" s="30" t="s">
        <v>2958</v>
      </c>
      <c r="D235" s="29" t="s">
        <v>236</v>
      </c>
      <c r="E235" s="29" t="s">
        <v>2131</v>
      </c>
      <c r="F235" s="30" t="s">
        <v>2999</v>
      </c>
      <c r="G235" s="30">
        <v>4560</v>
      </c>
      <c r="H235" s="30" t="s">
        <v>2518</v>
      </c>
      <c r="I235" s="30" t="s">
        <v>2519</v>
      </c>
      <c r="J235" s="30" t="s">
        <v>3002</v>
      </c>
      <c r="K235" s="30">
        <v>3874318963</v>
      </c>
      <c r="L235" s="30" t="s">
        <v>240</v>
      </c>
      <c r="M235" s="30" t="s">
        <v>2961</v>
      </c>
      <c r="N235" s="30" t="s">
        <v>6</v>
      </c>
      <c r="O235" s="30">
        <v>3874872615</v>
      </c>
      <c r="P235" s="30" t="s">
        <v>2957</v>
      </c>
      <c r="Q235" s="30" t="s">
        <v>2962</v>
      </c>
      <c r="R235" s="30" t="s">
        <v>17</v>
      </c>
      <c r="S235" s="30">
        <v>3873331961</v>
      </c>
      <c r="T235" s="30" t="s">
        <v>2963</v>
      </c>
      <c r="U235" s="30">
        <v>2021</v>
      </c>
    </row>
    <row r="236" spans="1:44" s="1" customFormat="1" ht="30" customHeight="1" x14ac:dyDescent="0.2">
      <c r="A236" s="1">
        <v>234</v>
      </c>
      <c r="B236" s="30">
        <v>660117402</v>
      </c>
      <c r="C236" s="30" t="s">
        <v>2965</v>
      </c>
      <c r="D236" s="29" t="s">
        <v>236</v>
      </c>
      <c r="E236" s="30" t="s">
        <v>2966</v>
      </c>
      <c r="F236" s="30" t="s">
        <v>2966</v>
      </c>
      <c r="G236" s="30">
        <v>4407</v>
      </c>
      <c r="H236" s="30" t="s">
        <v>2518</v>
      </c>
      <c r="I236" s="30" t="s">
        <v>2519</v>
      </c>
      <c r="J236" s="30" t="s">
        <v>3003</v>
      </c>
      <c r="K236" s="30">
        <v>3874872615</v>
      </c>
      <c r="L236" s="30" t="s">
        <v>2968</v>
      </c>
      <c r="M236" s="30" t="s">
        <v>238</v>
      </c>
      <c r="N236" s="30" t="s">
        <v>6</v>
      </c>
      <c r="O236" s="30">
        <v>3874872615</v>
      </c>
      <c r="P236" s="30" t="s">
        <v>2957</v>
      </c>
      <c r="Q236" s="30" t="s">
        <v>2969</v>
      </c>
      <c r="R236" s="30" t="s">
        <v>17</v>
      </c>
      <c r="S236" s="30">
        <v>3874203510</v>
      </c>
      <c r="T236" s="30" t="s">
        <v>240</v>
      </c>
      <c r="U236" s="30">
        <v>2021</v>
      </c>
    </row>
    <row r="237" spans="1:44" s="1" customFormat="1" ht="30" customHeight="1" x14ac:dyDescent="0.2">
      <c r="A237" s="1">
        <v>235</v>
      </c>
      <c r="B237" s="30">
        <v>660117403</v>
      </c>
      <c r="C237" s="30" t="s">
        <v>2971</v>
      </c>
      <c r="D237" s="29" t="s">
        <v>236</v>
      </c>
      <c r="E237" s="30" t="s">
        <v>2972</v>
      </c>
      <c r="F237" s="30" t="s">
        <v>3001</v>
      </c>
      <c r="G237" s="30">
        <v>4530</v>
      </c>
      <c r="H237" s="30" t="s">
        <v>2518</v>
      </c>
      <c r="I237" s="30" t="s">
        <v>2519</v>
      </c>
      <c r="J237" s="30" t="s">
        <v>3004</v>
      </c>
      <c r="K237" s="30">
        <v>3878422481</v>
      </c>
      <c r="L237" s="30" t="s">
        <v>240</v>
      </c>
      <c r="M237" s="30" t="s">
        <v>238</v>
      </c>
      <c r="N237" s="30" t="s">
        <v>6</v>
      </c>
      <c r="O237" s="30">
        <v>3874872615</v>
      </c>
      <c r="P237" s="30" t="s">
        <v>2957</v>
      </c>
      <c r="Q237" s="30" t="s">
        <v>2974</v>
      </c>
      <c r="R237" s="30" t="s">
        <v>17</v>
      </c>
      <c r="S237" s="30">
        <v>3878645379</v>
      </c>
      <c r="T237" s="30" t="s">
        <v>2975</v>
      </c>
      <c r="U237" s="30">
        <v>2021</v>
      </c>
      <c r="AL237" s="3"/>
      <c r="AM237" s="3"/>
    </row>
    <row r="238" spans="1:44" s="1" customFormat="1" ht="30" customHeight="1" x14ac:dyDescent="0.2">
      <c r="A238" s="1">
        <v>236</v>
      </c>
      <c r="B238" s="30">
        <v>660117404</v>
      </c>
      <c r="C238" s="30" t="s">
        <v>2977</v>
      </c>
      <c r="D238" s="29" t="s">
        <v>236</v>
      </c>
      <c r="E238" s="30" t="s">
        <v>2885</v>
      </c>
      <c r="F238" s="30" t="s">
        <v>2885</v>
      </c>
      <c r="G238" s="30">
        <v>4430</v>
      </c>
      <c r="H238" s="30" t="s">
        <v>2518</v>
      </c>
      <c r="I238" s="30" t="s">
        <v>2519</v>
      </c>
      <c r="J238" s="30" t="s">
        <v>2983</v>
      </c>
      <c r="K238" s="30">
        <v>387318963</v>
      </c>
      <c r="L238" s="30" t="s">
        <v>240</v>
      </c>
      <c r="M238" s="30" t="s">
        <v>238</v>
      </c>
      <c r="N238" s="30" t="s">
        <v>6</v>
      </c>
      <c r="O238" s="30">
        <v>3874872615</v>
      </c>
      <c r="P238" s="30" t="s">
        <v>2957</v>
      </c>
      <c r="Q238" s="30" t="s">
        <v>2984</v>
      </c>
      <c r="R238" s="30" t="s">
        <v>17</v>
      </c>
      <c r="S238" s="30">
        <v>3874691256</v>
      </c>
      <c r="T238" s="30" t="s">
        <v>240</v>
      </c>
      <c r="U238" s="30">
        <v>2021</v>
      </c>
      <c r="Y238" s="2"/>
      <c r="AC238" s="2"/>
    </row>
    <row r="239" spans="1:44" s="1" customFormat="1" ht="30" customHeight="1" x14ac:dyDescent="0.2">
      <c r="A239" s="1">
        <v>237</v>
      </c>
      <c r="B239" s="30">
        <v>660117405</v>
      </c>
      <c r="C239" s="30" t="s">
        <v>2986</v>
      </c>
      <c r="D239" s="29" t="s">
        <v>236</v>
      </c>
      <c r="E239" s="30" t="s">
        <v>2978</v>
      </c>
      <c r="F239" s="30" t="s">
        <v>3005</v>
      </c>
      <c r="G239" s="30">
        <v>4448</v>
      </c>
      <c r="H239" s="30" t="s">
        <v>2518</v>
      </c>
      <c r="I239" s="30" t="s">
        <v>2519</v>
      </c>
      <c r="J239" s="30" t="s">
        <v>2987</v>
      </c>
      <c r="K239" s="30">
        <v>3874318963</v>
      </c>
      <c r="L239" s="30" t="s">
        <v>240</v>
      </c>
      <c r="M239" s="30" t="s">
        <v>238</v>
      </c>
      <c r="N239" s="30" t="s">
        <v>6</v>
      </c>
      <c r="O239" s="30">
        <v>3874872615</v>
      </c>
      <c r="P239" s="30" t="s">
        <v>240</v>
      </c>
      <c r="Q239" s="30" t="s">
        <v>2980</v>
      </c>
      <c r="R239" s="30" t="s">
        <v>17</v>
      </c>
      <c r="S239" s="30">
        <v>3877473313</v>
      </c>
      <c r="T239" s="30" t="s">
        <v>240</v>
      </c>
      <c r="U239" s="30">
        <v>2021</v>
      </c>
      <c r="AL239" s="3"/>
      <c r="AM239" s="3"/>
    </row>
    <row r="240" spans="1:44" s="1" customFormat="1" ht="30" customHeight="1" x14ac:dyDescent="0.2">
      <c r="A240" s="1">
        <v>238</v>
      </c>
      <c r="B240" s="30">
        <v>660117408</v>
      </c>
      <c r="C240" s="30" t="s">
        <v>2989</v>
      </c>
      <c r="D240" s="29" t="s">
        <v>236</v>
      </c>
      <c r="E240" s="30" t="s">
        <v>3000</v>
      </c>
      <c r="F240" s="105" t="s">
        <v>3006</v>
      </c>
      <c r="G240" s="30">
        <v>4421</v>
      </c>
      <c r="H240" s="30" t="s">
        <v>2518</v>
      </c>
      <c r="I240" s="30" t="s">
        <v>2519</v>
      </c>
      <c r="J240" s="30" t="s">
        <v>3007</v>
      </c>
      <c r="K240" s="30">
        <v>387472615</v>
      </c>
      <c r="L240" s="30" t="s">
        <v>240</v>
      </c>
      <c r="M240" s="30" t="s">
        <v>238</v>
      </c>
      <c r="N240" s="30" t="s">
        <v>6</v>
      </c>
      <c r="O240" s="30">
        <v>3874872615</v>
      </c>
      <c r="P240" s="30" t="s">
        <v>2957</v>
      </c>
      <c r="Q240" s="30" t="s">
        <v>2992</v>
      </c>
      <c r="R240" s="30" t="s">
        <v>17</v>
      </c>
      <c r="S240" s="30">
        <v>3875356099</v>
      </c>
      <c r="T240" s="30" t="s">
        <v>240</v>
      </c>
      <c r="U240" s="30">
        <v>2021</v>
      </c>
    </row>
    <row r="241" spans="1:44" s="1" customFormat="1" ht="30" customHeight="1" x14ac:dyDescent="0.2">
      <c r="A241" s="1">
        <v>239</v>
      </c>
      <c r="B241" s="30">
        <v>660117410</v>
      </c>
      <c r="C241" s="30" t="s">
        <v>2994</v>
      </c>
      <c r="D241" s="29" t="s">
        <v>236</v>
      </c>
      <c r="E241" s="30" t="s">
        <v>2995</v>
      </c>
      <c r="F241" s="30" t="s">
        <v>2995</v>
      </c>
      <c r="G241" s="30">
        <v>4190</v>
      </c>
      <c r="H241" s="30" t="s">
        <v>2518</v>
      </c>
      <c r="I241" s="30" t="s">
        <v>2519</v>
      </c>
      <c r="J241" s="30" t="s">
        <v>2996</v>
      </c>
      <c r="K241" s="30">
        <v>3874318963</v>
      </c>
      <c r="L241" s="30" t="s">
        <v>240</v>
      </c>
      <c r="M241" s="30" t="s">
        <v>238</v>
      </c>
      <c r="N241" s="30" t="s">
        <v>6</v>
      </c>
      <c r="O241" s="30">
        <v>3874872615</v>
      </c>
      <c r="P241" s="30" t="s">
        <v>2957</v>
      </c>
      <c r="Q241" s="30" t="s">
        <v>2997</v>
      </c>
      <c r="R241" s="30" t="s">
        <v>17</v>
      </c>
      <c r="S241" s="30">
        <v>3874872615</v>
      </c>
      <c r="T241" s="30" t="s">
        <v>240</v>
      </c>
      <c r="U241" s="30">
        <v>2021</v>
      </c>
    </row>
    <row r="242" spans="1:44" s="1" customFormat="1" ht="30" customHeight="1" x14ac:dyDescent="0.2">
      <c r="A242" s="1">
        <v>240</v>
      </c>
      <c r="B242" s="30">
        <v>660150700</v>
      </c>
      <c r="C242" s="29" t="s">
        <v>2123</v>
      </c>
      <c r="D242" s="29" t="s">
        <v>236</v>
      </c>
      <c r="E242" s="29" t="s">
        <v>2795</v>
      </c>
      <c r="F242" s="30" t="s">
        <v>2795</v>
      </c>
      <c r="G242" s="29">
        <v>4417</v>
      </c>
      <c r="H242" s="29" t="s">
        <v>2557</v>
      </c>
      <c r="I242" s="29" t="s">
        <v>2519</v>
      </c>
      <c r="J242" s="30" t="s">
        <v>1021</v>
      </c>
      <c r="K242" s="30">
        <v>3873063022</v>
      </c>
      <c r="L242" s="30" t="s">
        <v>1020</v>
      </c>
      <c r="M242" s="30" t="s">
        <v>1022</v>
      </c>
      <c r="N242" s="29" t="s">
        <v>6</v>
      </c>
      <c r="O242" s="30">
        <v>3875869713</v>
      </c>
      <c r="P242" s="30" t="s">
        <v>1023</v>
      </c>
      <c r="Q242" s="30" t="s">
        <v>2125</v>
      </c>
      <c r="R242" s="30" t="s">
        <v>17</v>
      </c>
      <c r="S242" s="30">
        <v>3875401276</v>
      </c>
      <c r="T242" s="30" t="s">
        <v>1024</v>
      </c>
      <c r="U242" s="29">
        <v>2022</v>
      </c>
    </row>
    <row r="243" spans="1:44" s="1" customFormat="1" ht="30" customHeight="1" x14ac:dyDescent="0.2">
      <c r="A243" s="1">
        <v>241</v>
      </c>
      <c r="B243" s="30">
        <v>820033500</v>
      </c>
      <c r="C243" s="29" t="s">
        <v>592</v>
      </c>
      <c r="D243" s="30" t="s">
        <v>209</v>
      </c>
      <c r="E243" s="29" t="s">
        <v>593</v>
      </c>
      <c r="F243" s="30" t="s">
        <v>593</v>
      </c>
      <c r="G243" s="29">
        <v>3040</v>
      </c>
      <c r="H243" s="29" t="s">
        <v>2557</v>
      </c>
      <c r="I243" s="29" t="s">
        <v>2558</v>
      </c>
      <c r="J243" s="30" t="s">
        <v>594</v>
      </c>
      <c r="K243" s="30">
        <v>3498526026</v>
      </c>
      <c r="L243" s="30" t="s">
        <v>595</v>
      </c>
      <c r="M243" s="30" t="s">
        <v>2075</v>
      </c>
      <c r="N243" s="29" t="s">
        <v>33</v>
      </c>
      <c r="O243" s="30">
        <v>3498500315</v>
      </c>
      <c r="P243" s="30" t="s">
        <v>591</v>
      </c>
      <c r="Q243" s="30" t="s">
        <v>596</v>
      </c>
      <c r="R243" s="30" t="s">
        <v>17</v>
      </c>
      <c r="S243" s="30" t="s">
        <v>597</v>
      </c>
      <c r="T243" s="30" t="s">
        <v>598</v>
      </c>
      <c r="U243" s="29">
        <v>2022</v>
      </c>
    </row>
    <row r="244" spans="1:44" s="1" customFormat="1" ht="30" customHeight="1" x14ac:dyDescent="0.2">
      <c r="A244" s="1">
        <v>242</v>
      </c>
      <c r="B244" s="30">
        <v>820061900</v>
      </c>
      <c r="C244" s="29" t="s">
        <v>40</v>
      </c>
      <c r="D244" s="30" t="s">
        <v>209</v>
      </c>
      <c r="E244" s="29" t="s">
        <v>2906</v>
      </c>
      <c r="F244" s="30" t="s">
        <v>41</v>
      </c>
      <c r="G244" s="29">
        <v>2206</v>
      </c>
      <c r="H244" s="29" t="s">
        <v>2518</v>
      </c>
      <c r="I244" s="29" t="s">
        <v>2519</v>
      </c>
      <c r="J244" s="30" t="s">
        <v>42</v>
      </c>
      <c r="K244" s="30">
        <v>3415646099</v>
      </c>
      <c r="L244" s="30" t="s">
        <v>39</v>
      </c>
      <c r="M244" s="30" t="s">
        <v>43</v>
      </c>
      <c r="N244" s="29" t="s">
        <v>33</v>
      </c>
      <c r="O244" s="30">
        <v>3476358198</v>
      </c>
      <c r="P244" s="30" t="s">
        <v>44</v>
      </c>
      <c r="Q244" s="30" t="s">
        <v>43</v>
      </c>
      <c r="R244" s="30" t="s">
        <v>8</v>
      </c>
      <c r="S244" s="30">
        <v>3476358198</v>
      </c>
      <c r="T244" s="30" t="s">
        <v>44</v>
      </c>
      <c r="U244" s="29">
        <v>2021</v>
      </c>
    </row>
    <row r="245" spans="1:44" s="1" customFormat="1" ht="30" customHeight="1" x14ac:dyDescent="0.2">
      <c r="A245" s="1">
        <v>243</v>
      </c>
      <c r="B245" s="30">
        <v>820061901</v>
      </c>
      <c r="C245" s="29" t="s">
        <v>46</v>
      </c>
      <c r="D245" s="30" t="s">
        <v>209</v>
      </c>
      <c r="E245" s="29" t="s">
        <v>47</v>
      </c>
      <c r="F245" s="30" t="s">
        <v>47</v>
      </c>
      <c r="G245" s="29">
        <v>2000</v>
      </c>
      <c r="H245" s="29" t="s">
        <v>2518</v>
      </c>
      <c r="I245" s="29" t="s">
        <v>2519</v>
      </c>
      <c r="J245" s="30" t="s">
        <v>48</v>
      </c>
      <c r="K245" s="30">
        <v>3415646099</v>
      </c>
      <c r="L245" s="30" t="s">
        <v>39</v>
      </c>
      <c r="M245" s="30" t="s">
        <v>49</v>
      </c>
      <c r="N245" s="29" t="s">
        <v>6</v>
      </c>
      <c r="O245" s="30">
        <v>3412107249</v>
      </c>
      <c r="P245" s="30" t="s">
        <v>50</v>
      </c>
      <c r="Q245" s="30" t="s">
        <v>43</v>
      </c>
      <c r="R245" s="30" t="s">
        <v>8</v>
      </c>
      <c r="S245" s="30">
        <v>3476358198</v>
      </c>
      <c r="T245" s="30" t="s">
        <v>44</v>
      </c>
      <c r="U245" s="29">
        <v>2021</v>
      </c>
    </row>
    <row r="246" spans="1:44" s="1" customFormat="1" ht="30" customHeight="1" x14ac:dyDescent="0.2">
      <c r="A246" s="1">
        <v>244</v>
      </c>
      <c r="B246" s="30">
        <v>820104900</v>
      </c>
      <c r="C246" s="29" t="s">
        <v>1999</v>
      </c>
      <c r="D246" s="30" t="s">
        <v>209</v>
      </c>
      <c r="E246" s="29" t="s">
        <v>2907</v>
      </c>
      <c r="F246" s="30" t="s">
        <v>314</v>
      </c>
      <c r="G246" s="29">
        <v>3580</v>
      </c>
      <c r="H246" s="29" t="s">
        <v>2518</v>
      </c>
      <c r="I246" s="29" t="s">
        <v>2558</v>
      </c>
      <c r="J246" s="30" t="s">
        <v>315</v>
      </c>
      <c r="K246" s="30" t="s">
        <v>316</v>
      </c>
      <c r="L246" s="30" t="s">
        <v>317</v>
      </c>
      <c r="M246" s="30" t="s">
        <v>318</v>
      </c>
      <c r="N246" s="29" t="s">
        <v>33</v>
      </c>
      <c r="O246" s="30">
        <v>3482641553</v>
      </c>
      <c r="P246" s="30" t="s">
        <v>313</v>
      </c>
      <c r="Q246" s="30" t="s">
        <v>319</v>
      </c>
      <c r="R246" s="30" t="s">
        <v>17</v>
      </c>
      <c r="S246" s="30">
        <v>3482655187</v>
      </c>
      <c r="T246" s="30" t="s">
        <v>320</v>
      </c>
      <c r="U246" s="29">
        <v>2020</v>
      </c>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row>
    <row r="247" spans="1:44" s="1" customFormat="1" ht="30" customHeight="1" x14ac:dyDescent="0.2">
      <c r="A247" s="1">
        <v>245</v>
      </c>
      <c r="B247" s="30">
        <v>820188400</v>
      </c>
      <c r="C247" s="29" t="s">
        <v>525</v>
      </c>
      <c r="D247" s="30" t="s">
        <v>209</v>
      </c>
      <c r="E247" s="29" t="s">
        <v>2736</v>
      </c>
      <c r="F247" s="30" t="s">
        <v>209</v>
      </c>
      <c r="G247" s="29">
        <v>3000</v>
      </c>
      <c r="H247" s="29" t="s">
        <v>2518</v>
      </c>
      <c r="I247" s="29" t="s">
        <v>2519</v>
      </c>
      <c r="J247" s="30" t="s">
        <v>526</v>
      </c>
      <c r="K247" s="30" t="s">
        <v>527</v>
      </c>
      <c r="L247" s="30" t="s">
        <v>528</v>
      </c>
      <c r="M247" s="30" t="s">
        <v>529</v>
      </c>
      <c r="N247" s="29" t="s">
        <v>6</v>
      </c>
      <c r="O247" s="30" t="s">
        <v>530</v>
      </c>
      <c r="P247" s="30" t="s">
        <v>524</v>
      </c>
      <c r="Q247" s="30" t="s">
        <v>529</v>
      </c>
      <c r="R247" s="30" t="s">
        <v>6</v>
      </c>
      <c r="S247" s="30" t="s">
        <v>530</v>
      </c>
      <c r="T247" s="30" t="s">
        <v>524</v>
      </c>
      <c r="U247" s="29">
        <v>2016</v>
      </c>
    </row>
    <row r="248" spans="1:44" s="1" customFormat="1" ht="30" customHeight="1" x14ac:dyDescent="0.2">
      <c r="A248" s="1">
        <v>246</v>
      </c>
      <c r="B248" s="30">
        <v>820188401</v>
      </c>
      <c r="C248" s="29" t="s">
        <v>82</v>
      </c>
      <c r="D248" s="30" t="s">
        <v>209</v>
      </c>
      <c r="E248" s="29" t="s">
        <v>2908</v>
      </c>
      <c r="F248" s="30" t="s">
        <v>83</v>
      </c>
      <c r="G248" s="29">
        <v>3080</v>
      </c>
      <c r="H248" s="29" t="s">
        <v>2518</v>
      </c>
      <c r="I248" s="29" t="s">
        <v>2519</v>
      </c>
      <c r="J248" s="30" t="s">
        <v>84</v>
      </c>
      <c r="K248" s="30" t="s">
        <v>1963</v>
      </c>
      <c r="L248" s="30" t="s">
        <v>85</v>
      </c>
      <c r="M248" s="30" t="s">
        <v>86</v>
      </c>
      <c r="N248" s="29" t="s">
        <v>6</v>
      </c>
      <c r="O248" s="30" t="s">
        <v>87</v>
      </c>
      <c r="P248" s="30" t="s">
        <v>81</v>
      </c>
      <c r="Q248" s="30" t="s">
        <v>88</v>
      </c>
      <c r="R248" s="30" t="s">
        <v>6</v>
      </c>
      <c r="S248" s="30" t="s">
        <v>87</v>
      </c>
      <c r="T248" s="30" t="s">
        <v>81</v>
      </c>
      <c r="U248" s="29">
        <v>2016</v>
      </c>
    </row>
    <row r="249" spans="1:44" s="1" customFormat="1" ht="30" customHeight="1" x14ac:dyDescent="0.2">
      <c r="A249" s="1">
        <v>247</v>
      </c>
      <c r="B249" s="30">
        <v>820188402</v>
      </c>
      <c r="C249" s="29" t="s">
        <v>2455</v>
      </c>
      <c r="D249" s="30" t="s">
        <v>209</v>
      </c>
      <c r="E249" s="29" t="s">
        <v>2909</v>
      </c>
      <c r="F249" s="30" t="s">
        <v>2796</v>
      </c>
      <c r="G249" s="29">
        <v>3070</v>
      </c>
      <c r="H249" s="29" t="s">
        <v>2518</v>
      </c>
      <c r="I249" s="29" t="s">
        <v>2519</v>
      </c>
      <c r="J249" s="30" t="s">
        <v>169</v>
      </c>
      <c r="K249" s="30">
        <v>3408420392</v>
      </c>
      <c r="L249" s="30" t="s">
        <v>167</v>
      </c>
      <c r="M249" s="30" t="s">
        <v>170</v>
      </c>
      <c r="N249" s="29" t="s">
        <v>6</v>
      </c>
      <c r="O249" s="30">
        <v>3408680068</v>
      </c>
      <c r="P249" s="30" t="s">
        <v>171</v>
      </c>
      <c r="Q249" s="30" t="s">
        <v>170</v>
      </c>
      <c r="R249" s="30" t="s">
        <v>6</v>
      </c>
      <c r="S249" s="30">
        <v>3408680068</v>
      </c>
      <c r="T249" s="30" t="s">
        <v>171</v>
      </c>
      <c r="U249" s="29">
        <v>2016</v>
      </c>
    </row>
    <row r="250" spans="1:44" s="1" customFormat="1" ht="30" customHeight="1" x14ac:dyDescent="0.2">
      <c r="A250" s="1">
        <v>248</v>
      </c>
      <c r="B250" s="30">
        <v>820208400</v>
      </c>
      <c r="C250" s="29" t="s">
        <v>1084</v>
      </c>
      <c r="D250" s="30" t="s">
        <v>209</v>
      </c>
      <c r="E250" s="29" t="s">
        <v>2910</v>
      </c>
      <c r="F250" s="30" t="s">
        <v>2128</v>
      </c>
      <c r="G250" s="29">
        <v>3060</v>
      </c>
      <c r="H250" s="29" t="s">
        <v>2557</v>
      </c>
      <c r="I250" s="29" t="s">
        <v>2558</v>
      </c>
      <c r="J250" s="30" t="s">
        <v>2129</v>
      </c>
      <c r="K250" s="30">
        <v>3491471747</v>
      </c>
      <c r="L250" s="30" t="s">
        <v>1083</v>
      </c>
      <c r="M250" s="30" t="s">
        <v>1085</v>
      </c>
      <c r="N250" s="29" t="s">
        <v>33</v>
      </c>
      <c r="O250" s="30">
        <v>3491508042</v>
      </c>
      <c r="P250" s="30" t="s">
        <v>1086</v>
      </c>
      <c r="Q250" s="30" t="s">
        <v>1087</v>
      </c>
      <c r="R250" s="30" t="s">
        <v>17</v>
      </c>
      <c r="S250" s="30">
        <v>3491419733</v>
      </c>
      <c r="T250" s="30" t="s">
        <v>1088</v>
      </c>
      <c r="U250" s="29">
        <v>2022</v>
      </c>
    </row>
    <row r="251" spans="1:44" s="1" customFormat="1" ht="30" customHeight="1" x14ac:dyDescent="0.2">
      <c r="A251" s="1">
        <v>249</v>
      </c>
      <c r="B251" s="30">
        <v>820240200</v>
      </c>
      <c r="C251" s="29" t="s">
        <v>1031</v>
      </c>
      <c r="D251" s="30" t="s">
        <v>209</v>
      </c>
      <c r="E251" s="29" t="s">
        <v>2911</v>
      </c>
      <c r="F251" s="30" t="s">
        <v>2797</v>
      </c>
      <c r="G251" s="29">
        <v>6100</v>
      </c>
      <c r="H251" s="29" t="s">
        <v>2557</v>
      </c>
      <c r="I251" s="29" t="s">
        <v>2558</v>
      </c>
      <c r="J251" s="30" t="s">
        <v>1032</v>
      </c>
      <c r="K251" s="30">
        <v>3382428570</v>
      </c>
      <c r="L251" s="30" t="s">
        <v>1033</v>
      </c>
      <c r="M251" s="30" t="s">
        <v>1034</v>
      </c>
      <c r="N251" s="29" t="s">
        <v>6</v>
      </c>
      <c r="O251" s="30">
        <v>3382465252</v>
      </c>
      <c r="P251" s="30" t="s">
        <v>1035</v>
      </c>
      <c r="Q251" s="30" t="s">
        <v>1036</v>
      </c>
      <c r="R251" s="30" t="s">
        <v>36</v>
      </c>
      <c r="S251" s="30">
        <v>3382671284</v>
      </c>
      <c r="T251" s="30" t="s">
        <v>1037</v>
      </c>
      <c r="U251" s="29">
        <v>2016</v>
      </c>
    </row>
    <row r="252" spans="1:44" s="1" customFormat="1" ht="30" customHeight="1" x14ac:dyDescent="0.2">
      <c r="A252" s="1">
        <v>250</v>
      </c>
      <c r="B252" s="30">
        <v>820250700</v>
      </c>
      <c r="C252" s="29" t="s">
        <v>29</v>
      </c>
      <c r="D252" s="30" t="s">
        <v>209</v>
      </c>
      <c r="E252" s="29" t="s">
        <v>47</v>
      </c>
      <c r="F252" s="30" t="s">
        <v>47</v>
      </c>
      <c r="G252" s="29">
        <v>2000</v>
      </c>
      <c r="H252" s="29" t="s">
        <v>2518</v>
      </c>
      <c r="I252" s="29" t="s">
        <v>2519</v>
      </c>
      <c r="J252" s="30" t="s">
        <v>30</v>
      </c>
      <c r="K252" s="30" t="s">
        <v>31</v>
      </c>
      <c r="L252" s="30" t="s">
        <v>28</v>
      </c>
      <c r="M252" s="30" t="s">
        <v>32</v>
      </c>
      <c r="N252" s="29" t="s">
        <v>33</v>
      </c>
      <c r="O252" s="30">
        <v>3415026259</v>
      </c>
      <c r="P252" s="30" t="s">
        <v>34</v>
      </c>
      <c r="Q252" s="30" t="s">
        <v>35</v>
      </c>
      <c r="R252" s="30" t="s">
        <v>36</v>
      </c>
      <c r="S252" s="30">
        <v>3413630911</v>
      </c>
      <c r="T252" s="30" t="s">
        <v>37</v>
      </c>
      <c r="U252" s="29">
        <v>2016</v>
      </c>
      <c r="Y252" s="4"/>
    </row>
    <row r="253" spans="1:44" s="1" customFormat="1" ht="30" customHeight="1" x14ac:dyDescent="0.2">
      <c r="A253" s="1">
        <v>251</v>
      </c>
      <c r="B253" s="30">
        <v>820252400</v>
      </c>
      <c r="C253" s="29" t="s">
        <v>622</v>
      </c>
      <c r="D253" s="30" t="s">
        <v>209</v>
      </c>
      <c r="E253" s="29" t="s">
        <v>47</v>
      </c>
      <c r="F253" s="30" t="s">
        <v>47</v>
      </c>
      <c r="G253" s="29">
        <v>2000</v>
      </c>
      <c r="H253" s="29" t="s">
        <v>2557</v>
      </c>
      <c r="I253" s="29" t="s">
        <v>2519</v>
      </c>
      <c r="J253" s="30" t="s">
        <v>623</v>
      </c>
      <c r="K253" s="30" t="s">
        <v>2078</v>
      </c>
      <c r="L253" s="30" t="s">
        <v>621</v>
      </c>
      <c r="M253" s="30" t="s">
        <v>624</v>
      </c>
      <c r="N253" s="29" t="s">
        <v>33</v>
      </c>
      <c r="O253" s="30">
        <v>3413364518</v>
      </c>
      <c r="P253" s="30" t="s">
        <v>625</v>
      </c>
      <c r="Q253" s="30" t="s">
        <v>2079</v>
      </c>
      <c r="R253" s="30" t="s">
        <v>27</v>
      </c>
      <c r="S253" s="30">
        <v>3413814812</v>
      </c>
      <c r="T253" s="30" t="s">
        <v>626</v>
      </c>
      <c r="U253" s="29">
        <v>2016</v>
      </c>
    </row>
    <row r="254" spans="1:44" s="1" customFormat="1" ht="30" customHeight="1" x14ac:dyDescent="0.2">
      <c r="A254" s="1">
        <v>252</v>
      </c>
      <c r="B254" s="30">
        <v>820375600</v>
      </c>
      <c r="C254" s="29" t="s">
        <v>612</v>
      </c>
      <c r="D254" s="30" t="s">
        <v>209</v>
      </c>
      <c r="E254" s="29" t="s">
        <v>2912</v>
      </c>
      <c r="F254" s="30" t="s">
        <v>613</v>
      </c>
      <c r="G254" s="29">
        <v>2300</v>
      </c>
      <c r="H254" s="29" t="s">
        <v>2557</v>
      </c>
      <c r="I254" s="29" t="s">
        <v>2558</v>
      </c>
      <c r="J254" s="30" t="s">
        <v>614</v>
      </c>
      <c r="K254" s="30" t="s">
        <v>615</v>
      </c>
      <c r="L254" s="30" t="s">
        <v>616</v>
      </c>
      <c r="M254" s="30" t="s">
        <v>617</v>
      </c>
      <c r="N254" s="29" t="s">
        <v>33</v>
      </c>
      <c r="O254" s="30">
        <v>3492521634</v>
      </c>
      <c r="P254" s="30" t="s">
        <v>611</v>
      </c>
      <c r="Q254" s="30" t="s">
        <v>618</v>
      </c>
      <c r="R254" s="30" t="s">
        <v>27</v>
      </c>
      <c r="S254" s="30">
        <v>3492677407</v>
      </c>
      <c r="T254" s="30" t="s">
        <v>619</v>
      </c>
      <c r="U254" s="29">
        <v>2022</v>
      </c>
      <c r="AL254" s="3"/>
      <c r="AM254" s="3"/>
    </row>
    <row r="255" spans="1:44" s="1" customFormat="1" ht="30" customHeight="1" x14ac:dyDescent="0.2">
      <c r="A255" s="1">
        <v>253</v>
      </c>
      <c r="B255" s="30">
        <v>820381400</v>
      </c>
      <c r="C255" s="29" t="s">
        <v>52</v>
      </c>
      <c r="D255" s="30" t="s">
        <v>209</v>
      </c>
      <c r="E255" s="29" t="s">
        <v>2913</v>
      </c>
      <c r="F255" s="30" t="s">
        <v>1955</v>
      </c>
      <c r="G255" s="29">
        <v>2170</v>
      </c>
      <c r="H255" s="29" t="s">
        <v>2518</v>
      </c>
      <c r="I255" s="29" t="s">
        <v>2519</v>
      </c>
      <c r="J255" s="30" t="s">
        <v>53</v>
      </c>
      <c r="K255" s="30" t="s">
        <v>1956</v>
      </c>
      <c r="L255" s="30" t="s">
        <v>51</v>
      </c>
      <c r="M255" s="30" t="s">
        <v>1957</v>
      </c>
      <c r="N255" s="29" t="s">
        <v>6</v>
      </c>
      <c r="O255" s="30" t="s">
        <v>1958</v>
      </c>
      <c r="P255" s="30" t="s">
        <v>54</v>
      </c>
      <c r="Q255" s="30" t="s">
        <v>1959</v>
      </c>
      <c r="R255" s="30" t="s">
        <v>55</v>
      </c>
      <c r="S255" s="30" t="s">
        <v>56</v>
      </c>
      <c r="T255" s="30" t="s">
        <v>57</v>
      </c>
      <c r="U255" s="29">
        <v>2016</v>
      </c>
    </row>
    <row r="256" spans="1:44" s="1" customFormat="1" ht="30" customHeight="1" x14ac:dyDescent="0.2">
      <c r="A256" s="1">
        <v>254</v>
      </c>
      <c r="B256" s="30">
        <v>820396700</v>
      </c>
      <c r="C256" s="30" t="s">
        <v>2381</v>
      </c>
      <c r="D256" s="30" t="s">
        <v>209</v>
      </c>
      <c r="E256" s="30" t="s">
        <v>47</v>
      </c>
      <c r="F256" s="30" t="s">
        <v>47</v>
      </c>
      <c r="G256" s="29">
        <v>2000</v>
      </c>
      <c r="H256" s="29" t="s">
        <v>2518</v>
      </c>
      <c r="I256" s="29" t="s">
        <v>2519</v>
      </c>
      <c r="J256" s="30" t="s">
        <v>2382</v>
      </c>
      <c r="K256" s="30" t="s">
        <v>2383</v>
      </c>
      <c r="L256" s="30" t="s">
        <v>2380</v>
      </c>
      <c r="M256" s="30" t="s">
        <v>2384</v>
      </c>
      <c r="N256" s="29" t="s">
        <v>33</v>
      </c>
      <c r="O256" s="30" t="s">
        <v>2385</v>
      </c>
      <c r="P256" s="30" t="s">
        <v>2386</v>
      </c>
      <c r="Q256" s="30" t="s">
        <v>2384</v>
      </c>
      <c r="R256" s="30" t="s">
        <v>8</v>
      </c>
      <c r="S256" s="30" t="s">
        <v>2385</v>
      </c>
      <c r="T256" s="30" t="s">
        <v>2386</v>
      </c>
      <c r="U256" s="29">
        <v>2025</v>
      </c>
    </row>
    <row r="257" spans="1:44" s="1" customFormat="1" ht="30" customHeight="1" x14ac:dyDescent="0.2">
      <c r="A257" s="1">
        <v>255</v>
      </c>
      <c r="B257" s="30">
        <v>820412100</v>
      </c>
      <c r="C257" s="29" t="s">
        <v>208</v>
      </c>
      <c r="D257" s="30" t="s">
        <v>209</v>
      </c>
      <c r="E257" s="29" t="s">
        <v>2736</v>
      </c>
      <c r="F257" s="30" t="s">
        <v>209</v>
      </c>
      <c r="G257" s="29">
        <v>3000</v>
      </c>
      <c r="H257" s="29" t="s">
        <v>2518</v>
      </c>
      <c r="I257" s="29" t="s">
        <v>2519</v>
      </c>
      <c r="J257" s="30" t="s">
        <v>210</v>
      </c>
      <c r="K257" s="30">
        <v>3424566787</v>
      </c>
      <c r="L257" s="30" t="s">
        <v>207</v>
      </c>
      <c r="M257" s="30" t="s">
        <v>211</v>
      </c>
      <c r="N257" s="29" t="s">
        <v>1987</v>
      </c>
      <c r="O257" s="30">
        <v>3425010603</v>
      </c>
      <c r="P257" s="30" t="s">
        <v>212</v>
      </c>
      <c r="Q257" s="30" t="s">
        <v>213</v>
      </c>
      <c r="R257" s="30" t="s">
        <v>8</v>
      </c>
      <c r="S257" s="30">
        <v>3424458648</v>
      </c>
      <c r="T257" s="30" t="s">
        <v>214</v>
      </c>
      <c r="U257" s="29">
        <v>2020</v>
      </c>
    </row>
    <row r="258" spans="1:44" s="1" customFormat="1" ht="30" customHeight="1" x14ac:dyDescent="0.2">
      <c r="A258" s="1">
        <v>256</v>
      </c>
      <c r="B258" s="30">
        <v>820413900</v>
      </c>
      <c r="C258" s="29" t="s">
        <v>456</v>
      </c>
      <c r="D258" s="30" t="s">
        <v>209</v>
      </c>
      <c r="E258" s="29" t="s">
        <v>2736</v>
      </c>
      <c r="F258" s="30" t="s">
        <v>209</v>
      </c>
      <c r="G258" s="29">
        <v>3000</v>
      </c>
      <c r="H258" s="29" t="s">
        <v>2518</v>
      </c>
      <c r="I258" s="29" t="s">
        <v>2519</v>
      </c>
      <c r="J258" s="30" t="s">
        <v>2013</v>
      </c>
      <c r="K258" s="30" t="s">
        <v>457</v>
      </c>
      <c r="L258" s="30" t="s">
        <v>455</v>
      </c>
      <c r="M258" s="30" t="s">
        <v>2014</v>
      </c>
      <c r="N258" s="29" t="s">
        <v>33</v>
      </c>
      <c r="O258" s="30">
        <v>3425063982</v>
      </c>
      <c r="P258" s="30" t="s">
        <v>458</v>
      </c>
      <c r="Q258" s="30" t="s">
        <v>2015</v>
      </c>
      <c r="R258" s="30" t="s">
        <v>17</v>
      </c>
      <c r="S258" s="30">
        <v>3425365401</v>
      </c>
      <c r="T258" s="30" t="s">
        <v>459</v>
      </c>
      <c r="U258" s="29">
        <v>2022</v>
      </c>
    </row>
    <row r="259" spans="1:44" s="1" customFormat="1" ht="30" customHeight="1" x14ac:dyDescent="0.2">
      <c r="A259" s="1">
        <v>257</v>
      </c>
      <c r="B259" s="30">
        <v>820442800</v>
      </c>
      <c r="C259" s="29" t="s">
        <v>902</v>
      </c>
      <c r="D259" s="30" t="s">
        <v>209</v>
      </c>
      <c r="E259" s="29" t="s">
        <v>2736</v>
      </c>
      <c r="F259" s="30" t="s">
        <v>209</v>
      </c>
      <c r="G259" s="29">
        <v>3000</v>
      </c>
      <c r="H259" s="29" t="s">
        <v>2557</v>
      </c>
      <c r="I259" s="29" t="s">
        <v>2519</v>
      </c>
      <c r="J259" s="30" t="s">
        <v>903</v>
      </c>
      <c r="K259" s="30" t="s">
        <v>2104</v>
      </c>
      <c r="L259" s="30" t="s">
        <v>901</v>
      </c>
      <c r="M259" s="30" t="s">
        <v>2105</v>
      </c>
      <c r="N259" s="29" t="s">
        <v>33</v>
      </c>
      <c r="O259" s="30" t="s">
        <v>904</v>
      </c>
      <c r="P259" s="30" t="s">
        <v>905</v>
      </c>
      <c r="Q259" s="30" t="s">
        <v>906</v>
      </c>
      <c r="R259" s="30" t="s">
        <v>17</v>
      </c>
      <c r="S259" s="30">
        <v>3425297562</v>
      </c>
      <c r="T259" s="30" t="s">
        <v>907</v>
      </c>
      <c r="U259" s="29">
        <v>2016</v>
      </c>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row>
    <row r="260" spans="1:44" s="1" customFormat="1" ht="30" customHeight="1" x14ac:dyDescent="0.2">
      <c r="A260" s="1">
        <v>258</v>
      </c>
      <c r="B260" s="30">
        <v>820443000</v>
      </c>
      <c r="C260" s="29" t="s">
        <v>601</v>
      </c>
      <c r="D260" s="30" t="s">
        <v>209</v>
      </c>
      <c r="E260" s="29" t="s">
        <v>47</v>
      </c>
      <c r="F260" s="30" t="s">
        <v>47</v>
      </c>
      <c r="G260" s="29">
        <v>2000</v>
      </c>
      <c r="H260" s="29" t="s">
        <v>2557</v>
      </c>
      <c r="I260" s="29" t="s">
        <v>2519</v>
      </c>
      <c r="J260" s="30" t="s">
        <v>602</v>
      </c>
      <c r="K260" s="30" t="s">
        <v>603</v>
      </c>
      <c r="L260" s="30" t="s">
        <v>604</v>
      </c>
      <c r="M260" s="30" t="s">
        <v>605</v>
      </c>
      <c r="N260" s="29" t="s">
        <v>33</v>
      </c>
      <c r="O260" s="30">
        <v>3416098487</v>
      </c>
      <c r="P260" s="30" t="s">
        <v>600</v>
      </c>
      <c r="Q260" s="30" t="s">
        <v>605</v>
      </c>
      <c r="R260" s="30" t="s">
        <v>8</v>
      </c>
      <c r="S260" s="30">
        <v>3416098487</v>
      </c>
      <c r="T260" s="30" t="s">
        <v>600</v>
      </c>
      <c r="U260" s="29">
        <v>2016</v>
      </c>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row>
    <row r="261" spans="1:44" s="1" customFormat="1" ht="30" customHeight="1" x14ac:dyDescent="0.2">
      <c r="A261" s="1">
        <v>259</v>
      </c>
      <c r="B261" s="30">
        <v>820443100</v>
      </c>
      <c r="C261" s="29" t="s">
        <v>668</v>
      </c>
      <c r="D261" s="30" t="s">
        <v>209</v>
      </c>
      <c r="E261" s="29" t="s">
        <v>2914</v>
      </c>
      <c r="F261" s="30" t="s">
        <v>669</v>
      </c>
      <c r="G261" s="29">
        <v>3560</v>
      </c>
      <c r="H261" s="29" t="s">
        <v>2557</v>
      </c>
      <c r="I261" s="29" t="s">
        <v>2519</v>
      </c>
      <c r="J261" s="30" t="s">
        <v>670</v>
      </c>
      <c r="K261" s="30">
        <v>3425128866</v>
      </c>
      <c r="L261" s="30" t="s">
        <v>667</v>
      </c>
      <c r="M261" s="30" t="s">
        <v>671</v>
      </c>
      <c r="N261" s="29" t="s">
        <v>33</v>
      </c>
      <c r="O261" s="30">
        <v>3483418086</v>
      </c>
      <c r="P261" s="30" t="s">
        <v>672</v>
      </c>
      <c r="Q261" s="30" t="s">
        <v>671</v>
      </c>
      <c r="R261" s="30" t="s">
        <v>8</v>
      </c>
      <c r="S261" s="30">
        <v>3483418086</v>
      </c>
      <c r="T261" s="30" t="s">
        <v>672</v>
      </c>
      <c r="U261" s="29">
        <v>2016</v>
      </c>
    </row>
    <row r="262" spans="1:44" ht="30" customHeight="1" x14ac:dyDescent="0.2">
      <c r="A262" s="1">
        <v>260</v>
      </c>
      <c r="B262" s="30">
        <v>820443200</v>
      </c>
      <c r="C262" s="29" t="s">
        <v>2358</v>
      </c>
      <c r="D262" s="30" t="s">
        <v>209</v>
      </c>
      <c r="E262" s="29" t="s">
        <v>2912</v>
      </c>
      <c r="F262" s="30" t="s">
        <v>613</v>
      </c>
      <c r="G262" s="29">
        <v>2300</v>
      </c>
      <c r="H262" s="29" t="s">
        <v>2557</v>
      </c>
      <c r="I262" s="29" t="s">
        <v>2519</v>
      </c>
      <c r="J262" s="30" t="s">
        <v>637</v>
      </c>
      <c r="K262" s="30" t="s">
        <v>2080</v>
      </c>
      <c r="L262" s="30" t="s">
        <v>638</v>
      </c>
      <c r="M262" s="30" t="s">
        <v>2081</v>
      </c>
      <c r="N262" s="29" t="s">
        <v>33</v>
      </c>
      <c r="O262" s="30" t="s">
        <v>2082</v>
      </c>
      <c r="P262" s="30" t="s">
        <v>635</v>
      </c>
      <c r="Q262" s="30" t="s">
        <v>2081</v>
      </c>
      <c r="R262" s="30" t="s">
        <v>8</v>
      </c>
      <c r="S262" s="30" t="s">
        <v>639</v>
      </c>
      <c r="T262" s="30" t="s">
        <v>635</v>
      </c>
      <c r="U262" s="29">
        <v>2016</v>
      </c>
    </row>
    <row r="263" spans="1:44" ht="30" customHeight="1" x14ac:dyDescent="0.2">
      <c r="A263" s="1">
        <v>261</v>
      </c>
      <c r="B263" s="30">
        <v>820455600</v>
      </c>
      <c r="C263" s="29" t="s">
        <v>1050</v>
      </c>
      <c r="D263" s="30" t="s">
        <v>209</v>
      </c>
      <c r="E263" s="29" t="s">
        <v>2911</v>
      </c>
      <c r="F263" s="30" t="s">
        <v>1051</v>
      </c>
      <c r="G263" s="29">
        <v>2600</v>
      </c>
      <c r="H263" s="29" t="s">
        <v>2557</v>
      </c>
      <c r="I263" s="29" t="s">
        <v>2519</v>
      </c>
      <c r="J263" s="30" t="s">
        <v>1052</v>
      </c>
      <c r="K263" s="30"/>
      <c r="L263" s="30" t="s">
        <v>1049</v>
      </c>
      <c r="M263" s="30" t="s">
        <v>1053</v>
      </c>
      <c r="N263" s="29" t="s">
        <v>33</v>
      </c>
      <c r="O263" s="30">
        <v>3462675783</v>
      </c>
      <c r="P263" s="30" t="s">
        <v>1054</v>
      </c>
      <c r="Q263" s="30" t="s">
        <v>1053</v>
      </c>
      <c r="R263" s="30" t="s">
        <v>8</v>
      </c>
      <c r="S263" s="30">
        <v>3462675783</v>
      </c>
      <c r="T263" s="30" t="s">
        <v>1054</v>
      </c>
      <c r="U263" s="29">
        <v>2016</v>
      </c>
      <c r="V263" s="30"/>
      <c r="W263" s="30"/>
      <c r="X263" s="30"/>
      <c r="Y263" s="30"/>
      <c r="Z263" s="30"/>
      <c r="AA263" s="30"/>
    </row>
    <row r="264" spans="1:44" ht="30" customHeight="1" x14ac:dyDescent="0.2">
      <c r="A264" s="1">
        <v>262</v>
      </c>
      <c r="B264" s="30">
        <v>820460400</v>
      </c>
      <c r="C264" s="29" t="s">
        <v>722</v>
      </c>
      <c r="D264" s="30" t="s">
        <v>209</v>
      </c>
      <c r="E264" s="29" t="s">
        <v>2662</v>
      </c>
      <c r="F264" s="30" t="s">
        <v>2087</v>
      </c>
      <c r="G264" s="29">
        <v>2452</v>
      </c>
      <c r="H264" s="29" t="s">
        <v>2557</v>
      </c>
      <c r="I264" s="29" t="s">
        <v>2519</v>
      </c>
      <c r="J264" s="30" t="s">
        <v>723</v>
      </c>
      <c r="K264" s="30">
        <v>3406443196</v>
      </c>
      <c r="L264" s="30" t="s">
        <v>724</v>
      </c>
      <c r="M264" s="30" t="s">
        <v>725</v>
      </c>
      <c r="N264" s="29" t="s">
        <v>33</v>
      </c>
      <c r="O264" s="30">
        <v>3406451372</v>
      </c>
      <c r="P264" s="30" t="s">
        <v>721</v>
      </c>
      <c r="Q264" s="30" t="s">
        <v>725</v>
      </c>
      <c r="R264" s="30" t="s">
        <v>8</v>
      </c>
      <c r="S264" s="30">
        <v>3406451372</v>
      </c>
      <c r="T264" s="30" t="s">
        <v>721</v>
      </c>
      <c r="U264" s="29">
        <v>2016</v>
      </c>
    </row>
    <row r="265" spans="1:44" ht="30" customHeight="1" x14ac:dyDescent="0.2">
      <c r="A265" s="1">
        <v>263</v>
      </c>
      <c r="B265" s="30">
        <v>820462100</v>
      </c>
      <c r="C265" s="29" t="s">
        <v>629</v>
      </c>
      <c r="D265" s="30" t="s">
        <v>209</v>
      </c>
      <c r="E265" s="29" t="s">
        <v>2906</v>
      </c>
      <c r="F265" s="30" t="s">
        <v>630</v>
      </c>
      <c r="G265" s="29">
        <v>2500</v>
      </c>
      <c r="H265" s="29" t="s">
        <v>2557</v>
      </c>
      <c r="I265" s="29" t="s">
        <v>2519</v>
      </c>
      <c r="J265" s="30" t="s">
        <v>631</v>
      </c>
      <c r="K265" s="30">
        <v>3471595808</v>
      </c>
      <c r="L265" s="30" t="s">
        <v>628</v>
      </c>
      <c r="M265" s="30" t="s">
        <v>632</v>
      </c>
      <c r="N265" s="29" t="s">
        <v>33</v>
      </c>
      <c r="O265" s="30">
        <v>3471515082</v>
      </c>
      <c r="P265" s="30" t="s">
        <v>633</v>
      </c>
      <c r="Q265" s="30" t="s">
        <v>632</v>
      </c>
      <c r="R265" s="30" t="s">
        <v>8</v>
      </c>
      <c r="S265" s="30">
        <v>3471515082</v>
      </c>
      <c r="T265" s="30" t="s">
        <v>633</v>
      </c>
      <c r="U265" s="29">
        <v>2016</v>
      </c>
    </row>
    <row r="266" spans="1:44" ht="30" customHeight="1" x14ac:dyDescent="0.2">
      <c r="A266" s="1">
        <v>264</v>
      </c>
      <c r="B266" s="30">
        <v>820468100</v>
      </c>
      <c r="C266" s="29" t="s">
        <v>972</v>
      </c>
      <c r="D266" s="30" t="s">
        <v>209</v>
      </c>
      <c r="E266" s="29" t="s">
        <v>909</v>
      </c>
      <c r="F266" s="30" t="s">
        <v>973</v>
      </c>
      <c r="G266" s="29">
        <v>3050</v>
      </c>
      <c r="H266" s="29" t="s">
        <v>2557</v>
      </c>
      <c r="I266" s="29" t="s">
        <v>2558</v>
      </c>
      <c r="J266" s="30" t="s">
        <v>974</v>
      </c>
      <c r="K266" s="30">
        <v>3498401162</v>
      </c>
      <c r="L266" s="30" t="s">
        <v>975</v>
      </c>
      <c r="M266" s="30" t="s">
        <v>976</v>
      </c>
      <c r="N266" s="29" t="s">
        <v>33</v>
      </c>
      <c r="O266" s="30">
        <v>3498401162</v>
      </c>
      <c r="P266" s="30" t="s">
        <v>975</v>
      </c>
      <c r="Q266" s="30" t="s">
        <v>977</v>
      </c>
      <c r="R266" s="30" t="s">
        <v>17</v>
      </c>
      <c r="S266" s="30">
        <v>3483483463</v>
      </c>
      <c r="T266" s="30" t="s">
        <v>978</v>
      </c>
      <c r="U266" s="29">
        <v>2022</v>
      </c>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1:44" ht="30" customHeight="1" x14ac:dyDescent="0.2">
      <c r="A267" s="1">
        <v>265</v>
      </c>
      <c r="B267" s="30">
        <v>820468200</v>
      </c>
      <c r="C267" s="29" t="s">
        <v>608</v>
      </c>
      <c r="D267" s="30" t="s">
        <v>209</v>
      </c>
      <c r="E267" s="29" t="s">
        <v>2736</v>
      </c>
      <c r="F267" s="30" t="s">
        <v>209</v>
      </c>
      <c r="G267" s="29">
        <v>3000</v>
      </c>
      <c r="H267" s="29" t="s">
        <v>2557</v>
      </c>
      <c r="I267" s="29" t="s">
        <v>2558</v>
      </c>
      <c r="J267" s="30" t="s">
        <v>609</v>
      </c>
      <c r="K267" s="30">
        <v>3425442340</v>
      </c>
      <c r="L267" s="30" t="s">
        <v>607</v>
      </c>
      <c r="M267" s="30" t="s">
        <v>2076</v>
      </c>
      <c r="N267" s="29" t="s">
        <v>33</v>
      </c>
      <c r="O267" s="30">
        <v>3425442340</v>
      </c>
      <c r="P267" s="30" t="s">
        <v>607</v>
      </c>
      <c r="Q267" s="30" t="s">
        <v>2077</v>
      </c>
      <c r="R267" s="30" t="s">
        <v>36</v>
      </c>
      <c r="S267" s="30">
        <v>3425506584</v>
      </c>
      <c r="T267" s="30" t="s">
        <v>610</v>
      </c>
      <c r="U267" s="29">
        <v>2016</v>
      </c>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1:44" ht="30" customHeight="1" x14ac:dyDescent="0.2">
      <c r="A268" s="1">
        <v>266</v>
      </c>
      <c r="B268" s="30">
        <v>820471100</v>
      </c>
      <c r="C268" s="29" t="s">
        <v>908</v>
      </c>
      <c r="D268" s="30" t="s">
        <v>209</v>
      </c>
      <c r="E268" s="29" t="s">
        <v>909</v>
      </c>
      <c r="F268" s="30" t="s">
        <v>909</v>
      </c>
      <c r="G268" s="29">
        <v>3550</v>
      </c>
      <c r="H268" s="29" t="s">
        <v>2557</v>
      </c>
      <c r="I268" s="29" t="s">
        <v>2519</v>
      </c>
      <c r="J268" s="30" t="s">
        <v>910</v>
      </c>
      <c r="K268" s="30" t="s">
        <v>2107</v>
      </c>
      <c r="L268" s="30" t="s">
        <v>911</v>
      </c>
      <c r="M268" s="30" t="s">
        <v>2108</v>
      </c>
      <c r="N268" s="29" t="s">
        <v>33</v>
      </c>
      <c r="O268" s="30" t="s">
        <v>2109</v>
      </c>
      <c r="P268" s="30" t="s">
        <v>912</v>
      </c>
      <c r="Q268" s="30" t="s">
        <v>2108</v>
      </c>
      <c r="R268" s="30" t="s">
        <v>8</v>
      </c>
      <c r="S268" s="30" t="s">
        <v>2109</v>
      </c>
      <c r="T268" s="30" t="s">
        <v>912</v>
      </c>
      <c r="U268" s="29">
        <v>2023</v>
      </c>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1:44" ht="30" customHeight="1" x14ac:dyDescent="0.2">
      <c r="A269" s="1">
        <v>267</v>
      </c>
      <c r="B269" s="30">
        <v>860020601</v>
      </c>
      <c r="C269" s="30" t="s">
        <v>2410</v>
      </c>
      <c r="D269" s="30" t="s">
        <v>2456</v>
      </c>
      <c r="E269" s="29" t="s">
        <v>2298</v>
      </c>
      <c r="F269" s="30" t="s">
        <v>2411</v>
      </c>
      <c r="G269" s="29">
        <v>4312</v>
      </c>
      <c r="H269" s="29" t="s">
        <v>2557</v>
      </c>
      <c r="I269" s="29" t="s">
        <v>2519</v>
      </c>
      <c r="J269" s="30" t="s">
        <v>2412</v>
      </c>
      <c r="K269" s="30">
        <v>3854834142</v>
      </c>
      <c r="L269" s="30" t="s">
        <v>2409</v>
      </c>
      <c r="M269" s="30" t="s">
        <v>2413</v>
      </c>
      <c r="N269" s="29" t="s">
        <v>6</v>
      </c>
      <c r="O269" s="30">
        <v>3854834142</v>
      </c>
      <c r="P269" s="30" t="s">
        <v>2414</v>
      </c>
      <c r="Q269" s="30" t="s">
        <v>2415</v>
      </c>
      <c r="R269" s="30" t="s">
        <v>17</v>
      </c>
      <c r="S269" s="30">
        <v>3856889178</v>
      </c>
      <c r="T269" s="30" t="s">
        <v>2416</v>
      </c>
      <c r="U269" s="29">
        <v>2018</v>
      </c>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1:44" ht="30" customHeight="1" x14ac:dyDescent="0.2">
      <c r="A270" s="1">
        <v>268</v>
      </c>
      <c r="B270" s="30">
        <v>860108800</v>
      </c>
      <c r="C270" s="30" t="s">
        <v>2419</v>
      </c>
      <c r="D270" s="30" t="s">
        <v>2456</v>
      </c>
      <c r="E270" s="29" t="s">
        <v>2651</v>
      </c>
      <c r="F270" s="30" t="s">
        <v>2456</v>
      </c>
      <c r="G270" s="29">
        <v>4200</v>
      </c>
      <c r="H270" s="29" t="s">
        <v>2557</v>
      </c>
      <c r="I270" s="29" t="s">
        <v>2558</v>
      </c>
      <c r="J270" s="30" t="s">
        <v>2421</v>
      </c>
      <c r="K270" s="30">
        <v>3856268940</v>
      </c>
      <c r="L270" s="30" t="s">
        <v>2418</v>
      </c>
      <c r="M270" s="30" t="s">
        <v>2422</v>
      </c>
      <c r="N270" s="29" t="s">
        <v>6</v>
      </c>
      <c r="O270" s="30">
        <v>3856268940</v>
      </c>
      <c r="P270" s="30" t="s">
        <v>2418</v>
      </c>
      <c r="Q270" s="30" t="s">
        <v>2423</v>
      </c>
      <c r="R270" s="30" t="s">
        <v>36</v>
      </c>
      <c r="S270" s="30">
        <v>3854188352</v>
      </c>
      <c r="T270" s="30" t="s">
        <v>2424</v>
      </c>
      <c r="U270" s="29">
        <v>2017</v>
      </c>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1:44" ht="30" customHeight="1" x14ac:dyDescent="0.2">
      <c r="A271" s="1">
        <v>269</v>
      </c>
      <c r="B271" s="30">
        <v>860110700</v>
      </c>
      <c r="C271" s="29" t="s">
        <v>1897</v>
      </c>
      <c r="D271" s="30" t="s">
        <v>2456</v>
      </c>
      <c r="E271" s="29" t="s">
        <v>2915</v>
      </c>
      <c r="F271" s="30" t="s">
        <v>2798</v>
      </c>
      <c r="G271" s="29">
        <v>4300</v>
      </c>
      <c r="H271" s="29" t="s">
        <v>2557</v>
      </c>
      <c r="I271" s="29" t="s">
        <v>2558</v>
      </c>
      <c r="J271" s="30" t="s">
        <v>1898</v>
      </c>
      <c r="K271" s="30" t="s">
        <v>2244</v>
      </c>
      <c r="L271" s="30" t="s">
        <v>1899</v>
      </c>
      <c r="M271" s="30" t="s">
        <v>1900</v>
      </c>
      <c r="N271" s="29" t="s">
        <v>6</v>
      </c>
      <c r="O271" s="108">
        <v>385155056604</v>
      </c>
      <c r="P271" s="30" t="s">
        <v>1901</v>
      </c>
      <c r="Q271" s="30" t="s">
        <v>1902</v>
      </c>
      <c r="R271" s="30" t="s">
        <v>17</v>
      </c>
      <c r="S271" s="30" t="s">
        <v>1903</v>
      </c>
      <c r="T271" s="30" t="s">
        <v>1904</v>
      </c>
      <c r="U271" s="29">
        <v>2016</v>
      </c>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1:44" ht="30" customHeight="1" x14ac:dyDescent="0.2">
      <c r="A272" s="1">
        <v>270</v>
      </c>
      <c r="B272" s="30">
        <v>860111800</v>
      </c>
      <c r="C272" s="30" t="s">
        <v>2945</v>
      </c>
      <c r="D272" s="30" t="s">
        <v>2456</v>
      </c>
      <c r="E272" s="30" t="s">
        <v>2956</v>
      </c>
      <c r="F272" s="30" t="s">
        <v>2954</v>
      </c>
      <c r="G272" s="30">
        <v>4230</v>
      </c>
      <c r="H272" s="30" t="s">
        <v>2557</v>
      </c>
      <c r="I272" s="30" t="s">
        <v>2558</v>
      </c>
      <c r="J272" s="30" t="s">
        <v>2947</v>
      </c>
      <c r="K272" s="30"/>
      <c r="L272" s="30" t="s">
        <v>2944</v>
      </c>
      <c r="M272" s="30" t="s">
        <v>2948</v>
      </c>
      <c r="N272" s="30" t="s">
        <v>6</v>
      </c>
      <c r="O272" s="30">
        <v>3854686092</v>
      </c>
      <c r="P272" s="30" t="s">
        <v>2949</v>
      </c>
      <c r="Q272" s="30" t="s">
        <v>2950</v>
      </c>
      <c r="R272" s="30" t="s">
        <v>17</v>
      </c>
      <c r="S272" s="30">
        <v>3854403639</v>
      </c>
      <c r="T272" s="30" t="s">
        <v>2951</v>
      </c>
      <c r="U272" s="30">
        <v>2016</v>
      </c>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1:44" ht="30" customHeight="1" x14ac:dyDescent="0.2">
      <c r="A273" s="1">
        <v>271</v>
      </c>
      <c r="B273" s="30">
        <v>860119000</v>
      </c>
      <c r="C273" s="30" t="s">
        <v>2404</v>
      </c>
      <c r="D273" s="30" t="s">
        <v>2456</v>
      </c>
      <c r="E273" s="29" t="s">
        <v>2916</v>
      </c>
      <c r="F273" s="30" t="s">
        <v>2799</v>
      </c>
      <c r="G273" s="29">
        <v>4350</v>
      </c>
      <c r="H273" s="29" t="s">
        <v>2557</v>
      </c>
      <c r="I273" s="29" t="s">
        <v>2519</v>
      </c>
      <c r="J273" s="30" t="s">
        <v>2406</v>
      </c>
      <c r="K273" s="30">
        <v>385155952783</v>
      </c>
      <c r="L273" s="30" t="s">
        <v>2403</v>
      </c>
      <c r="M273" s="30" t="s">
        <v>2407</v>
      </c>
      <c r="N273" s="29" t="s">
        <v>6</v>
      </c>
      <c r="O273" s="30">
        <v>385155952783</v>
      </c>
      <c r="P273" s="30" t="s">
        <v>2403</v>
      </c>
      <c r="Q273" s="30" t="s">
        <v>2407</v>
      </c>
      <c r="R273" s="30" t="s">
        <v>6</v>
      </c>
      <c r="S273" s="30">
        <v>385155952783</v>
      </c>
      <c r="T273" s="30" t="s">
        <v>2403</v>
      </c>
      <c r="U273" s="29">
        <v>2016</v>
      </c>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1:44" ht="30" customHeight="1" x14ac:dyDescent="0.2">
      <c r="A274" s="1">
        <v>272</v>
      </c>
      <c r="B274" s="30">
        <v>860159700</v>
      </c>
      <c r="C274" s="30" t="s">
        <v>2363</v>
      </c>
      <c r="D274" s="30" t="s">
        <v>2456</v>
      </c>
      <c r="E274" s="29" t="s">
        <v>2364</v>
      </c>
      <c r="F274" s="30" t="s">
        <v>2364</v>
      </c>
      <c r="G274" s="29">
        <v>4208</v>
      </c>
      <c r="H274" s="29" t="s">
        <v>2557</v>
      </c>
      <c r="I274" s="29" t="s">
        <v>2558</v>
      </c>
      <c r="J274" s="30" t="s">
        <v>2365</v>
      </c>
      <c r="K274" s="30">
        <v>3855890505</v>
      </c>
      <c r="L274" s="30" t="s">
        <v>2366</v>
      </c>
      <c r="M274" s="30" t="s">
        <v>2367</v>
      </c>
      <c r="N274" s="29" t="s">
        <v>6</v>
      </c>
      <c r="O274" s="30">
        <v>3855890505</v>
      </c>
      <c r="P274" s="30" t="s">
        <v>2368</v>
      </c>
      <c r="Q274" s="30" t="s">
        <v>2369</v>
      </c>
      <c r="R274" s="30" t="s">
        <v>55</v>
      </c>
      <c r="S274" s="30">
        <v>3854883476</v>
      </c>
      <c r="T274" s="30" t="s">
        <v>2370</v>
      </c>
      <c r="U274" s="29">
        <v>2017</v>
      </c>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1:44" ht="30" customHeight="1" x14ac:dyDescent="0.2">
      <c r="A275" s="1">
        <v>273</v>
      </c>
      <c r="B275" s="30">
        <v>860184700</v>
      </c>
      <c r="C275" s="30" t="s">
        <v>2935</v>
      </c>
      <c r="D275" s="30" t="s">
        <v>2456</v>
      </c>
      <c r="E275" s="30" t="s">
        <v>2955</v>
      </c>
      <c r="F275" s="30" t="s">
        <v>2953</v>
      </c>
      <c r="G275" s="30">
        <v>3760</v>
      </c>
      <c r="H275" s="30" t="s">
        <v>2557</v>
      </c>
      <c r="I275" s="30" t="s">
        <v>2558</v>
      </c>
      <c r="J275" s="30" t="s">
        <v>2937</v>
      </c>
      <c r="K275" s="30">
        <v>3844421749</v>
      </c>
      <c r="L275" s="30" t="s">
        <v>2938</v>
      </c>
      <c r="M275" s="30" t="s">
        <v>2939</v>
      </c>
      <c r="N275" s="30" t="s">
        <v>6</v>
      </c>
      <c r="O275" s="30">
        <v>3844464774</v>
      </c>
      <c r="P275" s="30" t="s">
        <v>2940</v>
      </c>
      <c r="Q275" s="30" t="s">
        <v>2941</v>
      </c>
      <c r="R275" s="30" t="s">
        <v>17</v>
      </c>
      <c r="S275" s="30">
        <v>3844433932</v>
      </c>
      <c r="T275" s="30" t="s">
        <v>2942</v>
      </c>
      <c r="U275" s="30">
        <v>2017</v>
      </c>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1:44" ht="30" customHeight="1" x14ac:dyDescent="0.2">
      <c r="A276" s="1">
        <v>274</v>
      </c>
      <c r="B276" s="30">
        <v>860185300</v>
      </c>
      <c r="C276" s="29" t="s">
        <v>2065</v>
      </c>
      <c r="D276" s="30" t="s">
        <v>2456</v>
      </c>
      <c r="E276" s="29" t="s">
        <v>2651</v>
      </c>
      <c r="F276" s="30" t="s">
        <v>2456</v>
      </c>
      <c r="G276" s="29">
        <v>4200</v>
      </c>
      <c r="H276" s="29" t="s">
        <v>2518</v>
      </c>
      <c r="I276" s="29" t="s">
        <v>2519</v>
      </c>
      <c r="J276" s="30" t="s">
        <v>2067</v>
      </c>
      <c r="K276" s="30">
        <v>3854768255</v>
      </c>
      <c r="L276" s="30" t="s">
        <v>2068</v>
      </c>
      <c r="M276" s="30" t="s">
        <v>2069</v>
      </c>
      <c r="N276" s="29" t="s">
        <v>6</v>
      </c>
      <c r="O276" s="30">
        <v>3854350971</v>
      </c>
      <c r="P276" s="30" t="s">
        <v>2070</v>
      </c>
      <c r="Q276" s="30" t="s">
        <v>2071</v>
      </c>
      <c r="R276" s="30" t="s">
        <v>17</v>
      </c>
      <c r="S276" s="30">
        <v>3854023801</v>
      </c>
      <c r="T276" s="30" t="s">
        <v>2072</v>
      </c>
      <c r="U276" s="29">
        <v>2017</v>
      </c>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1:44" ht="30" customHeight="1" x14ac:dyDescent="0.2">
      <c r="A277" s="1">
        <v>275</v>
      </c>
      <c r="B277" s="30">
        <v>860187600</v>
      </c>
      <c r="C277" s="30" t="s">
        <v>2833</v>
      </c>
      <c r="D277" s="30" t="s">
        <v>2456</v>
      </c>
      <c r="E277" s="29" t="s">
        <v>2926</v>
      </c>
      <c r="F277" s="30" t="s">
        <v>2456</v>
      </c>
      <c r="G277" s="29">
        <v>4200</v>
      </c>
      <c r="H277" s="29" t="s">
        <v>2518</v>
      </c>
      <c r="I277" s="29" t="s">
        <v>2519</v>
      </c>
      <c r="J277" s="30" t="s">
        <v>2834</v>
      </c>
      <c r="K277" s="30" t="s">
        <v>2835</v>
      </c>
      <c r="L277" s="30" t="s">
        <v>2832</v>
      </c>
      <c r="M277" s="30" t="s">
        <v>2836</v>
      </c>
      <c r="N277" s="29" t="s">
        <v>6</v>
      </c>
      <c r="O277" s="30" t="s">
        <v>2837</v>
      </c>
      <c r="P277" s="30" t="s">
        <v>2838</v>
      </c>
      <c r="Q277" s="30" t="s">
        <v>2839</v>
      </c>
      <c r="R277" s="30" t="s">
        <v>8</v>
      </c>
      <c r="S277" s="30" t="s">
        <v>2840</v>
      </c>
      <c r="T277" s="30" t="s">
        <v>2841</v>
      </c>
      <c r="U277" s="29">
        <v>2017</v>
      </c>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1:44" ht="30" customHeight="1" x14ac:dyDescent="0.2">
      <c r="A278" s="1">
        <v>276</v>
      </c>
      <c r="B278" s="30">
        <v>860220000</v>
      </c>
      <c r="C278" s="29" t="s">
        <v>2250</v>
      </c>
      <c r="D278" s="30" t="s">
        <v>2456</v>
      </c>
      <c r="E278" s="29" t="s">
        <v>2651</v>
      </c>
      <c r="F278" s="30" t="s">
        <v>2456</v>
      </c>
      <c r="G278" s="29">
        <v>4200</v>
      </c>
      <c r="H278" s="29" t="s">
        <v>2518</v>
      </c>
      <c r="I278" s="29" t="s">
        <v>2519</v>
      </c>
      <c r="J278" s="30" t="s">
        <v>2252</v>
      </c>
      <c r="K278" s="30">
        <v>3855752448</v>
      </c>
      <c r="L278" s="30" t="s">
        <v>2253</v>
      </c>
      <c r="M278" s="30" t="s">
        <v>2254</v>
      </c>
      <c r="N278" s="29" t="s">
        <v>6</v>
      </c>
      <c r="O278" s="30">
        <v>3855752448</v>
      </c>
      <c r="P278" s="30" t="s">
        <v>2255</v>
      </c>
      <c r="Q278" s="30" t="s">
        <v>2256</v>
      </c>
      <c r="R278" s="30" t="s">
        <v>6</v>
      </c>
      <c r="S278" s="30">
        <v>3855752448</v>
      </c>
      <c r="T278" s="30" t="s">
        <v>2253</v>
      </c>
      <c r="U278" s="29">
        <v>2017</v>
      </c>
      <c r="V278" s="1"/>
      <c r="W278" s="1"/>
      <c r="X278" s="1"/>
      <c r="Y278" s="1"/>
      <c r="Z278" s="1"/>
      <c r="AA278" s="1"/>
      <c r="AB278" s="1"/>
      <c r="AC278" s="1"/>
      <c r="AD278" s="1"/>
      <c r="AE278" s="1"/>
      <c r="AF278" s="1"/>
      <c r="AG278" s="1"/>
      <c r="AH278" s="1"/>
      <c r="AI278" s="1"/>
      <c r="AJ278" s="1"/>
      <c r="AK278" s="1"/>
      <c r="AL278" s="3"/>
      <c r="AM278" s="3"/>
      <c r="AN278" s="1"/>
      <c r="AO278" s="1"/>
      <c r="AP278" s="1"/>
      <c r="AQ278" s="1"/>
      <c r="AR278" s="1"/>
    </row>
    <row r="279" spans="1:44" ht="30" customHeight="1" x14ac:dyDescent="0.2">
      <c r="A279" s="1">
        <v>277</v>
      </c>
      <c r="B279" s="30">
        <v>900104000</v>
      </c>
      <c r="C279" s="29" t="s">
        <v>1334</v>
      </c>
      <c r="D279" s="29" t="s">
        <v>2830</v>
      </c>
      <c r="E279" s="29" t="s">
        <v>2651</v>
      </c>
      <c r="F279" s="30" t="s">
        <v>2824</v>
      </c>
      <c r="G279" s="29">
        <v>4000</v>
      </c>
      <c r="H279" s="29" t="s">
        <v>2557</v>
      </c>
      <c r="I279" s="29" t="s">
        <v>2519</v>
      </c>
      <c r="J279" s="30" t="s">
        <v>2167</v>
      </c>
      <c r="K279" s="30">
        <v>3813023583</v>
      </c>
      <c r="L279" s="30" t="s">
        <v>1335</v>
      </c>
      <c r="M279" s="30" t="s">
        <v>2168</v>
      </c>
      <c r="N279" s="29" t="s">
        <v>6</v>
      </c>
      <c r="O279" s="30">
        <v>3816434012</v>
      </c>
      <c r="P279" s="30" t="s">
        <v>1336</v>
      </c>
      <c r="Q279" s="30" t="s">
        <v>2169</v>
      </c>
      <c r="R279" s="30" t="s">
        <v>8</v>
      </c>
      <c r="S279" s="30">
        <v>3813023583</v>
      </c>
      <c r="T279" s="30" t="s">
        <v>1335</v>
      </c>
      <c r="U279" s="29">
        <v>2016</v>
      </c>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1:44" ht="30" customHeight="1" x14ac:dyDescent="0.2">
      <c r="A280" s="1">
        <v>278</v>
      </c>
      <c r="B280" s="30">
        <v>900104001</v>
      </c>
      <c r="C280" s="29" t="s">
        <v>1399</v>
      </c>
      <c r="D280" s="29" t="s">
        <v>2830</v>
      </c>
      <c r="E280" s="29" t="s">
        <v>2917</v>
      </c>
      <c r="F280" s="30" t="s">
        <v>2191</v>
      </c>
      <c r="G280" s="29">
        <v>4146</v>
      </c>
      <c r="H280" s="29" t="s">
        <v>2557</v>
      </c>
      <c r="I280" s="29" t="s">
        <v>2519</v>
      </c>
      <c r="J280" s="30" t="s">
        <v>1400</v>
      </c>
      <c r="K280" s="30">
        <v>3815550245</v>
      </c>
      <c r="L280" s="4" t="s">
        <v>1401</v>
      </c>
      <c r="M280" s="30" t="s">
        <v>1353</v>
      </c>
      <c r="N280" s="29" t="s">
        <v>6</v>
      </c>
      <c r="O280" s="30">
        <v>3816434012</v>
      </c>
      <c r="P280" s="30" t="s">
        <v>1336</v>
      </c>
      <c r="Q280" s="30" t="s">
        <v>1402</v>
      </c>
      <c r="R280" s="30" t="s">
        <v>8</v>
      </c>
      <c r="S280" s="30">
        <v>3813023583</v>
      </c>
      <c r="T280" s="30" t="s">
        <v>1335</v>
      </c>
      <c r="U280" s="29">
        <v>2016</v>
      </c>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1:44" ht="30" customHeight="1" x14ac:dyDescent="0.2">
      <c r="A281" s="1">
        <v>279</v>
      </c>
      <c r="B281" s="30">
        <v>900104002</v>
      </c>
      <c r="C281" s="29" t="s">
        <v>1342</v>
      </c>
      <c r="D281" s="29" t="s">
        <v>2830</v>
      </c>
      <c r="E281" s="29" t="s">
        <v>2918</v>
      </c>
      <c r="F281" s="30" t="s">
        <v>2800</v>
      </c>
      <c r="G281" s="29">
        <v>4142</v>
      </c>
      <c r="H281" s="29" t="s">
        <v>2557</v>
      </c>
      <c r="I281" s="29" t="s">
        <v>2519</v>
      </c>
      <c r="J281" s="30" t="s">
        <v>1343</v>
      </c>
      <c r="K281" s="30">
        <v>3863408408</v>
      </c>
      <c r="L281" s="30" t="s">
        <v>1344</v>
      </c>
      <c r="M281" s="30" t="s">
        <v>1345</v>
      </c>
      <c r="N281" s="29" t="s">
        <v>6</v>
      </c>
      <c r="O281" s="30">
        <v>3816434012</v>
      </c>
      <c r="P281" s="30" t="s">
        <v>1346</v>
      </c>
      <c r="Q281" s="30" t="s">
        <v>1347</v>
      </c>
      <c r="R281" s="30" t="s">
        <v>8</v>
      </c>
      <c r="S281" s="30">
        <v>3813023583</v>
      </c>
      <c r="T281" s="30" t="s">
        <v>1348</v>
      </c>
      <c r="U281" s="29">
        <v>2016</v>
      </c>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1:44" ht="30" customHeight="1" x14ac:dyDescent="0.2">
      <c r="A282" s="1">
        <v>280</v>
      </c>
      <c r="B282" s="30">
        <v>900104003</v>
      </c>
      <c r="C282" s="29" t="s">
        <v>1351</v>
      </c>
      <c r="D282" s="29" t="s">
        <v>2830</v>
      </c>
      <c r="E282" s="29" t="s">
        <v>2801</v>
      </c>
      <c r="F282" s="30" t="s">
        <v>2801</v>
      </c>
      <c r="G282" s="29">
        <v>4132</v>
      </c>
      <c r="H282" s="29" t="s">
        <v>2557</v>
      </c>
      <c r="I282" s="29" t="s">
        <v>2519</v>
      </c>
      <c r="J282" s="30" t="s">
        <v>1352</v>
      </c>
      <c r="K282" s="30">
        <v>3863409112</v>
      </c>
      <c r="L282" s="30" t="s">
        <v>1350</v>
      </c>
      <c r="M282" s="30" t="s">
        <v>1353</v>
      </c>
      <c r="N282" s="29" t="s">
        <v>6</v>
      </c>
      <c r="O282" s="30">
        <v>3816434012</v>
      </c>
      <c r="P282" s="30" t="s">
        <v>1336</v>
      </c>
      <c r="Q282" s="30" t="s">
        <v>1402</v>
      </c>
      <c r="R282" s="30" t="s">
        <v>8</v>
      </c>
      <c r="S282" s="30">
        <v>3813023583</v>
      </c>
      <c r="T282" s="30" t="s">
        <v>1335</v>
      </c>
      <c r="U282" s="29">
        <v>2016</v>
      </c>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1:44" ht="30" customHeight="1" x14ac:dyDescent="0.2">
      <c r="A283" s="1">
        <v>281</v>
      </c>
      <c r="B283" s="30">
        <v>900104004</v>
      </c>
      <c r="C283" s="29" t="s">
        <v>1371</v>
      </c>
      <c r="D283" s="29" t="s">
        <v>2830</v>
      </c>
      <c r="E283" s="29" t="s">
        <v>1372</v>
      </c>
      <c r="F283" s="30" t="s">
        <v>1372</v>
      </c>
      <c r="G283" s="29">
        <v>4124</v>
      </c>
      <c r="H283" s="29" t="s">
        <v>2557</v>
      </c>
      <c r="I283" s="29" t="s">
        <v>2519</v>
      </c>
      <c r="J283" s="30" t="s">
        <v>1373</v>
      </c>
      <c r="K283" s="30">
        <v>3815513391</v>
      </c>
      <c r="L283" s="30" t="s">
        <v>1370</v>
      </c>
      <c r="M283" s="30" t="s">
        <v>1374</v>
      </c>
      <c r="N283" s="29" t="s">
        <v>6</v>
      </c>
      <c r="O283" s="30">
        <v>3816434012</v>
      </c>
      <c r="P283" s="30" t="s">
        <v>1375</v>
      </c>
      <c r="Q283" s="30" t="s">
        <v>2179</v>
      </c>
      <c r="R283" s="30" t="s">
        <v>17</v>
      </c>
      <c r="S283" s="30">
        <v>3815513391</v>
      </c>
      <c r="T283" s="30" t="s">
        <v>1376</v>
      </c>
      <c r="U283" s="29">
        <v>2016</v>
      </c>
    </row>
    <row r="284" spans="1:44" ht="30" customHeight="1" x14ac:dyDescent="0.2">
      <c r="A284" s="1">
        <v>282</v>
      </c>
      <c r="B284" s="30">
        <v>900104005</v>
      </c>
      <c r="C284" s="29" t="s">
        <v>1437</v>
      </c>
      <c r="D284" s="29" t="s">
        <v>2830</v>
      </c>
      <c r="E284" s="29" t="s">
        <v>2919</v>
      </c>
      <c r="F284" s="30" t="s">
        <v>2195</v>
      </c>
      <c r="G284" s="29">
        <v>4105</v>
      </c>
      <c r="H284" s="29" t="s">
        <v>2557</v>
      </c>
      <c r="I284" s="29" t="s">
        <v>2519</v>
      </c>
      <c r="J284" s="30" t="s">
        <v>1438</v>
      </c>
      <c r="K284" s="30">
        <v>3815111287</v>
      </c>
      <c r="L284" s="30" t="s">
        <v>1439</v>
      </c>
      <c r="M284" s="30" t="s">
        <v>1402</v>
      </c>
      <c r="N284" s="29" t="s">
        <v>33</v>
      </c>
      <c r="O284" s="30">
        <v>3813023583</v>
      </c>
      <c r="P284" s="30" t="s">
        <v>1415</v>
      </c>
      <c r="Q284" s="30" t="s">
        <v>2196</v>
      </c>
      <c r="R284" s="30" t="s">
        <v>17</v>
      </c>
      <c r="S284" s="30">
        <v>3815111287</v>
      </c>
      <c r="T284" s="30" t="s">
        <v>1439</v>
      </c>
      <c r="U284" s="29">
        <v>2016</v>
      </c>
    </row>
    <row r="285" spans="1:44" ht="30" customHeight="1" x14ac:dyDescent="0.2">
      <c r="A285" s="1">
        <v>283</v>
      </c>
      <c r="B285" s="30">
        <v>900104006</v>
      </c>
      <c r="C285" s="29" t="s">
        <v>1368</v>
      </c>
      <c r="D285" s="29" t="s">
        <v>2830</v>
      </c>
      <c r="E285" s="29" t="s">
        <v>2920</v>
      </c>
      <c r="F285" s="30" t="s">
        <v>2825</v>
      </c>
      <c r="G285" s="29">
        <v>4103</v>
      </c>
      <c r="H285" s="29" t="s">
        <v>2557</v>
      </c>
      <c r="I285" s="29" t="s">
        <v>2519</v>
      </c>
      <c r="J285" s="30" t="s">
        <v>2178</v>
      </c>
      <c r="K285" s="30">
        <v>3813014695</v>
      </c>
      <c r="L285" s="30" t="s">
        <v>1367</v>
      </c>
      <c r="M285" s="30" t="s">
        <v>1353</v>
      </c>
      <c r="N285" s="29" t="s">
        <v>6</v>
      </c>
      <c r="O285" s="30">
        <v>3816434012</v>
      </c>
      <c r="P285" s="30" t="s">
        <v>1336</v>
      </c>
      <c r="Q285" s="30" t="s">
        <v>1402</v>
      </c>
      <c r="R285" s="30" t="s">
        <v>8</v>
      </c>
      <c r="S285" s="30">
        <v>3813023583</v>
      </c>
      <c r="T285" s="30" t="s">
        <v>1335</v>
      </c>
      <c r="U285" s="29">
        <v>2016</v>
      </c>
    </row>
    <row r="286" spans="1:44" ht="30" customHeight="1" x14ac:dyDescent="0.2">
      <c r="A286" s="1">
        <v>284</v>
      </c>
      <c r="B286" s="30">
        <v>900104007</v>
      </c>
      <c r="C286" s="29" t="s">
        <v>1519</v>
      </c>
      <c r="D286" s="29" t="s">
        <v>2830</v>
      </c>
      <c r="E286" s="29" t="s">
        <v>2921</v>
      </c>
      <c r="F286" s="30" t="s">
        <v>1520</v>
      </c>
      <c r="G286" s="29">
        <v>4117</v>
      </c>
      <c r="H286" s="29" t="s">
        <v>2557</v>
      </c>
      <c r="I286" s="29" t="s">
        <v>2519</v>
      </c>
      <c r="J286" s="30" t="s">
        <v>1521</v>
      </c>
      <c r="K286" s="30">
        <v>3812122862</v>
      </c>
      <c r="L286" s="30" t="s">
        <v>1518</v>
      </c>
      <c r="M286" s="30" t="s">
        <v>1522</v>
      </c>
      <c r="N286" s="29" t="s">
        <v>6</v>
      </c>
      <c r="O286" s="30">
        <v>3816434012</v>
      </c>
      <c r="P286" s="30" t="s">
        <v>1336</v>
      </c>
      <c r="Q286" s="30" t="s">
        <v>1402</v>
      </c>
      <c r="R286" s="30" t="s">
        <v>8</v>
      </c>
      <c r="S286" s="30">
        <v>3813023583</v>
      </c>
      <c r="T286" s="30" t="s">
        <v>1523</v>
      </c>
      <c r="U286" s="29">
        <v>2016</v>
      </c>
    </row>
    <row r="287" spans="1:44" ht="30" customHeight="1" x14ac:dyDescent="0.2">
      <c r="A287" s="1">
        <v>285</v>
      </c>
      <c r="B287" s="30">
        <v>900104008</v>
      </c>
      <c r="C287" s="29" t="s">
        <v>1447</v>
      </c>
      <c r="D287" s="29" t="s">
        <v>2830</v>
      </c>
      <c r="E287" s="29" t="s">
        <v>2197</v>
      </c>
      <c r="F287" s="30" t="s">
        <v>2197</v>
      </c>
      <c r="G287" s="29">
        <v>4159</v>
      </c>
      <c r="H287" s="29" t="s">
        <v>2557</v>
      </c>
      <c r="I287" s="29" t="s">
        <v>2519</v>
      </c>
      <c r="J287" s="30" t="s">
        <v>1448</v>
      </c>
      <c r="K287" s="30">
        <v>3865304847</v>
      </c>
      <c r="L287" s="30" t="s">
        <v>1446</v>
      </c>
      <c r="M287" s="30" t="s">
        <v>2198</v>
      </c>
      <c r="N287" s="29" t="s">
        <v>6</v>
      </c>
      <c r="O287" s="30">
        <v>3816434012</v>
      </c>
      <c r="P287" s="30" t="s">
        <v>1336</v>
      </c>
      <c r="Q287" s="30" t="s">
        <v>1402</v>
      </c>
      <c r="R287" s="30" t="s">
        <v>8</v>
      </c>
      <c r="S287" s="30">
        <v>3813023583</v>
      </c>
      <c r="T287" s="30" t="s">
        <v>1415</v>
      </c>
      <c r="U287" s="29">
        <v>2016</v>
      </c>
    </row>
    <row r="288" spans="1:44" ht="30" customHeight="1" x14ac:dyDescent="0.2">
      <c r="A288" s="1">
        <v>286</v>
      </c>
      <c r="B288" s="30">
        <v>900104009</v>
      </c>
      <c r="C288" s="29" t="s">
        <v>1492</v>
      </c>
      <c r="D288" s="29" t="s">
        <v>2830</v>
      </c>
      <c r="E288" s="29" t="s">
        <v>1493</v>
      </c>
      <c r="F288" s="30" t="s">
        <v>1493</v>
      </c>
      <c r="G288" s="29">
        <v>4172</v>
      </c>
      <c r="H288" s="29" t="s">
        <v>2557</v>
      </c>
      <c r="I288" s="29" t="s">
        <v>2519</v>
      </c>
      <c r="J288" s="30" t="s">
        <v>2202</v>
      </c>
      <c r="K288" s="30">
        <v>3865697947</v>
      </c>
      <c r="L288" s="30" t="s">
        <v>1491</v>
      </c>
      <c r="M288" s="30" t="s">
        <v>1353</v>
      </c>
      <c r="N288" s="29" t="s">
        <v>6</v>
      </c>
      <c r="O288" s="30">
        <v>3816434012</v>
      </c>
      <c r="P288" s="30" t="s">
        <v>1444</v>
      </c>
      <c r="Q288" s="30" t="s">
        <v>1402</v>
      </c>
      <c r="R288" s="30" t="s">
        <v>8</v>
      </c>
      <c r="S288" s="30">
        <v>3813023583</v>
      </c>
      <c r="T288" s="30" t="s">
        <v>1415</v>
      </c>
      <c r="U288" s="29">
        <v>2017</v>
      </c>
    </row>
    <row r="289" spans="1:21" ht="30" customHeight="1" x14ac:dyDescent="0.2">
      <c r="A289" s="1">
        <v>287</v>
      </c>
      <c r="B289" s="30">
        <v>900104010</v>
      </c>
      <c r="C289" s="29" t="s">
        <v>1483</v>
      </c>
      <c r="D289" s="29" t="s">
        <v>2830</v>
      </c>
      <c r="E289" s="29" t="s">
        <v>2919</v>
      </c>
      <c r="F289" s="30" t="s">
        <v>1484</v>
      </c>
      <c r="G289" s="29">
        <v>4182</v>
      </c>
      <c r="H289" s="29" t="s">
        <v>2557</v>
      </c>
      <c r="I289" s="29" t="s">
        <v>2519</v>
      </c>
      <c r="J289" s="30" t="s">
        <v>1485</v>
      </c>
      <c r="K289" s="30">
        <v>3816434012</v>
      </c>
      <c r="L289" s="30" t="s">
        <v>1486</v>
      </c>
      <c r="M289" s="30" t="s">
        <v>1487</v>
      </c>
      <c r="N289" s="29" t="s">
        <v>6</v>
      </c>
      <c r="O289" s="30">
        <v>3816434012</v>
      </c>
      <c r="P289" s="30" t="s">
        <v>1336</v>
      </c>
      <c r="Q289" s="30" t="s">
        <v>1488</v>
      </c>
      <c r="R289" s="30" t="s">
        <v>17</v>
      </c>
      <c r="S289" s="30">
        <v>3813200564</v>
      </c>
      <c r="T289" s="30" t="s">
        <v>1489</v>
      </c>
      <c r="U289" s="29">
        <v>2018</v>
      </c>
    </row>
    <row r="290" spans="1:21" ht="30" customHeight="1" x14ac:dyDescent="0.2">
      <c r="A290" s="1">
        <v>288</v>
      </c>
      <c r="B290" s="30">
        <v>900104011</v>
      </c>
      <c r="C290" s="29" t="s">
        <v>1413</v>
      </c>
      <c r="D290" s="29" t="s">
        <v>2830</v>
      </c>
      <c r="E290" s="29" t="s">
        <v>2922</v>
      </c>
      <c r="F290" s="30" t="s">
        <v>2806</v>
      </c>
      <c r="G290" s="29">
        <v>4137</v>
      </c>
      <c r="H290" s="29" t="s">
        <v>2557</v>
      </c>
      <c r="I290" s="29" t="s">
        <v>2519</v>
      </c>
      <c r="J290" s="30" t="s">
        <v>1414</v>
      </c>
      <c r="K290" s="30">
        <v>3867497299</v>
      </c>
      <c r="L290" s="30" t="s">
        <v>1412</v>
      </c>
      <c r="M290" s="30" t="s">
        <v>1358</v>
      </c>
      <c r="N290" s="29" t="s">
        <v>6</v>
      </c>
      <c r="O290" s="30">
        <v>3816434012</v>
      </c>
      <c r="P290" s="30" t="s">
        <v>1336</v>
      </c>
      <c r="Q290" s="30" t="s">
        <v>2193</v>
      </c>
      <c r="R290" s="30" t="s">
        <v>8</v>
      </c>
      <c r="S290" s="30">
        <v>3813023583</v>
      </c>
      <c r="T290" s="30" t="s">
        <v>1415</v>
      </c>
      <c r="U290" s="29">
        <v>2018</v>
      </c>
    </row>
    <row r="291" spans="1:21" ht="30" customHeight="1" x14ac:dyDescent="0.2">
      <c r="A291" s="1">
        <v>289</v>
      </c>
      <c r="B291" s="30">
        <v>900104012</v>
      </c>
      <c r="C291" s="29" t="s">
        <v>1377</v>
      </c>
      <c r="D291" s="29" t="s">
        <v>2830</v>
      </c>
      <c r="E291" s="29" t="s">
        <v>2923</v>
      </c>
      <c r="F291" s="30" t="s">
        <v>2189</v>
      </c>
      <c r="G291" s="29">
        <v>4111</v>
      </c>
      <c r="H291" s="29" t="s">
        <v>2557</v>
      </c>
      <c r="I291" s="29" t="s">
        <v>2519</v>
      </c>
      <c r="J291" s="30" t="s">
        <v>1378</v>
      </c>
      <c r="K291" s="30">
        <v>381156628166</v>
      </c>
      <c r="L291" s="30" t="s">
        <v>1379</v>
      </c>
      <c r="M291" s="30" t="s">
        <v>1353</v>
      </c>
      <c r="N291" s="29" t="s">
        <v>6</v>
      </c>
      <c r="O291" s="30">
        <v>3816434012</v>
      </c>
      <c r="P291" s="30" t="s">
        <v>1336</v>
      </c>
      <c r="Q291" s="30" t="s">
        <v>1402</v>
      </c>
      <c r="R291" s="30" t="s">
        <v>8</v>
      </c>
      <c r="S291" s="30">
        <v>3813023583</v>
      </c>
      <c r="T291" s="30" t="s">
        <v>1380</v>
      </c>
      <c r="U291" s="29">
        <v>2018</v>
      </c>
    </row>
    <row r="292" spans="1:21" ht="30" customHeight="1" x14ac:dyDescent="0.2">
      <c r="A292" s="1">
        <v>290</v>
      </c>
      <c r="B292" s="30">
        <v>900104013</v>
      </c>
      <c r="C292" s="29" t="s">
        <v>1441</v>
      </c>
      <c r="D292" s="29" t="s">
        <v>2830</v>
      </c>
      <c r="E292" s="29" t="s">
        <v>2924</v>
      </c>
      <c r="F292" s="30" t="s">
        <v>1442</v>
      </c>
      <c r="G292" s="29">
        <v>4128</v>
      </c>
      <c r="H292" s="29" t="s">
        <v>2557</v>
      </c>
      <c r="I292" s="29" t="s">
        <v>2519</v>
      </c>
      <c r="J292" s="29" t="s">
        <v>1443</v>
      </c>
      <c r="K292" s="30">
        <v>3814123528</v>
      </c>
      <c r="L292" s="30" t="s">
        <v>1440</v>
      </c>
      <c r="M292" s="30" t="s">
        <v>1353</v>
      </c>
      <c r="N292" s="29" t="s">
        <v>6</v>
      </c>
      <c r="O292" s="30">
        <v>3816434012</v>
      </c>
      <c r="P292" s="30" t="s">
        <v>1444</v>
      </c>
      <c r="Q292" s="30" t="s">
        <v>1402</v>
      </c>
      <c r="R292" s="30" t="s">
        <v>8</v>
      </c>
      <c r="S292" s="30">
        <v>3813023583</v>
      </c>
      <c r="T292" s="30" t="s">
        <v>1335</v>
      </c>
      <c r="U292" s="29">
        <v>2023</v>
      </c>
    </row>
    <row r="293" spans="1:21" ht="30" customHeight="1" x14ac:dyDescent="0.2">
      <c r="A293" s="1">
        <v>291</v>
      </c>
      <c r="B293" s="30">
        <v>900104014</v>
      </c>
      <c r="C293" s="29" t="s">
        <v>1356</v>
      </c>
      <c r="D293" s="29" t="s">
        <v>2830</v>
      </c>
      <c r="E293" s="29" t="s">
        <v>2802</v>
      </c>
      <c r="F293" s="30" t="s">
        <v>2802</v>
      </c>
      <c r="G293" s="29">
        <v>4103</v>
      </c>
      <c r="H293" s="29" t="s">
        <v>2557</v>
      </c>
      <c r="I293" s="29" t="s">
        <v>2519</v>
      </c>
      <c r="J293" s="30" t="s">
        <v>1357</v>
      </c>
      <c r="K293" s="30" t="s">
        <v>2176</v>
      </c>
      <c r="L293" s="30" t="s">
        <v>1355</v>
      </c>
      <c r="M293" s="30" t="s">
        <v>1358</v>
      </c>
      <c r="N293" s="29" t="s">
        <v>6</v>
      </c>
      <c r="O293" s="30" t="s">
        <v>1359</v>
      </c>
      <c r="P293" s="30" t="s">
        <v>1360</v>
      </c>
      <c r="Q293" s="30" t="s">
        <v>1353</v>
      </c>
      <c r="R293" s="30" t="s">
        <v>6</v>
      </c>
      <c r="S293" s="30" t="s">
        <v>1359</v>
      </c>
      <c r="T293" s="30" t="s">
        <v>1360</v>
      </c>
      <c r="U293" s="29">
        <v>2023</v>
      </c>
    </row>
    <row r="294" spans="1:21" ht="30" customHeight="1" x14ac:dyDescent="0.2">
      <c r="A294" s="1">
        <v>292</v>
      </c>
      <c r="B294" s="30">
        <v>940003200</v>
      </c>
      <c r="C294" s="29" t="s">
        <v>1635</v>
      </c>
      <c r="D294" s="29" t="s">
        <v>2831</v>
      </c>
      <c r="E294" s="29" t="s">
        <v>2925</v>
      </c>
      <c r="F294" s="30" t="s">
        <v>1636</v>
      </c>
      <c r="G294" s="29">
        <v>9420</v>
      </c>
      <c r="H294" s="29" t="s">
        <v>2557</v>
      </c>
      <c r="I294" s="29" t="s">
        <v>2519</v>
      </c>
      <c r="J294" s="30" t="s">
        <v>1637</v>
      </c>
      <c r="K294" s="30" t="s">
        <v>2222</v>
      </c>
      <c r="L294" s="30" t="s">
        <v>1638</v>
      </c>
      <c r="M294" s="30" t="s">
        <v>1639</v>
      </c>
      <c r="N294" s="29" t="s">
        <v>6</v>
      </c>
      <c r="O294" s="30">
        <v>2964505640</v>
      </c>
      <c r="P294" s="30" t="s">
        <v>1634</v>
      </c>
      <c r="Q294" s="30" t="s">
        <v>1640</v>
      </c>
      <c r="R294" s="30" t="s">
        <v>17</v>
      </c>
      <c r="S294" s="30">
        <v>2964540912</v>
      </c>
      <c r="T294" s="30" t="s">
        <v>1641</v>
      </c>
      <c r="U294" s="29">
        <v>2016</v>
      </c>
    </row>
    <row r="295" spans="1:21" ht="30" customHeight="1" x14ac:dyDescent="0.2">
      <c r="A295" s="1"/>
      <c r="B295" s="30">
        <v>940006500</v>
      </c>
      <c r="C295" s="29" t="s">
        <v>1683</v>
      </c>
      <c r="D295" s="29" t="s">
        <v>2831</v>
      </c>
      <c r="E295" s="29" t="s">
        <v>2803</v>
      </c>
      <c r="F295" s="30" t="s">
        <v>2803</v>
      </c>
      <c r="G295" s="29">
        <v>9410</v>
      </c>
      <c r="H295" s="29" t="s">
        <v>2557</v>
      </c>
      <c r="I295" s="29" t="s">
        <v>2519</v>
      </c>
      <c r="J295" s="30" t="s">
        <v>1684</v>
      </c>
      <c r="K295" s="30" t="s">
        <v>1685</v>
      </c>
      <c r="L295" s="30" t="s">
        <v>1686</v>
      </c>
      <c r="M295" s="30" t="s">
        <v>1687</v>
      </c>
      <c r="N295" s="29" t="s">
        <v>6</v>
      </c>
      <c r="O295" s="30">
        <v>2901612831</v>
      </c>
      <c r="P295" s="30" t="s">
        <v>1686</v>
      </c>
      <c r="Q295" s="30" t="s">
        <v>1688</v>
      </c>
      <c r="R295" s="30" t="s">
        <v>17</v>
      </c>
      <c r="S295" s="30" t="s">
        <v>1689</v>
      </c>
      <c r="T295" s="30" t="s">
        <v>1690</v>
      </c>
      <c r="U295" s="29">
        <v>2016</v>
      </c>
    </row>
  </sheetData>
  <autoFilter ref="A2:U294" xr:uid="{6F7BE828-A25F-4A26-BD02-3419A2D25930}"/>
  <sortState xmlns:xlrd2="http://schemas.microsoft.com/office/spreadsheetml/2017/richdata2" ref="B4:U295">
    <sortCondition ref="B3:B295"/>
  </sortState>
  <phoneticPr fontId="21" type="noConversion"/>
  <hyperlinks>
    <hyperlink ref="L280" r:id="rId1" xr:uid="{6CBB3BD8-D968-4428-82C0-FD6B8181044F}"/>
    <hyperlink ref="L12" r:id="rId2" xr:uid="{B25043A5-5B8A-49AE-B572-850DCA93F654}"/>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F11E-5A4D-47E2-A900-25071AD9139D}">
  <dimension ref="A1:AD309"/>
  <sheetViews>
    <sheetView topLeftCell="H292" workbookViewId="0">
      <selection activeCell="R308" sqref="R308:W309"/>
    </sheetView>
  </sheetViews>
  <sheetFormatPr defaultColWidth="10.76171875" defaultRowHeight="15" x14ac:dyDescent="0.2"/>
  <cols>
    <col min="1" max="1" width="16.6796875" customWidth="1"/>
  </cols>
  <sheetData>
    <row r="1" spans="1:23" x14ac:dyDescent="0.2">
      <c r="A1" s="6">
        <v>45784.471446759257</v>
      </c>
      <c r="B1" t="s">
        <v>583</v>
      </c>
      <c r="C1">
        <v>540207800</v>
      </c>
      <c r="D1" t="s">
        <v>584</v>
      </c>
      <c r="E1" t="s">
        <v>2074</v>
      </c>
      <c r="F1" t="s">
        <v>585</v>
      </c>
      <c r="G1">
        <v>3743527081</v>
      </c>
      <c r="H1" t="s">
        <v>586</v>
      </c>
      <c r="I1" t="s">
        <v>587</v>
      </c>
      <c r="J1" t="s">
        <v>6</v>
      </c>
      <c r="K1">
        <v>3743527081</v>
      </c>
      <c r="L1" t="s">
        <v>583</v>
      </c>
      <c r="M1" t="s">
        <v>588</v>
      </c>
      <c r="N1" t="s">
        <v>17</v>
      </c>
      <c r="O1">
        <v>3764313514</v>
      </c>
      <c r="P1" t="s">
        <v>589</v>
      </c>
      <c r="Q1" t="s">
        <v>590</v>
      </c>
      <c r="R1">
        <v>26</v>
      </c>
      <c r="S1">
        <v>12</v>
      </c>
      <c r="T1">
        <v>329</v>
      </c>
      <c r="U1">
        <v>160</v>
      </c>
      <c r="V1">
        <v>143</v>
      </c>
      <c r="W1">
        <v>0</v>
      </c>
    </row>
    <row r="2" spans="1:23" x14ac:dyDescent="0.2">
      <c r="A2" s="6">
        <v>45784.543402777781</v>
      </c>
      <c r="B2" t="s">
        <v>591</v>
      </c>
      <c r="C2">
        <v>820033500</v>
      </c>
      <c r="D2" t="s">
        <v>592</v>
      </c>
      <c r="E2" t="s">
        <v>593</v>
      </c>
      <c r="F2" t="s">
        <v>594</v>
      </c>
      <c r="G2">
        <v>3498526026</v>
      </c>
      <c r="H2" t="s">
        <v>595</v>
      </c>
      <c r="I2" t="s">
        <v>2075</v>
      </c>
      <c r="J2" t="s">
        <v>33</v>
      </c>
      <c r="K2">
        <v>3498500315</v>
      </c>
      <c r="L2" t="s">
        <v>591</v>
      </c>
      <c r="M2" t="s">
        <v>596</v>
      </c>
      <c r="N2" t="s">
        <v>17</v>
      </c>
      <c r="O2" t="s">
        <v>597</v>
      </c>
      <c r="P2" t="s">
        <v>598</v>
      </c>
      <c r="Q2" t="s">
        <v>599</v>
      </c>
      <c r="R2">
        <v>11</v>
      </c>
      <c r="S2">
        <v>2</v>
      </c>
      <c r="T2">
        <v>56</v>
      </c>
      <c r="U2">
        <v>39</v>
      </c>
      <c r="V2">
        <v>28</v>
      </c>
      <c r="W2">
        <v>15</v>
      </c>
    </row>
    <row r="3" spans="1:23" x14ac:dyDescent="0.2">
      <c r="A3" s="6">
        <v>45784.544050925928</v>
      </c>
      <c r="B3" t="s">
        <v>600</v>
      </c>
      <c r="C3">
        <v>820443000</v>
      </c>
      <c r="D3" t="s">
        <v>601</v>
      </c>
      <c r="E3" t="s">
        <v>47</v>
      </c>
      <c r="F3" t="s">
        <v>602</v>
      </c>
      <c r="G3" t="s">
        <v>603</v>
      </c>
      <c r="H3" t="s">
        <v>604</v>
      </c>
      <c r="I3" t="s">
        <v>605</v>
      </c>
      <c r="J3" t="s">
        <v>33</v>
      </c>
      <c r="K3">
        <v>3416098487</v>
      </c>
      <c r="L3" t="s">
        <v>600</v>
      </c>
      <c r="M3" t="s">
        <v>605</v>
      </c>
      <c r="N3" t="s">
        <v>8</v>
      </c>
      <c r="O3">
        <v>3416098487</v>
      </c>
      <c r="P3" t="s">
        <v>600</v>
      </c>
      <c r="Q3" t="s">
        <v>606</v>
      </c>
      <c r="R3">
        <v>23</v>
      </c>
      <c r="S3">
        <v>10</v>
      </c>
      <c r="T3">
        <v>77</v>
      </c>
      <c r="U3">
        <v>72</v>
      </c>
      <c r="V3">
        <v>63</v>
      </c>
      <c r="W3">
        <v>44</v>
      </c>
    </row>
    <row r="4" spans="1:23" x14ac:dyDescent="0.2">
      <c r="A4" s="6">
        <v>45784.599606481483</v>
      </c>
      <c r="B4" t="s">
        <v>607</v>
      </c>
      <c r="C4">
        <v>820468200</v>
      </c>
      <c r="D4" t="s">
        <v>608</v>
      </c>
      <c r="E4" t="s">
        <v>209</v>
      </c>
      <c r="F4" t="s">
        <v>609</v>
      </c>
      <c r="G4">
        <v>3425442340</v>
      </c>
      <c r="H4" t="s">
        <v>607</v>
      </c>
      <c r="I4" t="s">
        <v>2076</v>
      </c>
      <c r="J4" t="s">
        <v>33</v>
      </c>
      <c r="K4">
        <v>3425442340</v>
      </c>
      <c r="L4" t="s">
        <v>607</v>
      </c>
      <c r="M4" t="s">
        <v>2077</v>
      </c>
      <c r="N4" t="s">
        <v>36</v>
      </c>
      <c r="O4">
        <v>3425506584</v>
      </c>
      <c r="P4" t="s">
        <v>610</v>
      </c>
      <c r="Q4" t="s">
        <v>498</v>
      </c>
      <c r="R4">
        <v>60</v>
      </c>
      <c r="S4">
        <v>13</v>
      </c>
      <c r="T4">
        <v>330</v>
      </c>
      <c r="U4">
        <v>181</v>
      </c>
      <c r="V4">
        <v>103</v>
      </c>
      <c r="W4">
        <v>54</v>
      </c>
    </row>
    <row r="5" spans="1:23" x14ac:dyDescent="0.2">
      <c r="A5" s="6">
        <v>45784.64502314815</v>
      </c>
      <c r="B5" t="s">
        <v>611</v>
      </c>
      <c r="C5">
        <v>820375600</v>
      </c>
      <c r="D5" t="s">
        <v>612</v>
      </c>
      <c r="E5" t="s">
        <v>613</v>
      </c>
      <c r="F5" t="s">
        <v>614</v>
      </c>
      <c r="G5" t="s">
        <v>615</v>
      </c>
      <c r="H5" t="s">
        <v>616</v>
      </c>
      <c r="I5" t="s">
        <v>617</v>
      </c>
      <c r="J5" t="s">
        <v>33</v>
      </c>
      <c r="K5">
        <v>3492521634</v>
      </c>
      <c r="L5" t="s">
        <v>611</v>
      </c>
      <c r="M5" t="s">
        <v>618</v>
      </c>
      <c r="N5" t="s">
        <v>27</v>
      </c>
      <c r="O5">
        <v>3492677407</v>
      </c>
      <c r="P5" t="s">
        <v>619</v>
      </c>
      <c r="Q5" t="s">
        <v>620</v>
      </c>
      <c r="R5">
        <v>15</v>
      </c>
      <c r="S5">
        <v>3</v>
      </c>
      <c r="T5">
        <v>70</v>
      </c>
      <c r="U5">
        <v>55</v>
      </c>
      <c r="V5">
        <v>42</v>
      </c>
      <c r="W5">
        <v>20</v>
      </c>
    </row>
    <row r="6" spans="1:23" x14ac:dyDescent="0.2">
      <c r="A6" s="6">
        <v>45784.64644675926</v>
      </c>
      <c r="B6" t="s">
        <v>621</v>
      </c>
      <c r="C6">
        <v>820252400</v>
      </c>
      <c r="D6" t="s">
        <v>622</v>
      </c>
      <c r="E6" t="s">
        <v>47</v>
      </c>
      <c r="F6" t="s">
        <v>623</v>
      </c>
      <c r="G6" t="s">
        <v>2078</v>
      </c>
      <c r="H6" t="s">
        <v>621</v>
      </c>
      <c r="I6" t="s">
        <v>624</v>
      </c>
      <c r="J6" t="s">
        <v>33</v>
      </c>
      <c r="K6">
        <v>3413364518</v>
      </c>
      <c r="L6" t="s">
        <v>625</v>
      </c>
      <c r="M6" t="s">
        <v>2079</v>
      </c>
      <c r="N6" t="s">
        <v>27</v>
      </c>
      <c r="O6">
        <v>3413814812</v>
      </c>
      <c r="P6" t="s">
        <v>626</v>
      </c>
      <c r="Q6" t="s">
        <v>627</v>
      </c>
      <c r="R6">
        <v>23</v>
      </c>
      <c r="S6">
        <v>5</v>
      </c>
      <c r="T6">
        <v>130</v>
      </c>
      <c r="U6">
        <v>98</v>
      </c>
      <c r="V6">
        <v>80</v>
      </c>
      <c r="W6">
        <v>32</v>
      </c>
    </row>
    <row r="7" spans="1:23" x14ac:dyDescent="0.2">
      <c r="A7" s="6">
        <v>45784.877280092594</v>
      </c>
      <c r="B7" t="s">
        <v>628</v>
      </c>
      <c r="C7">
        <v>820462100</v>
      </c>
      <c r="D7" t="s">
        <v>629</v>
      </c>
      <c r="E7" t="s">
        <v>630</v>
      </c>
      <c r="F7" t="s">
        <v>631</v>
      </c>
      <c r="G7">
        <v>3471595808</v>
      </c>
      <c r="H7" t="s">
        <v>628</v>
      </c>
      <c r="I7" t="s">
        <v>632</v>
      </c>
      <c r="J7" t="s">
        <v>33</v>
      </c>
      <c r="K7">
        <v>3471515082</v>
      </c>
      <c r="L7" t="s">
        <v>633</v>
      </c>
      <c r="M7" t="s">
        <v>632</v>
      </c>
      <c r="N7" t="s">
        <v>8</v>
      </c>
      <c r="O7">
        <v>3471515082</v>
      </c>
      <c r="P7" t="s">
        <v>633</v>
      </c>
      <c r="Q7" t="s">
        <v>634</v>
      </c>
      <c r="R7">
        <v>22</v>
      </c>
      <c r="S7">
        <v>16</v>
      </c>
      <c r="T7">
        <v>60</v>
      </c>
      <c r="U7">
        <v>25</v>
      </c>
      <c r="V7">
        <v>35</v>
      </c>
      <c r="W7">
        <v>27</v>
      </c>
    </row>
    <row r="8" spans="1:23" ht="68.25" x14ac:dyDescent="0.2">
      <c r="A8" s="6">
        <v>45785.392858796295</v>
      </c>
      <c r="B8" t="s">
        <v>635</v>
      </c>
      <c r="C8">
        <v>820443200</v>
      </c>
      <c r="D8" s="7" t="s">
        <v>636</v>
      </c>
      <c r="E8" t="s">
        <v>613</v>
      </c>
      <c r="F8" t="s">
        <v>637</v>
      </c>
      <c r="G8" t="s">
        <v>2080</v>
      </c>
      <c r="H8" t="s">
        <v>638</v>
      </c>
      <c r="I8" t="s">
        <v>2081</v>
      </c>
      <c r="J8" t="s">
        <v>33</v>
      </c>
      <c r="K8" t="s">
        <v>2082</v>
      </c>
      <c r="L8" t="s">
        <v>635</v>
      </c>
      <c r="M8" t="s">
        <v>2081</v>
      </c>
      <c r="N8" t="s">
        <v>8</v>
      </c>
      <c r="O8" t="s">
        <v>639</v>
      </c>
      <c r="P8" t="s">
        <v>635</v>
      </c>
      <c r="Q8" t="s">
        <v>640</v>
      </c>
      <c r="R8">
        <v>7</v>
      </c>
      <c r="S8">
        <v>5</v>
      </c>
      <c r="T8">
        <v>0</v>
      </c>
      <c r="U8">
        <v>0</v>
      </c>
      <c r="V8">
        <v>21</v>
      </c>
      <c r="W8">
        <v>0</v>
      </c>
    </row>
    <row r="9" spans="1:23" x14ac:dyDescent="0.2">
      <c r="A9" s="6">
        <v>45785.422349537039</v>
      </c>
      <c r="B9" t="s">
        <v>641</v>
      </c>
      <c r="C9">
        <v>140575200</v>
      </c>
      <c r="D9" t="s">
        <v>642</v>
      </c>
      <c r="E9" t="s">
        <v>333</v>
      </c>
      <c r="F9" t="s">
        <v>643</v>
      </c>
      <c r="G9">
        <v>3512292946</v>
      </c>
      <c r="H9" t="s">
        <v>644</v>
      </c>
      <c r="I9" t="s">
        <v>645</v>
      </c>
      <c r="J9" t="s">
        <v>33</v>
      </c>
      <c r="K9">
        <v>3512601899</v>
      </c>
      <c r="L9" t="s">
        <v>641</v>
      </c>
      <c r="M9" t="s">
        <v>646</v>
      </c>
      <c r="N9" t="s">
        <v>17</v>
      </c>
      <c r="O9" t="s">
        <v>647</v>
      </c>
      <c r="P9" t="s">
        <v>648</v>
      </c>
      <c r="Q9" t="s">
        <v>649</v>
      </c>
      <c r="R9">
        <v>5</v>
      </c>
      <c r="S9">
        <v>1</v>
      </c>
      <c r="T9">
        <v>0</v>
      </c>
      <c r="U9">
        <v>0</v>
      </c>
      <c r="V9">
        <v>41</v>
      </c>
      <c r="W9">
        <v>0</v>
      </c>
    </row>
    <row r="10" spans="1:23" ht="135" x14ac:dyDescent="0.2">
      <c r="A10" s="6">
        <v>45785.570555555554</v>
      </c>
      <c r="B10" t="s">
        <v>650</v>
      </c>
      <c r="C10">
        <v>60845900</v>
      </c>
      <c r="D10" s="7" t="s">
        <v>651</v>
      </c>
      <c r="E10" t="s">
        <v>652</v>
      </c>
      <c r="F10" t="s">
        <v>653</v>
      </c>
      <c r="G10" t="s">
        <v>2083</v>
      </c>
      <c r="H10" t="s">
        <v>650</v>
      </c>
      <c r="I10" t="s">
        <v>654</v>
      </c>
      <c r="J10" t="s">
        <v>33</v>
      </c>
      <c r="K10" t="s">
        <v>655</v>
      </c>
      <c r="L10" t="s">
        <v>656</v>
      </c>
      <c r="M10" t="s">
        <v>654</v>
      </c>
      <c r="N10" t="s">
        <v>8</v>
      </c>
      <c r="O10" t="s">
        <v>657</v>
      </c>
      <c r="P10" t="s">
        <v>656</v>
      </c>
      <c r="Q10" t="s">
        <v>658</v>
      </c>
      <c r="R10">
        <v>14</v>
      </c>
      <c r="S10">
        <v>2</v>
      </c>
      <c r="T10">
        <v>18</v>
      </c>
      <c r="U10">
        <v>14</v>
      </c>
      <c r="V10">
        <v>13</v>
      </c>
      <c r="W10">
        <v>9</v>
      </c>
    </row>
    <row r="11" spans="1:23" x14ac:dyDescent="0.2">
      <c r="A11" s="6">
        <v>45785.586851851855</v>
      </c>
      <c r="B11" t="s">
        <v>659</v>
      </c>
      <c r="C11">
        <v>62056100</v>
      </c>
      <c r="D11" t="s">
        <v>2084</v>
      </c>
      <c r="E11" t="s">
        <v>660</v>
      </c>
      <c r="F11" t="s">
        <v>661</v>
      </c>
      <c r="G11">
        <v>2291433791</v>
      </c>
      <c r="H11" t="s">
        <v>659</v>
      </c>
      <c r="I11" t="s">
        <v>662</v>
      </c>
      <c r="J11" t="s">
        <v>33</v>
      </c>
      <c r="K11">
        <v>2235178404</v>
      </c>
      <c r="L11" t="s">
        <v>663</v>
      </c>
      <c r="M11" t="s">
        <v>664</v>
      </c>
      <c r="N11" t="s">
        <v>36</v>
      </c>
      <c r="O11">
        <v>2234393887</v>
      </c>
      <c r="P11" t="s">
        <v>665</v>
      </c>
      <c r="Q11" t="s">
        <v>666</v>
      </c>
      <c r="R11">
        <v>18</v>
      </c>
      <c r="S11">
        <v>6</v>
      </c>
      <c r="T11">
        <v>44</v>
      </c>
      <c r="U11">
        <v>32</v>
      </c>
      <c r="V11">
        <v>38</v>
      </c>
      <c r="W11">
        <v>15</v>
      </c>
    </row>
    <row r="12" spans="1:23" x14ac:dyDescent="0.2">
      <c r="A12" s="6">
        <v>45785.60565972222</v>
      </c>
      <c r="B12" t="s">
        <v>667</v>
      </c>
      <c r="C12">
        <v>820443100</v>
      </c>
      <c r="D12" t="s">
        <v>668</v>
      </c>
      <c r="E12" t="s">
        <v>669</v>
      </c>
      <c r="F12" t="s">
        <v>670</v>
      </c>
      <c r="G12">
        <v>3425128866</v>
      </c>
      <c r="H12" t="s">
        <v>667</v>
      </c>
      <c r="I12" t="s">
        <v>671</v>
      </c>
      <c r="J12" t="s">
        <v>33</v>
      </c>
      <c r="K12">
        <v>3483418086</v>
      </c>
      <c r="L12" t="s">
        <v>672</v>
      </c>
      <c r="M12" t="s">
        <v>671</v>
      </c>
      <c r="N12" t="s">
        <v>8</v>
      </c>
      <c r="O12">
        <v>3483418086</v>
      </c>
      <c r="P12" t="s">
        <v>672</v>
      </c>
      <c r="Q12" t="s">
        <v>673</v>
      </c>
      <c r="R12">
        <v>48</v>
      </c>
      <c r="S12">
        <v>34</v>
      </c>
      <c r="T12">
        <v>94</v>
      </c>
      <c r="U12">
        <v>57</v>
      </c>
      <c r="V12">
        <v>83</v>
      </c>
      <c r="W12">
        <v>60</v>
      </c>
    </row>
    <row r="13" spans="1:23" x14ac:dyDescent="0.2">
      <c r="A13" s="6">
        <v>45785.655046296299</v>
      </c>
      <c r="B13" t="s">
        <v>674</v>
      </c>
      <c r="C13">
        <v>60433000</v>
      </c>
      <c r="D13" t="s">
        <v>675</v>
      </c>
      <c r="E13" t="s">
        <v>676</v>
      </c>
      <c r="F13" t="s">
        <v>677</v>
      </c>
      <c r="G13" t="s">
        <v>678</v>
      </c>
      <c r="H13" t="s">
        <v>674</v>
      </c>
      <c r="I13" t="s">
        <v>679</v>
      </c>
      <c r="J13" t="s">
        <v>33</v>
      </c>
      <c r="K13" t="s">
        <v>678</v>
      </c>
      <c r="L13" t="s">
        <v>680</v>
      </c>
      <c r="M13" t="s">
        <v>681</v>
      </c>
      <c r="N13" t="s">
        <v>17</v>
      </c>
      <c r="O13">
        <v>1158911641</v>
      </c>
      <c r="P13" t="s">
        <v>682</v>
      </c>
      <c r="Q13" t="s">
        <v>2085</v>
      </c>
      <c r="R13">
        <v>17</v>
      </c>
      <c r="S13">
        <v>5</v>
      </c>
      <c r="T13">
        <v>65</v>
      </c>
      <c r="U13">
        <v>30</v>
      </c>
      <c r="V13">
        <v>32</v>
      </c>
      <c r="W13">
        <v>22</v>
      </c>
    </row>
    <row r="14" spans="1:23" x14ac:dyDescent="0.2">
      <c r="A14" s="6">
        <v>45785.672071759262</v>
      </c>
      <c r="B14" t="s">
        <v>2260</v>
      </c>
      <c r="C14">
        <v>62242300</v>
      </c>
      <c r="D14" t="s">
        <v>683</v>
      </c>
      <c r="E14" t="s">
        <v>684</v>
      </c>
      <c r="F14" t="s">
        <v>685</v>
      </c>
      <c r="G14">
        <v>1142650247</v>
      </c>
      <c r="H14" t="s">
        <v>686</v>
      </c>
      <c r="I14" t="s">
        <v>687</v>
      </c>
      <c r="J14" t="s">
        <v>33</v>
      </c>
      <c r="K14">
        <v>1142650247</v>
      </c>
      <c r="L14" t="s">
        <v>688</v>
      </c>
      <c r="M14" t="s">
        <v>689</v>
      </c>
      <c r="N14" t="s">
        <v>27</v>
      </c>
      <c r="O14">
        <v>1166361213</v>
      </c>
      <c r="P14" t="s">
        <v>686</v>
      </c>
      <c r="Q14" t="s">
        <v>690</v>
      </c>
      <c r="R14">
        <v>18</v>
      </c>
      <c r="S14">
        <v>5</v>
      </c>
      <c r="T14">
        <v>70</v>
      </c>
      <c r="U14">
        <v>48</v>
      </c>
      <c r="V14">
        <v>40</v>
      </c>
      <c r="W14">
        <v>8</v>
      </c>
    </row>
    <row r="15" spans="1:23" ht="94.5" x14ac:dyDescent="0.2">
      <c r="A15" s="6">
        <v>45785.675775462965</v>
      </c>
      <c r="B15" t="s">
        <v>691</v>
      </c>
      <c r="C15">
        <v>60786800</v>
      </c>
      <c r="D15" s="7" t="s">
        <v>692</v>
      </c>
      <c r="E15" t="s">
        <v>693</v>
      </c>
      <c r="F15" t="s">
        <v>694</v>
      </c>
      <c r="G15">
        <v>2223576526</v>
      </c>
      <c r="H15" t="s">
        <v>691</v>
      </c>
      <c r="I15" t="s">
        <v>695</v>
      </c>
      <c r="J15" t="s">
        <v>33</v>
      </c>
      <c r="K15">
        <v>2223576526</v>
      </c>
      <c r="L15" t="s">
        <v>696</v>
      </c>
      <c r="M15" t="s">
        <v>695</v>
      </c>
      <c r="N15" t="s">
        <v>8</v>
      </c>
      <c r="O15">
        <v>2223576526</v>
      </c>
      <c r="P15" t="s">
        <v>696</v>
      </c>
      <c r="Q15" t="s">
        <v>2086</v>
      </c>
      <c r="R15">
        <v>15</v>
      </c>
      <c r="S15">
        <v>3</v>
      </c>
      <c r="T15">
        <v>55</v>
      </c>
      <c r="U15">
        <v>35</v>
      </c>
      <c r="V15">
        <v>28</v>
      </c>
      <c r="W15">
        <v>15</v>
      </c>
    </row>
    <row r="16" spans="1:23" x14ac:dyDescent="0.2">
      <c r="A16" s="6">
        <v>45785.688807870371</v>
      </c>
      <c r="B16" t="s">
        <v>697</v>
      </c>
      <c r="C16">
        <v>61172600</v>
      </c>
      <c r="D16" t="s">
        <v>698</v>
      </c>
      <c r="E16" t="s">
        <v>699</v>
      </c>
      <c r="F16" t="s">
        <v>700</v>
      </c>
      <c r="G16" t="s">
        <v>701</v>
      </c>
      <c r="H16" t="s">
        <v>697</v>
      </c>
      <c r="I16" t="s">
        <v>702</v>
      </c>
      <c r="J16" t="s">
        <v>33</v>
      </c>
      <c r="K16" t="s">
        <v>703</v>
      </c>
      <c r="L16" t="s">
        <v>704</v>
      </c>
      <c r="M16" t="s">
        <v>705</v>
      </c>
      <c r="N16" t="s">
        <v>27</v>
      </c>
      <c r="O16" t="s">
        <v>706</v>
      </c>
      <c r="P16" t="s">
        <v>707</v>
      </c>
      <c r="Q16" t="s">
        <v>708</v>
      </c>
      <c r="R16">
        <v>12</v>
      </c>
      <c r="S16">
        <v>2</v>
      </c>
      <c r="T16">
        <v>35</v>
      </c>
      <c r="U16">
        <v>20</v>
      </c>
      <c r="V16">
        <v>24</v>
      </c>
      <c r="W16">
        <v>16</v>
      </c>
    </row>
    <row r="17" spans="1:23" x14ac:dyDescent="0.2">
      <c r="A17" s="6">
        <v>45785.691192129627</v>
      </c>
      <c r="B17" t="s">
        <v>709</v>
      </c>
      <c r="C17">
        <v>62318700</v>
      </c>
      <c r="D17" t="s">
        <v>710</v>
      </c>
      <c r="E17" t="s">
        <v>711</v>
      </c>
      <c r="F17" t="s">
        <v>712</v>
      </c>
      <c r="G17" t="s">
        <v>713</v>
      </c>
      <c r="H17" t="s">
        <v>709</v>
      </c>
      <c r="I17" t="s">
        <v>714</v>
      </c>
      <c r="J17" t="s">
        <v>33</v>
      </c>
      <c r="K17" t="s">
        <v>715</v>
      </c>
      <c r="L17" t="s">
        <v>716</v>
      </c>
      <c r="M17" t="s">
        <v>717</v>
      </c>
      <c r="N17" t="s">
        <v>55</v>
      </c>
      <c r="O17" t="s">
        <v>718</v>
      </c>
      <c r="P17" t="s">
        <v>719</v>
      </c>
      <c r="Q17" t="s">
        <v>720</v>
      </c>
      <c r="R17">
        <v>6</v>
      </c>
      <c r="S17">
        <v>1</v>
      </c>
      <c r="T17">
        <v>0</v>
      </c>
      <c r="U17">
        <v>0</v>
      </c>
      <c r="V17">
        <v>15</v>
      </c>
      <c r="W17">
        <v>9</v>
      </c>
    </row>
    <row r="18" spans="1:23" x14ac:dyDescent="0.2">
      <c r="A18" s="6">
        <v>45785.750127314815</v>
      </c>
      <c r="B18" t="s">
        <v>721</v>
      </c>
      <c r="C18">
        <v>820460400</v>
      </c>
      <c r="D18" t="s">
        <v>722</v>
      </c>
      <c r="E18" t="s">
        <v>2087</v>
      </c>
      <c r="F18" t="s">
        <v>723</v>
      </c>
      <c r="G18">
        <v>3406443196</v>
      </c>
      <c r="H18" t="s">
        <v>724</v>
      </c>
      <c r="I18" t="s">
        <v>725</v>
      </c>
      <c r="J18" t="s">
        <v>33</v>
      </c>
      <c r="K18">
        <v>3406451372</v>
      </c>
      <c r="L18" t="s">
        <v>721</v>
      </c>
      <c r="M18" t="s">
        <v>725</v>
      </c>
      <c r="N18" t="s">
        <v>8</v>
      </c>
      <c r="O18">
        <v>3406451372</v>
      </c>
      <c r="P18" t="s">
        <v>721</v>
      </c>
      <c r="Q18" t="s">
        <v>726</v>
      </c>
      <c r="R18">
        <v>14</v>
      </c>
      <c r="S18">
        <v>9</v>
      </c>
      <c r="T18">
        <v>0</v>
      </c>
      <c r="U18">
        <v>25</v>
      </c>
      <c r="V18">
        <v>30</v>
      </c>
      <c r="W18">
        <v>4</v>
      </c>
    </row>
    <row r="19" spans="1:23" x14ac:dyDescent="0.2">
      <c r="A19" s="6">
        <v>45785.757326388892</v>
      </c>
      <c r="B19" t="s">
        <v>727</v>
      </c>
      <c r="C19">
        <v>300164300</v>
      </c>
      <c r="D19" t="s">
        <v>2088</v>
      </c>
      <c r="E19" t="s">
        <v>728</v>
      </c>
      <c r="F19" t="s">
        <v>729</v>
      </c>
      <c r="G19" t="s">
        <v>730</v>
      </c>
      <c r="H19" t="s">
        <v>727</v>
      </c>
      <c r="I19" t="s">
        <v>731</v>
      </c>
      <c r="J19" t="s">
        <v>6</v>
      </c>
      <c r="K19" t="s">
        <v>732</v>
      </c>
      <c r="L19" t="s">
        <v>733</v>
      </c>
      <c r="M19" t="s">
        <v>734</v>
      </c>
      <c r="N19" t="s">
        <v>17</v>
      </c>
      <c r="O19">
        <v>3454411216</v>
      </c>
      <c r="P19" t="s">
        <v>735</v>
      </c>
      <c r="Q19" t="s">
        <v>736</v>
      </c>
      <c r="R19">
        <v>20</v>
      </c>
      <c r="S19">
        <v>10</v>
      </c>
      <c r="T19">
        <v>0</v>
      </c>
      <c r="U19">
        <v>79</v>
      </c>
      <c r="V19">
        <v>112</v>
      </c>
      <c r="W19">
        <v>52</v>
      </c>
    </row>
    <row r="20" spans="1:23" x14ac:dyDescent="0.2">
      <c r="A20" s="6">
        <v>45785.768703703703</v>
      </c>
      <c r="B20" t="s">
        <v>737</v>
      </c>
      <c r="C20">
        <v>60595600</v>
      </c>
      <c r="D20" t="s">
        <v>2089</v>
      </c>
      <c r="E20" t="s">
        <v>738</v>
      </c>
      <c r="F20" t="s">
        <v>739</v>
      </c>
      <c r="G20" t="s">
        <v>740</v>
      </c>
      <c r="H20" t="s">
        <v>737</v>
      </c>
      <c r="I20" t="s">
        <v>741</v>
      </c>
      <c r="J20" t="s">
        <v>33</v>
      </c>
      <c r="K20">
        <v>2215015552</v>
      </c>
      <c r="L20" t="s">
        <v>742</v>
      </c>
      <c r="M20" t="s">
        <v>743</v>
      </c>
      <c r="N20" t="s">
        <v>98</v>
      </c>
      <c r="O20" t="s">
        <v>744</v>
      </c>
      <c r="P20" t="s">
        <v>745</v>
      </c>
      <c r="Q20" t="s">
        <v>746</v>
      </c>
      <c r="R20">
        <v>20</v>
      </c>
      <c r="S20">
        <v>3</v>
      </c>
      <c r="T20">
        <v>30</v>
      </c>
      <c r="U20">
        <v>26</v>
      </c>
      <c r="V20">
        <v>22</v>
      </c>
      <c r="W20">
        <v>11</v>
      </c>
    </row>
    <row r="21" spans="1:23" x14ac:dyDescent="0.2">
      <c r="A21" s="6">
        <v>45785.772534722222</v>
      </c>
      <c r="B21" t="s">
        <v>747</v>
      </c>
      <c r="C21">
        <v>62424000</v>
      </c>
      <c r="D21" t="s">
        <v>748</v>
      </c>
      <c r="E21" t="s">
        <v>749</v>
      </c>
      <c r="F21" t="s">
        <v>750</v>
      </c>
      <c r="G21">
        <v>2392513639</v>
      </c>
      <c r="H21" t="s">
        <v>747</v>
      </c>
      <c r="I21" t="s">
        <v>751</v>
      </c>
      <c r="J21" t="s">
        <v>33</v>
      </c>
      <c r="K21">
        <v>2392513639</v>
      </c>
      <c r="L21" t="s">
        <v>752</v>
      </c>
      <c r="M21" t="s">
        <v>753</v>
      </c>
      <c r="N21" t="s">
        <v>55</v>
      </c>
      <c r="O21">
        <v>2392480379</v>
      </c>
      <c r="P21" t="s">
        <v>747</v>
      </c>
      <c r="Q21" t="s">
        <v>754</v>
      </c>
      <c r="R21">
        <v>6</v>
      </c>
      <c r="S21">
        <v>1</v>
      </c>
      <c r="T21">
        <v>22</v>
      </c>
      <c r="U21">
        <v>0</v>
      </c>
      <c r="V21">
        <v>0</v>
      </c>
      <c r="W21">
        <v>14</v>
      </c>
    </row>
    <row r="22" spans="1:23" x14ac:dyDescent="0.2">
      <c r="A22" s="6">
        <v>45785.77416666667</v>
      </c>
      <c r="B22" t="s">
        <v>755</v>
      </c>
      <c r="C22">
        <v>61128600</v>
      </c>
      <c r="D22" t="s">
        <v>756</v>
      </c>
      <c r="E22" t="s">
        <v>2090</v>
      </c>
      <c r="F22" t="s">
        <v>757</v>
      </c>
      <c r="G22">
        <v>430176</v>
      </c>
      <c r="H22" t="s">
        <v>755</v>
      </c>
      <c r="I22" t="s">
        <v>758</v>
      </c>
      <c r="J22" t="s">
        <v>33</v>
      </c>
      <c r="K22" t="s">
        <v>759</v>
      </c>
      <c r="L22" t="s">
        <v>760</v>
      </c>
      <c r="M22" t="s">
        <v>761</v>
      </c>
      <c r="N22" t="s">
        <v>55</v>
      </c>
      <c r="O22">
        <v>2923435411</v>
      </c>
      <c r="P22" t="s">
        <v>762</v>
      </c>
      <c r="Q22" t="s">
        <v>763</v>
      </c>
      <c r="R22">
        <v>6</v>
      </c>
      <c r="S22">
        <v>1</v>
      </c>
      <c r="T22">
        <v>0</v>
      </c>
      <c r="U22">
        <v>14</v>
      </c>
      <c r="V22">
        <v>0</v>
      </c>
      <c r="W22">
        <v>11</v>
      </c>
    </row>
    <row r="23" spans="1:23" x14ac:dyDescent="0.2">
      <c r="A23" s="6">
        <v>45785.781087962961</v>
      </c>
      <c r="B23" t="s">
        <v>764</v>
      </c>
      <c r="C23">
        <v>62315000</v>
      </c>
      <c r="D23" t="s">
        <v>765</v>
      </c>
      <c r="E23" t="s">
        <v>766</v>
      </c>
      <c r="F23" t="s">
        <v>767</v>
      </c>
      <c r="H23" t="s">
        <v>768</v>
      </c>
      <c r="I23" t="s">
        <v>769</v>
      </c>
      <c r="J23" t="s">
        <v>33</v>
      </c>
      <c r="K23">
        <v>338815507324</v>
      </c>
      <c r="L23" t="s">
        <v>770</v>
      </c>
      <c r="M23" t="s">
        <v>769</v>
      </c>
      <c r="N23" t="s">
        <v>8</v>
      </c>
      <c r="O23">
        <v>338815507324</v>
      </c>
      <c r="P23" t="s">
        <v>764</v>
      </c>
      <c r="Q23" t="s">
        <v>771</v>
      </c>
      <c r="R23">
        <v>5</v>
      </c>
      <c r="S23">
        <v>1</v>
      </c>
      <c r="T23">
        <v>0</v>
      </c>
      <c r="U23">
        <v>0</v>
      </c>
      <c r="V23">
        <v>7</v>
      </c>
      <c r="W23">
        <v>7</v>
      </c>
    </row>
    <row r="24" spans="1:23" x14ac:dyDescent="0.2">
      <c r="A24" s="6">
        <v>45785.782187500001</v>
      </c>
      <c r="B24" t="s">
        <v>772</v>
      </c>
      <c r="C24">
        <v>60021900</v>
      </c>
      <c r="D24" t="s">
        <v>773</v>
      </c>
      <c r="E24" t="s">
        <v>774</v>
      </c>
      <c r="F24" t="s">
        <v>775</v>
      </c>
      <c r="G24">
        <v>2355474438</v>
      </c>
      <c r="H24" t="s">
        <v>772</v>
      </c>
      <c r="I24" t="s">
        <v>776</v>
      </c>
      <c r="J24" t="s">
        <v>33</v>
      </c>
      <c r="K24">
        <v>2355445772</v>
      </c>
      <c r="L24" t="s">
        <v>777</v>
      </c>
      <c r="M24" t="s">
        <v>778</v>
      </c>
      <c r="N24" t="s">
        <v>55</v>
      </c>
      <c r="O24">
        <v>2355443329</v>
      </c>
      <c r="P24" t="s">
        <v>779</v>
      </c>
      <c r="Q24" t="s">
        <v>780</v>
      </c>
      <c r="R24">
        <v>10</v>
      </c>
      <c r="S24">
        <v>2</v>
      </c>
      <c r="T24">
        <v>0</v>
      </c>
      <c r="U24">
        <v>11</v>
      </c>
      <c r="V24">
        <v>10</v>
      </c>
      <c r="W24">
        <v>5</v>
      </c>
    </row>
    <row r="25" spans="1:23" ht="121.5" x14ac:dyDescent="0.2">
      <c r="A25" s="6">
        <v>45785.790995370371</v>
      </c>
      <c r="B25" t="s">
        <v>2261</v>
      </c>
      <c r="C25">
        <v>60661000</v>
      </c>
      <c r="D25" s="7" t="s">
        <v>781</v>
      </c>
      <c r="E25" t="s">
        <v>782</v>
      </c>
      <c r="F25" t="s">
        <v>783</v>
      </c>
      <c r="G25">
        <v>2983482081</v>
      </c>
      <c r="H25" t="s">
        <v>784</v>
      </c>
      <c r="I25" t="s">
        <v>785</v>
      </c>
      <c r="J25" t="s">
        <v>33</v>
      </c>
      <c r="K25">
        <v>2983564897</v>
      </c>
      <c r="L25" t="s">
        <v>786</v>
      </c>
      <c r="M25" t="s">
        <v>787</v>
      </c>
      <c r="N25" t="s">
        <v>55</v>
      </c>
      <c r="O25">
        <v>2983526019</v>
      </c>
      <c r="P25" t="s">
        <v>788</v>
      </c>
      <c r="Q25" t="s">
        <v>166</v>
      </c>
      <c r="R25">
        <v>5</v>
      </c>
      <c r="S25">
        <v>1</v>
      </c>
      <c r="T25">
        <v>0</v>
      </c>
      <c r="U25">
        <v>0</v>
      </c>
      <c r="V25">
        <v>10</v>
      </c>
      <c r="W25">
        <v>5</v>
      </c>
    </row>
    <row r="26" spans="1:23" x14ac:dyDescent="0.2">
      <c r="A26" s="6">
        <v>45785.818310185183</v>
      </c>
      <c r="B26" t="s">
        <v>789</v>
      </c>
      <c r="C26">
        <v>62327600</v>
      </c>
      <c r="D26" t="s">
        <v>2091</v>
      </c>
      <c r="E26" t="s">
        <v>2092</v>
      </c>
      <c r="F26" t="s">
        <v>790</v>
      </c>
      <c r="G26">
        <v>2227525315</v>
      </c>
      <c r="H26" t="s">
        <v>789</v>
      </c>
      <c r="I26" t="s">
        <v>791</v>
      </c>
      <c r="J26" t="s">
        <v>33</v>
      </c>
      <c r="K26">
        <v>2227472323</v>
      </c>
      <c r="L26" t="s">
        <v>792</v>
      </c>
      <c r="M26" t="s">
        <v>791</v>
      </c>
      <c r="N26" t="s">
        <v>27</v>
      </c>
      <c r="O26">
        <v>2227472323</v>
      </c>
      <c r="P26" t="s">
        <v>792</v>
      </c>
      <c r="Q26" t="s">
        <v>793</v>
      </c>
      <c r="R26">
        <v>6</v>
      </c>
      <c r="S26">
        <v>1</v>
      </c>
      <c r="T26">
        <v>42</v>
      </c>
      <c r="U26">
        <v>0</v>
      </c>
      <c r="V26">
        <v>0</v>
      </c>
      <c r="W26">
        <v>0</v>
      </c>
    </row>
    <row r="27" spans="1:23" x14ac:dyDescent="0.2">
      <c r="A27" s="6">
        <v>45785.823333333334</v>
      </c>
      <c r="B27" t="s">
        <v>794</v>
      </c>
      <c r="C27">
        <v>61288800</v>
      </c>
      <c r="D27" t="s">
        <v>795</v>
      </c>
      <c r="E27" t="s">
        <v>796</v>
      </c>
      <c r="F27" t="s">
        <v>797</v>
      </c>
      <c r="G27" t="s">
        <v>2093</v>
      </c>
      <c r="H27" t="s">
        <v>794</v>
      </c>
      <c r="I27" t="s">
        <v>798</v>
      </c>
      <c r="J27" t="s">
        <v>33</v>
      </c>
      <c r="K27">
        <v>1156515354</v>
      </c>
      <c r="L27" t="s">
        <v>799</v>
      </c>
      <c r="M27" t="s">
        <v>800</v>
      </c>
      <c r="N27" t="s">
        <v>36</v>
      </c>
      <c r="O27">
        <v>1163372597</v>
      </c>
      <c r="P27" t="s">
        <v>801</v>
      </c>
      <c r="Q27" t="s">
        <v>802</v>
      </c>
      <c r="R27">
        <v>25</v>
      </c>
      <c r="S27">
        <v>8</v>
      </c>
      <c r="T27">
        <v>148</v>
      </c>
      <c r="U27">
        <v>95</v>
      </c>
      <c r="V27">
        <v>102</v>
      </c>
      <c r="W27">
        <v>53</v>
      </c>
    </row>
    <row r="28" spans="1:23" ht="94.5" x14ac:dyDescent="0.2">
      <c r="A28" s="6">
        <v>45785.825011574074</v>
      </c>
      <c r="B28" t="s">
        <v>803</v>
      </c>
      <c r="C28">
        <v>60610300</v>
      </c>
      <c r="D28" s="7" t="s">
        <v>804</v>
      </c>
      <c r="E28" t="s">
        <v>805</v>
      </c>
      <c r="F28" t="s">
        <v>806</v>
      </c>
      <c r="G28" t="s">
        <v>2094</v>
      </c>
      <c r="H28" t="s">
        <v>803</v>
      </c>
      <c r="I28" t="s">
        <v>807</v>
      </c>
      <c r="J28" t="s">
        <v>33</v>
      </c>
      <c r="K28" t="s">
        <v>808</v>
      </c>
      <c r="L28" t="s">
        <v>809</v>
      </c>
      <c r="M28" t="s">
        <v>810</v>
      </c>
      <c r="N28" t="s">
        <v>36</v>
      </c>
      <c r="O28" t="s">
        <v>811</v>
      </c>
      <c r="P28" t="s">
        <v>812</v>
      </c>
      <c r="Q28" t="s">
        <v>813</v>
      </c>
      <c r="R28">
        <v>23</v>
      </c>
      <c r="S28">
        <v>7</v>
      </c>
      <c r="T28">
        <v>103</v>
      </c>
      <c r="U28">
        <v>70</v>
      </c>
      <c r="V28">
        <v>54</v>
      </c>
      <c r="W28">
        <v>39</v>
      </c>
    </row>
    <row r="29" spans="1:23" x14ac:dyDescent="0.2">
      <c r="A29" s="6">
        <v>45785.830706018518</v>
      </c>
      <c r="B29" t="s">
        <v>814</v>
      </c>
      <c r="C29">
        <v>500224900</v>
      </c>
      <c r="D29" t="s">
        <v>2095</v>
      </c>
      <c r="E29" t="s">
        <v>2096</v>
      </c>
      <c r="F29" t="s">
        <v>815</v>
      </c>
      <c r="G29">
        <v>2615614036</v>
      </c>
      <c r="H29" t="s">
        <v>814</v>
      </c>
      <c r="I29" t="s">
        <v>816</v>
      </c>
      <c r="J29" t="s">
        <v>6</v>
      </c>
      <c r="K29">
        <v>2615614036</v>
      </c>
      <c r="L29" t="s">
        <v>817</v>
      </c>
      <c r="M29" t="s">
        <v>818</v>
      </c>
      <c r="N29" t="s">
        <v>17</v>
      </c>
      <c r="O29">
        <v>2612159987</v>
      </c>
      <c r="P29" t="s">
        <v>819</v>
      </c>
      <c r="Q29" t="s">
        <v>820</v>
      </c>
      <c r="R29">
        <v>13</v>
      </c>
      <c r="S29">
        <v>4</v>
      </c>
      <c r="T29">
        <v>64</v>
      </c>
      <c r="U29">
        <v>69</v>
      </c>
      <c r="V29">
        <v>44</v>
      </c>
      <c r="W29">
        <v>49</v>
      </c>
    </row>
    <row r="30" spans="1:23" x14ac:dyDescent="0.2">
      <c r="A30" s="6">
        <v>45785.837581018517</v>
      </c>
      <c r="B30" t="s">
        <v>821</v>
      </c>
      <c r="C30">
        <v>61613900</v>
      </c>
      <c r="D30" t="s">
        <v>822</v>
      </c>
      <c r="E30" t="s">
        <v>823</v>
      </c>
      <c r="F30" t="s">
        <v>824</v>
      </c>
      <c r="H30" t="s">
        <v>821</v>
      </c>
      <c r="I30" t="s">
        <v>825</v>
      </c>
      <c r="J30" t="s">
        <v>33</v>
      </c>
      <c r="K30">
        <v>249154274105</v>
      </c>
      <c r="L30" t="s">
        <v>826</v>
      </c>
      <c r="M30" t="s">
        <v>827</v>
      </c>
      <c r="N30" t="s">
        <v>36</v>
      </c>
      <c r="O30" t="s">
        <v>828</v>
      </c>
      <c r="P30" t="s">
        <v>829</v>
      </c>
      <c r="Q30" t="s">
        <v>830</v>
      </c>
      <c r="R30">
        <v>16</v>
      </c>
      <c r="S30">
        <v>6</v>
      </c>
      <c r="T30">
        <v>58</v>
      </c>
      <c r="U30">
        <v>36</v>
      </c>
      <c r="V30">
        <v>31</v>
      </c>
      <c r="W30">
        <v>23</v>
      </c>
    </row>
    <row r="31" spans="1:23" ht="108" x14ac:dyDescent="0.2">
      <c r="A31" s="6">
        <v>45785.84646990741</v>
      </c>
      <c r="B31" t="s">
        <v>831</v>
      </c>
      <c r="C31">
        <v>60691500</v>
      </c>
      <c r="D31" s="7" t="s">
        <v>832</v>
      </c>
      <c r="E31" t="s">
        <v>833</v>
      </c>
      <c r="F31" t="s">
        <v>834</v>
      </c>
      <c r="G31">
        <v>2355462257</v>
      </c>
      <c r="H31" t="s">
        <v>831</v>
      </c>
      <c r="I31" t="s">
        <v>835</v>
      </c>
      <c r="J31" t="s">
        <v>33</v>
      </c>
      <c r="K31">
        <v>2355462257</v>
      </c>
      <c r="L31" t="s">
        <v>836</v>
      </c>
      <c r="M31" t="s">
        <v>837</v>
      </c>
      <c r="N31" t="s">
        <v>55</v>
      </c>
      <c r="O31">
        <v>2355644809</v>
      </c>
      <c r="P31" t="s">
        <v>838</v>
      </c>
      <c r="Q31" t="s">
        <v>839</v>
      </c>
      <c r="R31">
        <v>13</v>
      </c>
      <c r="S31">
        <v>2</v>
      </c>
      <c r="T31">
        <v>17</v>
      </c>
      <c r="U31">
        <v>25</v>
      </c>
      <c r="V31">
        <v>4</v>
      </c>
      <c r="W31">
        <v>7</v>
      </c>
    </row>
    <row r="32" spans="1:23" x14ac:dyDescent="0.2">
      <c r="A32" s="6">
        <v>45785.84878472222</v>
      </c>
      <c r="B32" t="s">
        <v>840</v>
      </c>
      <c r="C32">
        <v>60270200</v>
      </c>
      <c r="D32" t="s">
        <v>841</v>
      </c>
      <c r="E32" t="s">
        <v>74</v>
      </c>
      <c r="F32" t="s">
        <v>842</v>
      </c>
      <c r="G32" t="s">
        <v>2097</v>
      </c>
      <c r="H32" t="s">
        <v>840</v>
      </c>
      <c r="I32" t="s">
        <v>843</v>
      </c>
      <c r="J32" t="s">
        <v>33</v>
      </c>
      <c r="K32">
        <v>67809339</v>
      </c>
      <c r="L32" t="s">
        <v>844</v>
      </c>
      <c r="M32" t="s">
        <v>845</v>
      </c>
      <c r="N32" t="s">
        <v>17</v>
      </c>
      <c r="O32">
        <v>1140837109</v>
      </c>
      <c r="P32" t="s">
        <v>418</v>
      </c>
      <c r="Q32" t="s">
        <v>846</v>
      </c>
      <c r="R32">
        <v>31</v>
      </c>
      <c r="S32">
        <v>15</v>
      </c>
      <c r="T32">
        <v>85</v>
      </c>
      <c r="U32">
        <v>76</v>
      </c>
      <c r="V32">
        <v>86</v>
      </c>
      <c r="W32">
        <v>74</v>
      </c>
    </row>
    <row r="33" spans="1:23" ht="94.5" x14ac:dyDescent="0.2">
      <c r="A33" s="6">
        <v>45785.852071759262</v>
      </c>
      <c r="B33" t="s">
        <v>847</v>
      </c>
      <c r="C33">
        <v>60778000</v>
      </c>
      <c r="D33" s="7" t="s">
        <v>848</v>
      </c>
      <c r="E33" t="s">
        <v>849</v>
      </c>
      <c r="F33" t="s">
        <v>850</v>
      </c>
      <c r="G33">
        <v>2245503832</v>
      </c>
      <c r="H33" t="s">
        <v>847</v>
      </c>
      <c r="I33" t="s">
        <v>851</v>
      </c>
      <c r="J33" t="s">
        <v>33</v>
      </c>
      <c r="K33">
        <v>2245503832</v>
      </c>
      <c r="L33" t="s">
        <v>852</v>
      </c>
      <c r="M33" t="s">
        <v>853</v>
      </c>
      <c r="N33" t="s">
        <v>55</v>
      </c>
      <c r="O33">
        <v>2245426142</v>
      </c>
      <c r="P33" t="s">
        <v>854</v>
      </c>
      <c r="Q33" t="s">
        <v>855</v>
      </c>
      <c r="R33">
        <v>22</v>
      </c>
      <c r="S33">
        <v>2</v>
      </c>
      <c r="T33">
        <v>58</v>
      </c>
      <c r="U33">
        <v>30</v>
      </c>
      <c r="V33">
        <v>27</v>
      </c>
      <c r="W33">
        <v>14</v>
      </c>
    </row>
    <row r="34" spans="1:23" x14ac:dyDescent="0.2">
      <c r="A34" s="6">
        <v>45786.397638888891</v>
      </c>
      <c r="B34" t="s">
        <v>856</v>
      </c>
      <c r="C34">
        <v>140240300</v>
      </c>
      <c r="D34" t="s">
        <v>857</v>
      </c>
      <c r="E34" t="s">
        <v>858</v>
      </c>
      <c r="F34" t="s">
        <v>859</v>
      </c>
      <c r="G34" t="s">
        <v>2098</v>
      </c>
      <c r="H34" t="s">
        <v>860</v>
      </c>
      <c r="I34" t="s">
        <v>861</v>
      </c>
      <c r="J34" t="s">
        <v>33</v>
      </c>
      <c r="K34">
        <v>3512436173</v>
      </c>
      <c r="L34" t="s">
        <v>856</v>
      </c>
      <c r="M34" t="s">
        <v>862</v>
      </c>
      <c r="N34" t="s">
        <v>55</v>
      </c>
      <c r="O34">
        <v>3512436173</v>
      </c>
      <c r="P34" t="s">
        <v>856</v>
      </c>
      <c r="Q34" t="s">
        <v>863</v>
      </c>
      <c r="R34">
        <v>10</v>
      </c>
      <c r="S34">
        <v>3</v>
      </c>
      <c r="T34">
        <v>45</v>
      </c>
      <c r="U34">
        <v>31</v>
      </c>
      <c r="V34">
        <v>30</v>
      </c>
      <c r="W34">
        <v>18</v>
      </c>
    </row>
    <row r="35" spans="1:23" x14ac:dyDescent="0.2">
      <c r="A35" s="6">
        <v>45786.407719907409</v>
      </c>
      <c r="B35" t="s">
        <v>864</v>
      </c>
      <c r="C35">
        <v>20036600</v>
      </c>
      <c r="D35" t="s">
        <v>865</v>
      </c>
      <c r="E35" t="s">
        <v>1942</v>
      </c>
      <c r="F35" t="s">
        <v>866</v>
      </c>
      <c r="G35" t="s">
        <v>867</v>
      </c>
      <c r="H35" t="s">
        <v>864</v>
      </c>
      <c r="I35" t="s">
        <v>868</v>
      </c>
      <c r="J35" t="s">
        <v>6</v>
      </c>
      <c r="K35">
        <v>1140736295</v>
      </c>
      <c r="L35" t="s">
        <v>864</v>
      </c>
      <c r="M35" t="s">
        <v>869</v>
      </c>
      <c r="N35" t="s">
        <v>27</v>
      </c>
      <c r="O35" t="s">
        <v>870</v>
      </c>
      <c r="P35" t="s">
        <v>864</v>
      </c>
      <c r="Q35" t="s">
        <v>2099</v>
      </c>
      <c r="R35">
        <v>103</v>
      </c>
      <c r="S35">
        <v>103</v>
      </c>
      <c r="T35">
        <v>300</v>
      </c>
      <c r="U35">
        <v>200</v>
      </c>
      <c r="V35">
        <v>200</v>
      </c>
      <c r="W35">
        <v>300</v>
      </c>
    </row>
    <row r="36" spans="1:23" x14ac:dyDescent="0.2">
      <c r="A36" s="6">
        <v>45786.424988425926</v>
      </c>
      <c r="B36" t="s">
        <v>864</v>
      </c>
      <c r="C36">
        <v>20036601</v>
      </c>
      <c r="D36" t="s">
        <v>871</v>
      </c>
      <c r="E36" t="s">
        <v>2100</v>
      </c>
      <c r="F36" t="s">
        <v>872</v>
      </c>
      <c r="G36" t="s">
        <v>873</v>
      </c>
      <c r="H36" t="s">
        <v>864</v>
      </c>
      <c r="I36" t="s">
        <v>868</v>
      </c>
      <c r="J36" t="s">
        <v>6</v>
      </c>
      <c r="K36">
        <v>1140736295</v>
      </c>
      <c r="L36" t="s">
        <v>864</v>
      </c>
      <c r="M36" t="s">
        <v>868</v>
      </c>
      <c r="N36" t="s">
        <v>27</v>
      </c>
      <c r="O36" t="s">
        <v>870</v>
      </c>
      <c r="P36" t="s">
        <v>864</v>
      </c>
      <c r="Q36" t="s">
        <v>874</v>
      </c>
      <c r="R36">
        <v>41</v>
      </c>
      <c r="S36">
        <v>41</v>
      </c>
      <c r="T36">
        <v>116</v>
      </c>
      <c r="U36">
        <v>150</v>
      </c>
      <c r="V36">
        <v>95</v>
      </c>
      <c r="W36">
        <v>134</v>
      </c>
    </row>
    <row r="37" spans="1:23" x14ac:dyDescent="0.2">
      <c r="A37" s="6">
        <v>45786.431979166664</v>
      </c>
      <c r="B37" t="s">
        <v>875</v>
      </c>
      <c r="C37">
        <v>500134800</v>
      </c>
      <c r="D37" t="s">
        <v>876</v>
      </c>
      <c r="E37" t="s">
        <v>877</v>
      </c>
      <c r="F37" t="s">
        <v>878</v>
      </c>
      <c r="G37" t="s">
        <v>879</v>
      </c>
      <c r="H37" t="s">
        <v>875</v>
      </c>
      <c r="I37" t="s">
        <v>880</v>
      </c>
      <c r="J37" t="s">
        <v>6</v>
      </c>
      <c r="K37">
        <v>2625406292</v>
      </c>
      <c r="L37" t="s">
        <v>881</v>
      </c>
      <c r="M37" t="s">
        <v>882</v>
      </c>
      <c r="N37" t="s">
        <v>17</v>
      </c>
      <c r="O37">
        <v>2625412103</v>
      </c>
      <c r="P37" t="s">
        <v>883</v>
      </c>
      <c r="Q37" t="s">
        <v>884</v>
      </c>
      <c r="R37">
        <v>24</v>
      </c>
      <c r="S37">
        <v>3</v>
      </c>
      <c r="T37">
        <v>57</v>
      </c>
      <c r="U37">
        <v>53</v>
      </c>
      <c r="V37">
        <v>62</v>
      </c>
      <c r="W37">
        <v>34</v>
      </c>
    </row>
    <row r="38" spans="1:23" x14ac:dyDescent="0.2">
      <c r="A38" s="6">
        <v>45786.453518518516</v>
      </c>
      <c r="B38" t="s">
        <v>885</v>
      </c>
      <c r="C38">
        <v>140337300</v>
      </c>
      <c r="D38" t="s">
        <v>2101</v>
      </c>
      <c r="E38" t="s">
        <v>886</v>
      </c>
      <c r="F38" t="s">
        <v>887</v>
      </c>
      <c r="G38" t="s">
        <v>2102</v>
      </c>
      <c r="H38" t="s">
        <v>885</v>
      </c>
      <c r="I38" t="s">
        <v>888</v>
      </c>
      <c r="J38" t="s">
        <v>33</v>
      </c>
      <c r="K38">
        <v>3534276386</v>
      </c>
      <c r="L38" t="s">
        <v>889</v>
      </c>
      <c r="M38" t="s">
        <v>890</v>
      </c>
      <c r="N38" t="s">
        <v>17</v>
      </c>
      <c r="O38">
        <v>3513546470</v>
      </c>
      <c r="P38" t="s">
        <v>891</v>
      </c>
      <c r="Q38" t="s">
        <v>892</v>
      </c>
      <c r="R38">
        <v>18</v>
      </c>
      <c r="S38">
        <v>5</v>
      </c>
      <c r="T38">
        <v>65</v>
      </c>
      <c r="U38">
        <v>35</v>
      </c>
      <c r="V38">
        <v>30</v>
      </c>
      <c r="W38">
        <v>30</v>
      </c>
    </row>
    <row r="39" spans="1:23" ht="148.5" x14ac:dyDescent="0.2">
      <c r="A39" s="6">
        <v>45786.456608796296</v>
      </c>
      <c r="B39" t="s">
        <v>2262</v>
      </c>
      <c r="C39">
        <v>60702400</v>
      </c>
      <c r="D39" s="7" t="s">
        <v>893</v>
      </c>
      <c r="E39" t="s">
        <v>2103</v>
      </c>
      <c r="F39" t="s">
        <v>894</v>
      </c>
      <c r="G39">
        <v>2922467128</v>
      </c>
      <c r="H39" t="s">
        <v>895</v>
      </c>
      <c r="I39" t="s">
        <v>896</v>
      </c>
      <c r="J39" t="s">
        <v>33</v>
      </c>
      <c r="K39">
        <v>2914198929</v>
      </c>
      <c r="L39" t="s">
        <v>897</v>
      </c>
      <c r="M39" t="s">
        <v>898</v>
      </c>
      <c r="N39" t="s">
        <v>55</v>
      </c>
      <c r="O39">
        <v>2923503323</v>
      </c>
      <c r="P39" t="s">
        <v>899</v>
      </c>
      <c r="Q39" t="s">
        <v>900</v>
      </c>
      <c r="R39">
        <v>12</v>
      </c>
      <c r="S39">
        <v>1</v>
      </c>
      <c r="T39">
        <v>32</v>
      </c>
      <c r="U39">
        <v>28</v>
      </c>
      <c r="V39">
        <v>15</v>
      </c>
      <c r="W39">
        <v>26</v>
      </c>
    </row>
    <row r="40" spans="1:23" x14ac:dyDescent="0.2">
      <c r="A40" s="6">
        <v>45786.493668981479</v>
      </c>
      <c r="B40" t="s">
        <v>901</v>
      </c>
      <c r="C40">
        <v>820442800</v>
      </c>
      <c r="D40" t="s">
        <v>902</v>
      </c>
      <c r="E40" t="s">
        <v>209</v>
      </c>
      <c r="F40" t="s">
        <v>903</v>
      </c>
      <c r="G40" t="s">
        <v>2104</v>
      </c>
      <c r="H40" t="s">
        <v>901</v>
      </c>
      <c r="I40" t="s">
        <v>2105</v>
      </c>
      <c r="J40" t="s">
        <v>33</v>
      </c>
      <c r="K40" t="s">
        <v>904</v>
      </c>
      <c r="L40" t="s">
        <v>905</v>
      </c>
      <c r="M40" t="s">
        <v>906</v>
      </c>
      <c r="N40" t="s">
        <v>17</v>
      </c>
      <c r="O40">
        <v>3425297562</v>
      </c>
      <c r="P40" t="s">
        <v>907</v>
      </c>
      <c r="Q40" t="s">
        <v>2106</v>
      </c>
      <c r="R40">
        <v>29</v>
      </c>
      <c r="S40">
        <v>17</v>
      </c>
      <c r="T40">
        <v>138</v>
      </c>
      <c r="U40">
        <v>94</v>
      </c>
      <c r="V40">
        <v>83</v>
      </c>
      <c r="W40">
        <v>68</v>
      </c>
    </row>
    <row r="41" spans="1:23" ht="81" x14ac:dyDescent="0.2">
      <c r="A41" s="6">
        <v>45786.616064814814</v>
      </c>
      <c r="B41" t="s">
        <v>2263</v>
      </c>
      <c r="C41">
        <v>820471100</v>
      </c>
      <c r="D41" t="s">
        <v>908</v>
      </c>
      <c r="E41" t="s">
        <v>909</v>
      </c>
      <c r="F41" t="s">
        <v>910</v>
      </c>
      <c r="G41" t="s">
        <v>2107</v>
      </c>
      <c r="H41" t="s">
        <v>911</v>
      </c>
      <c r="I41" t="s">
        <v>2108</v>
      </c>
      <c r="J41" t="s">
        <v>33</v>
      </c>
      <c r="K41" t="s">
        <v>2109</v>
      </c>
      <c r="L41" t="s">
        <v>912</v>
      </c>
      <c r="M41" t="s">
        <v>2108</v>
      </c>
      <c r="N41" t="s">
        <v>8</v>
      </c>
      <c r="O41" t="s">
        <v>2109</v>
      </c>
      <c r="P41" t="s">
        <v>912</v>
      </c>
      <c r="Q41" s="7" t="s">
        <v>913</v>
      </c>
      <c r="R41">
        <v>20</v>
      </c>
      <c r="S41">
        <v>16</v>
      </c>
      <c r="T41">
        <v>76</v>
      </c>
      <c r="U41">
        <v>49</v>
      </c>
      <c r="V41">
        <v>19</v>
      </c>
      <c r="W41">
        <v>9</v>
      </c>
    </row>
    <row r="42" spans="1:23" x14ac:dyDescent="0.2">
      <c r="A42" s="6">
        <v>45786.711597222224</v>
      </c>
      <c r="B42" t="s">
        <v>914</v>
      </c>
      <c r="C42">
        <v>60982700</v>
      </c>
      <c r="D42" t="s">
        <v>915</v>
      </c>
      <c r="E42" t="s">
        <v>916</v>
      </c>
      <c r="F42" t="s">
        <v>917</v>
      </c>
      <c r="G42">
        <v>2392430149</v>
      </c>
      <c r="H42" t="s">
        <v>914</v>
      </c>
      <c r="I42" t="s">
        <v>918</v>
      </c>
      <c r="J42" t="s">
        <v>33</v>
      </c>
      <c r="K42">
        <v>2392627460</v>
      </c>
      <c r="L42" t="s">
        <v>919</v>
      </c>
      <c r="M42" t="s">
        <v>920</v>
      </c>
      <c r="N42" t="s">
        <v>55</v>
      </c>
      <c r="O42">
        <v>2392501842</v>
      </c>
      <c r="P42" t="s">
        <v>921</v>
      </c>
      <c r="Q42" t="s">
        <v>922</v>
      </c>
      <c r="R42">
        <v>10</v>
      </c>
      <c r="S42">
        <v>3</v>
      </c>
      <c r="T42">
        <v>35</v>
      </c>
      <c r="U42">
        <v>28</v>
      </c>
      <c r="V42">
        <v>23</v>
      </c>
      <c r="W42">
        <v>16</v>
      </c>
    </row>
    <row r="43" spans="1:23" x14ac:dyDescent="0.2">
      <c r="A43" s="6">
        <v>45786.743125000001</v>
      </c>
      <c r="B43" t="s">
        <v>923</v>
      </c>
      <c r="C43">
        <v>62420800</v>
      </c>
      <c r="D43" t="s">
        <v>924</v>
      </c>
      <c r="E43" t="s">
        <v>925</v>
      </c>
      <c r="F43" t="s">
        <v>926</v>
      </c>
      <c r="G43">
        <v>3407489152</v>
      </c>
      <c r="H43" t="s">
        <v>923</v>
      </c>
      <c r="I43" t="s">
        <v>927</v>
      </c>
      <c r="J43" t="s">
        <v>33</v>
      </c>
      <c r="K43">
        <v>3407408009</v>
      </c>
      <c r="L43" t="s">
        <v>928</v>
      </c>
      <c r="M43" t="s">
        <v>929</v>
      </c>
      <c r="N43" t="s">
        <v>17</v>
      </c>
      <c r="O43">
        <v>3364371729</v>
      </c>
      <c r="P43" t="s">
        <v>930</v>
      </c>
      <c r="Q43" t="s">
        <v>931</v>
      </c>
      <c r="R43">
        <v>12</v>
      </c>
      <c r="S43">
        <v>2</v>
      </c>
      <c r="T43">
        <v>53</v>
      </c>
      <c r="U43">
        <v>44</v>
      </c>
      <c r="V43">
        <v>42</v>
      </c>
      <c r="W43">
        <v>28</v>
      </c>
    </row>
    <row r="44" spans="1:23" x14ac:dyDescent="0.2">
      <c r="A44" s="6">
        <v>45786.780312499999</v>
      </c>
      <c r="B44" t="s">
        <v>932</v>
      </c>
      <c r="C44">
        <v>140278801</v>
      </c>
      <c r="D44" t="s">
        <v>933</v>
      </c>
      <c r="E44" t="s">
        <v>934</v>
      </c>
      <c r="F44" t="s">
        <v>935</v>
      </c>
      <c r="G44" t="s">
        <v>2264</v>
      </c>
      <c r="H44" t="s">
        <v>932</v>
      </c>
      <c r="I44" t="s">
        <v>2265</v>
      </c>
      <c r="J44" t="s">
        <v>33</v>
      </c>
      <c r="K44">
        <v>3533431154</v>
      </c>
      <c r="L44" t="s">
        <v>936</v>
      </c>
      <c r="M44" t="s">
        <v>937</v>
      </c>
      <c r="N44" t="s">
        <v>17</v>
      </c>
      <c r="O44">
        <v>3534250336</v>
      </c>
      <c r="P44" t="s">
        <v>932</v>
      </c>
      <c r="Q44" t="s">
        <v>2266</v>
      </c>
      <c r="R44">
        <v>4</v>
      </c>
      <c r="S44">
        <v>1</v>
      </c>
      <c r="T44">
        <v>0</v>
      </c>
      <c r="U44">
        <v>0</v>
      </c>
      <c r="V44">
        <v>36</v>
      </c>
      <c r="W44">
        <v>0</v>
      </c>
    </row>
    <row r="45" spans="1:23" x14ac:dyDescent="0.2">
      <c r="A45" s="6">
        <v>45786.780347222222</v>
      </c>
      <c r="B45" t="s">
        <v>938</v>
      </c>
      <c r="C45">
        <v>62238400</v>
      </c>
      <c r="D45" t="s">
        <v>939</v>
      </c>
      <c r="E45" t="s">
        <v>940</v>
      </c>
      <c r="F45" t="s">
        <v>941</v>
      </c>
      <c r="G45">
        <v>2255464956</v>
      </c>
      <c r="H45" t="s">
        <v>938</v>
      </c>
      <c r="I45" t="s">
        <v>2110</v>
      </c>
      <c r="J45" t="s">
        <v>33</v>
      </c>
      <c r="K45" t="s">
        <v>942</v>
      </c>
      <c r="L45" t="s">
        <v>943</v>
      </c>
      <c r="M45" t="s">
        <v>2111</v>
      </c>
      <c r="N45" t="s">
        <v>55</v>
      </c>
      <c r="O45" t="s">
        <v>944</v>
      </c>
      <c r="P45" t="s">
        <v>945</v>
      </c>
      <c r="Q45" t="s">
        <v>946</v>
      </c>
      <c r="R45">
        <v>14</v>
      </c>
      <c r="S45">
        <v>3</v>
      </c>
      <c r="T45">
        <v>55</v>
      </c>
      <c r="U45">
        <v>53</v>
      </c>
      <c r="V45">
        <v>33</v>
      </c>
      <c r="W45">
        <v>5</v>
      </c>
    </row>
    <row r="46" spans="1:23" x14ac:dyDescent="0.2">
      <c r="A46" s="6">
        <v>45786.807326388887</v>
      </c>
      <c r="B46" t="s">
        <v>947</v>
      </c>
      <c r="C46">
        <v>140253500</v>
      </c>
      <c r="D46" t="s">
        <v>948</v>
      </c>
      <c r="E46" t="s">
        <v>2112</v>
      </c>
      <c r="F46" t="s">
        <v>949</v>
      </c>
      <c r="G46">
        <v>3537442801</v>
      </c>
      <c r="H46" t="s">
        <v>947</v>
      </c>
      <c r="I46" t="s">
        <v>950</v>
      </c>
      <c r="J46" t="s">
        <v>33</v>
      </c>
      <c r="K46">
        <v>3537442801</v>
      </c>
      <c r="L46" t="s">
        <v>951</v>
      </c>
      <c r="M46" t="s">
        <v>952</v>
      </c>
      <c r="N46" t="s">
        <v>17</v>
      </c>
      <c r="O46">
        <v>3537589187</v>
      </c>
      <c r="P46" t="s">
        <v>953</v>
      </c>
      <c r="Q46" t="s">
        <v>954</v>
      </c>
      <c r="R46">
        <v>20</v>
      </c>
      <c r="S46">
        <v>7</v>
      </c>
      <c r="T46">
        <v>72</v>
      </c>
      <c r="U46">
        <v>44</v>
      </c>
      <c r="V46">
        <v>51</v>
      </c>
      <c r="W46">
        <v>47</v>
      </c>
    </row>
    <row r="47" spans="1:23" x14ac:dyDescent="0.2">
      <c r="A47" s="6">
        <v>45786.819814814815</v>
      </c>
      <c r="B47" t="s">
        <v>932</v>
      </c>
      <c r="C47">
        <v>140278801</v>
      </c>
      <c r="D47" t="s">
        <v>933</v>
      </c>
      <c r="E47" t="s">
        <v>934</v>
      </c>
      <c r="F47" t="s">
        <v>935</v>
      </c>
      <c r="G47">
        <v>3534250336</v>
      </c>
      <c r="H47" t="s">
        <v>932</v>
      </c>
      <c r="I47" t="s">
        <v>2113</v>
      </c>
      <c r="J47" t="s">
        <v>33</v>
      </c>
      <c r="K47">
        <v>3533431154</v>
      </c>
      <c r="L47" t="s">
        <v>936</v>
      </c>
      <c r="M47" t="s">
        <v>937</v>
      </c>
      <c r="N47" t="s">
        <v>17</v>
      </c>
      <c r="O47">
        <v>3534250336</v>
      </c>
      <c r="P47" t="s">
        <v>932</v>
      </c>
      <c r="Q47" t="s">
        <v>2114</v>
      </c>
      <c r="R47">
        <v>4</v>
      </c>
      <c r="S47">
        <v>1</v>
      </c>
      <c r="T47">
        <v>0</v>
      </c>
      <c r="U47">
        <v>0</v>
      </c>
      <c r="V47">
        <v>36</v>
      </c>
      <c r="W47">
        <v>0</v>
      </c>
    </row>
    <row r="48" spans="1:23" x14ac:dyDescent="0.2">
      <c r="A48" s="6">
        <v>45786.877569444441</v>
      </c>
      <c r="B48" t="s">
        <v>2267</v>
      </c>
      <c r="C48">
        <v>180141500</v>
      </c>
      <c r="D48" t="s">
        <v>955</v>
      </c>
      <c r="E48" t="s">
        <v>956</v>
      </c>
      <c r="F48" t="s">
        <v>957</v>
      </c>
      <c r="G48">
        <v>3772425037</v>
      </c>
      <c r="H48" t="s">
        <v>958</v>
      </c>
      <c r="I48" t="s">
        <v>959</v>
      </c>
      <c r="J48" t="s">
        <v>6</v>
      </c>
      <c r="K48">
        <v>3772634900</v>
      </c>
      <c r="L48" t="s">
        <v>960</v>
      </c>
      <c r="M48" t="s">
        <v>961</v>
      </c>
      <c r="N48" t="s">
        <v>17</v>
      </c>
      <c r="O48">
        <v>3772526258</v>
      </c>
      <c r="P48" t="s">
        <v>962</v>
      </c>
      <c r="Q48" t="s">
        <v>963</v>
      </c>
      <c r="R48">
        <v>14</v>
      </c>
      <c r="S48">
        <v>3</v>
      </c>
      <c r="T48">
        <v>47</v>
      </c>
      <c r="U48">
        <v>28</v>
      </c>
      <c r="V48">
        <v>7</v>
      </c>
      <c r="W48">
        <v>2</v>
      </c>
    </row>
    <row r="49" spans="1:23" x14ac:dyDescent="0.2">
      <c r="A49" s="6">
        <v>45786.888935185183</v>
      </c>
      <c r="B49" t="s">
        <v>964</v>
      </c>
      <c r="C49">
        <v>140319900</v>
      </c>
      <c r="D49" t="s">
        <v>965</v>
      </c>
      <c r="E49" t="s">
        <v>2115</v>
      </c>
      <c r="F49" t="s">
        <v>966</v>
      </c>
      <c r="G49" t="s">
        <v>967</v>
      </c>
      <c r="H49" t="s">
        <v>964</v>
      </c>
      <c r="I49" t="s">
        <v>2116</v>
      </c>
      <c r="J49" t="s">
        <v>33</v>
      </c>
      <c r="K49">
        <v>3875030360</v>
      </c>
      <c r="L49" t="s">
        <v>968</v>
      </c>
      <c r="M49" t="s">
        <v>969</v>
      </c>
      <c r="N49" t="s">
        <v>17</v>
      </c>
      <c r="O49" t="s">
        <v>970</v>
      </c>
      <c r="P49" t="s">
        <v>971</v>
      </c>
      <c r="Q49" t="s">
        <v>2117</v>
      </c>
      <c r="R49">
        <v>17</v>
      </c>
      <c r="S49">
        <v>4</v>
      </c>
      <c r="T49">
        <v>102</v>
      </c>
      <c r="U49">
        <v>78</v>
      </c>
      <c r="V49">
        <v>35</v>
      </c>
      <c r="W49">
        <v>1</v>
      </c>
    </row>
    <row r="50" spans="1:23" x14ac:dyDescent="0.2">
      <c r="A50" s="6">
        <v>45789.020416666666</v>
      </c>
      <c r="B50" t="s">
        <v>2268</v>
      </c>
      <c r="C50">
        <v>820468100</v>
      </c>
      <c r="D50" t="s">
        <v>972</v>
      </c>
      <c r="E50" t="s">
        <v>973</v>
      </c>
      <c r="F50" t="s">
        <v>974</v>
      </c>
      <c r="G50">
        <v>3498401162</v>
      </c>
      <c r="H50" t="s">
        <v>975</v>
      </c>
      <c r="I50" t="s">
        <v>976</v>
      </c>
      <c r="J50" t="s">
        <v>33</v>
      </c>
      <c r="K50">
        <v>3498401162</v>
      </c>
      <c r="L50" t="s">
        <v>975</v>
      </c>
      <c r="M50" t="s">
        <v>977</v>
      </c>
      <c r="N50" t="s">
        <v>17</v>
      </c>
      <c r="O50">
        <v>3483483463</v>
      </c>
      <c r="P50" t="s">
        <v>978</v>
      </c>
      <c r="Q50" t="s">
        <v>2118</v>
      </c>
      <c r="R50">
        <v>15</v>
      </c>
      <c r="S50">
        <v>4</v>
      </c>
      <c r="T50">
        <v>87</v>
      </c>
      <c r="U50">
        <v>73</v>
      </c>
      <c r="V50">
        <v>58</v>
      </c>
      <c r="W50">
        <v>10</v>
      </c>
    </row>
    <row r="51" spans="1:23" x14ac:dyDescent="0.2">
      <c r="A51" s="6">
        <v>45789.65216435185</v>
      </c>
      <c r="B51" t="s">
        <v>979</v>
      </c>
      <c r="C51">
        <v>300078400</v>
      </c>
      <c r="D51" t="s">
        <v>980</v>
      </c>
      <c r="E51" t="s">
        <v>981</v>
      </c>
      <c r="F51" t="s">
        <v>982</v>
      </c>
      <c r="G51">
        <v>3434930334</v>
      </c>
      <c r="H51" t="s">
        <v>979</v>
      </c>
      <c r="I51" t="s">
        <v>983</v>
      </c>
      <c r="J51" t="s">
        <v>6</v>
      </c>
      <c r="K51">
        <v>3434467811</v>
      </c>
      <c r="L51" t="s">
        <v>984</v>
      </c>
      <c r="M51" t="s">
        <v>985</v>
      </c>
      <c r="N51" t="s">
        <v>17</v>
      </c>
      <c r="O51">
        <v>3435108114</v>
      </c>
      <c r="P51" t="s">
        <v>986</v>
      </c>
      <c r="Q51" t="s">
        <v>987</v>
      </c>
      <c r="R51">
        <v>27</v>
      </c>
      <c r="S51">
        <v>7</v>
      </c>
      <c r="T51">
        <v>72</v>
      </c>
      <c r="U51">
        <v>73</v>
      </c>
      <c r="V51">
        <v>55</v>
      </c>
      <c r="W51">
        <v>38</v>
      </c>
    </row>
    <row r="52" spans="1:23" x14ac:dyDescent="0.2">
      <c r="A52" s="6">
        <v>45789.716828703706</v>
      </c>
      <c r="B52" t="s">
        <v>988</v>
      </c>
      <c r="C52">
        <v>140253504</v>
      </c>
      <c r="D52" t="s">
        <v>989</v>
      </c>
      <c r="E52" t="s">
        <v>2119</v>
      </c>
      <c r="F52" t="s">
        <v>990</v>
      </c>
      <c r="G52" t="s">
        <v>991</v>
      </c>
      <c r="H52" t="s">
        <v>988</v>
      </c>
      <c r="I52" t="s">
        <v>992</v>
      </c>
      <c r="J52" t="s">
        <v>33</v>
      </c>
      <c r="K52" t="s">
        <v>993</v>
      </c>
      <c r="L52" t="s">
        <v>951</v>
      </c>
      <c r="M52" t="s">
        <v>992</v>
      </c>
      <c r="N52" t="s">
        <v>8</v>
      </c>
      <c r="O52" t="s">
        <v>993</v>
      </c>
      <c r="P52" t="s">
        <v>994</v>
      </c>
      <c r="Q52" t="s">
        <v>2120</v>
      </c>
      <c r="R52">
        <v>11</v>
      </c>
      <c r="S52">
        <v>3</v>
      </c>
      <c r="T52">
        <v>45</v>
      </c>
      <c r="U52">
        <v>26</v>
      </c>
      <c r="V52">
        <v>24</v>
      </c>
      <c r="W52">
        <v>30</v>
      </c>
    </row>
    <row r="53" spans="1:23" x14ac:dyDescent="0.2">
      <c r="A53" s="6">
        <v>45789.7815625</v>
      </c>
      <c r="B53" t="s">
        <v>995</v>
      </c>
      <c r="C53">
        <v>300306900</v>
      </c>
      <c r="D53" t="s">
        <v>996</v>
      </c>
      <c r="E53" t="s">
        <v>2121</v>
      </c>
      <c r="F53" t="s">
        <v>997</v>
      </c>
      <c r="G53">
        <v>3436422878</v>
      </c>
      <c r="H53" t="s">
        <v>995</v>
      </c>
      <c r="I53" t="s">
        <v>998</v>
      </c>
      <c r="J53" t="s">
        <v>6</v>
      </c>
      <c r="K53">
        <v>343615430706</v>
      </c>
      <c r="L53" t="s">
        <v>999</v>
      </c>
      <c r="M53" t="s">
        <v>1000</v>
      </c>
      <c r="N53" t="s">
        <v>17</v>
      </c>
      <c r="O53">
        <v>343615404881</v>
      </c>
      <c r="P53" t="s">
        <v>1001</v>
      </c>
      <c r="Q53" t="s">
        <v>1002</v>
      </c>
      <c r="R53">
        <v>21</v>
      </c>
      <c r="S53">
        <v>3</v>
      </c>
      <c r="T53">
        <v>41</v>
      </c>
      <c r="U53">
        <v>38</v>
      </c>
      <c r="V53">
        <v>30</v>
      </c>
      <c r="W53">
        <v>16</v>
      </c>
    </row>
    <row r="54" spans="1:23" x14ac:dyDescent="0.2">
      <c r="A54" s="6">
        <v>45789.789305555554</v>
      </c>
      <c r="B54" t="s">
        <v>1003</v>
      </c>
      <c r="C54">
        <v>180176500</v>
      </c>
      <c r="D54" t="s">
        <v>1004</v>
      </c>
      <c r="E54" t="s">
        <v>2122</v>
      </c>
      <c r="F54" t="s">
        <v>1005</v>
      </c>
      <c r="G54">
        <v>3781484877</v>
      </c>
      <c r="H54" t="s">
        <v>1003</v>
      </c>
      <c r="I54" t="s">
        <v>1006</v>
      </c>
      <c r="J54" t="s">
        <v>6</v>
      </c>
      <c r="K54">
        <v>3781484877</v>
      </c>
      <c r="L54" t="s">
        <v>1007</v>
      </c>
      <c r="M54" t="s">
        <v>1008</v>
      </c>
      <c r="N54" t="s">
        <v>98</v>
      </c>
      <c r="O54">
        <v>3795305794</v>
      </c>
      <c r="P54" t="s">
        <v>1009</v>
      </c>
      <c r="Q54" t="s">
        <v>1010</v>
      </c>
      <c r="R54">
        <v>16</v>
      </c>
      <c r="S54">
        <v>3</v>
      </c>
      <c r="T54">
        <v>29</v>
      </c>
      <c r="U54">
        <v>36</v>
      </c>
      <c r="V54">
        <v>36</v>
      </c>
      <c r="W54">
        <v>14</v>
      </c>
    </row>
    <row r="55" spans="1:23" ht="148.5" x14ac:dyDescent="0.2">
      <c r="A55" s="6">
        <v>45789.84302083333</v>
      </c>
      <c r="B55" t="s">
        <v>1011</v>
      </c>
      <c r="C55">
        <v>300178300</v>
      </c>
      <c r="D55" t="s">
        <v>1012</v>
      </c>
      <c r="E55" t="s">
        <v>1013</v>
      </c>
      <c r="F55" t="s">
        <v>1014</v>
      </c>
      <c r="G55">
        <v>3435421212</v>
      </c>
      <c r="H55" t="s">
        <v>1015</v>
      </c>
      <c r="I55" t="s">
        <v>1016</v>
      </c>
      <c r="J55" t="s">
        <v>6</v>
      </c>
      <c r="K55">
        <v>3435509741</v>
      </c>
      <c r="L55" t="s">
        <v>1017</v>
      </c>
      <c r="M55" t="s">
        <v>1018</v>
      </c>
      <c r="N55" t="s">
        <v>17</v>
      </c>
      <c r="O55">
        <v>3435452181</v>
      </c>
      <c r="P55" t="s">
        <v>1011</v>
      </c>
      <c r="Q55" s="7" t="s">
        <v>1019</v>
      </c>
      <c r="R55">
        <v>11</v>
      </c>
      <c r="S55">
        <v>7</v>
      </c>
      <c r="T55">
        <v>47</v>
      </c>
      <c r="U55">
        <v>23</v>
      </c>
      <c r="V55">
        <v>25</v>
      </c>
      <c r="W55">
        <v>34</v>
      </c>
    </row>
    <row r="56" spans="1:23" x14ac:dyDescent="0.2">
      <c r="A56" s="6">
        <v>45789.855243055557</v>
      </c>
      <c r="B56" t="s">
        <v>1020</v>
      </c>
      <c r="C56">
        <v>660150700</v>
      </c>
      <c r="D56" t="s">
        <v>2123</v>
      </c>
      <c r="E56" t="s">
        <v>2124</v>
      </c>
      <c r="F56" t="s">
        <v>1021</v>
      </c>
      <c r="G56">
        <v>3873063022</v>
      </c>
      <c r="H56" t="s">
        <v>1020</v>
      </c>
      <c r="I56" t="s">
        <v>1022</v>
      </c>
      <c r="J56" t="s">
        <v>6</v>
      </c>
      <c r="K56">
        <v>3875869713</v>
      </c>
      <c r="L56" t="s">
        <v>1023</v>
      </c>
      <c r="M56" t="s">
        <v>2125</v>
      </c>
      <c r="N56" t="s">
        <v>17</v>
      </c>
      <c r="O56">
        <v>3875401276</v>
      </c>
      <c r="P56" t="s">
        <v>1024</v>
      </c>
      <c r="Q56" t="s">
        <v>1025</v>
      </c>
      <c r="R56">
        <v>10</v>
      </c>
      <c r="S56">
        <v>1</v>
      </c>
      <c r="T56">
        <v>0</v>
      </c>
      <c r="U56">
        <v>48</v>
      </c>
      <c r="V56">
        <v>51</v>
      </c>
      <c r="W56">
        <v>10</v>
      </c>
    </row>
    <row r="57" spans="1:23" x14ac:dyDescent="0.2">
      <c r="A57" s="6">
        <v>45789.874826388892</v>
      </c>
      <c r="B57" t="s">
        <v>1026</v>
      </c>
      <c r="C57">
        <v>62341500</v>
      </c>
      <c r="D57" t="s">
        <v>1027</v>
      </c>
      <c r="E57" t="s">
        <v>294</v>
      </c>
      <c r="F57">
        <v>526</v>
      </c>
      <c r="G57">
        <v>2923458449</v>
      </c>
      <c r="H57" t="s">
        <v>1026</v>
      </c>
      <c r="I57" t="s">
        <v>1028</v>
      </c>
      <c r="J57" t="s">
        <v>33</v>
      </c>
      <c r="K57">
        <v>2923458449</v>
      </c>
      <c r="L57" t="s">
        <v>1026</v>
      </c>
      <c r="M57" t="s">
        <v>1029</v>
      </c>
      <c r="N57" t="s">
        <v>8</v>
      </c>
      <c r="O57">
        <v>2923458449</v>
      </c>
      <c r="P57" t="s">
        <v>1026</v>
      </c>
      <c r="Q57" t="s">
        <v>1030</v>
      </c>
      <c r="R57">
        <v>38</v>
      </c>
      <c r="S57">
        <v>16</v>
      </c>
      <c r="T57">
        <v>120</v>
      </c>
      <c r="U57">
        <v>75</v>
      </c>
      <c r="V57">
        <v>60</v>
      </c>
      <c r="W57">
        <v>42</v>
      </c>
    </row>
    <row r="58" spans="1:23" x14ac:dyDescent="0.2">
      <c r="A58" s="6">
        <v>45789.881319444445</v>
      </c>
      <c r="B58" t="s">
        <v>2269</v>
      </c>
      <c r="C58">
        <v>820240200</v>
      </c>
      <c r="D58" t="s">
        <v>1031</v>
      </c>
      <c r="E58" t="s">
        <v>2126</v>
      </c>
      <c r="F58" t="s">
        <v>1032</v>
      </c>
      <c r="G58">
        <v>3382428570</v>
      </c>
      <c r="H58" t="s">
        <v>1033</v>
      </c>
      <c r="I58" t="s">
        <v>1034</v>
      </c>
      <c r="J58" t="s">
        <v>6</v>
      </c>
      <c r="K58">
        <v>3382465252</v>
      </c>
      <c r="L58" t="s">
        <v>1035</v>
      </c>
      <c r="M58" t="s">
        <v>1036</v>
      </c>
      <c r="N58" t="s">
        <v>36</v>
      </c>
      <c r="O58">
        <v>3382671284</v>
      </c>
      <c r="P58" t="s">
        <v>1037</v>
      </c>
      <c r="Q58" t="s">
        <v>1038</v>
      </c>
      <c r="R58">
        <v>44</v>
      </c>
      <c r="S58">
        <v>9</v>
      </c>
      <c r="T58">
        <v>81</v>
      </c>
      <c r="U58">
        <v>58</v>
      </c>
      <c r="V58">
        <v>40</v>
      </c>
      <c r="W58">
        <v>35</v>
      </c>
    </row>
    <row r="59" spans="1:23" ht="121.5" x14ac:dyDescent="0.2">
      <c r="A59" s="6">
        <v>45789.886770833335</v>
      </c>
      <c r="B59" t="s">
        <v>1039</v>
      </c>
      <c r="C59">
        <v>60797800</v>
      </c>
      <c r="D59" s="7" t="s">
        <v>1040</v>
      </c>
      <c r="E59" t="s">
        <v>2127</v>
      </c>
      <c r="F59" t="s">
        <v>1041</v>
      </c>
      <c r="G59" t="s">
        <v>1042</v>
      </c>
      <c r="H59" t="s">
        <v>1039</v>
      </c>
      <c r="I59" t="s">
        <v>1043</v>
      </c>
      <c r="J59" t="s">
        <v>33</v>
      </c>
      <c r="K59" t="s">
        <v>1042</v>
      </c>
      <c r="L59" t="s">
        <v>1044</v>
      </c>
      <c r="M59" t="s">
        <v>1045</v>
      </c>
      <c r="N59" t="s">
        <v>55</v>
      </c>
      <c r="O59" t="s">
        <v>1046</v>
      </c>
      <c r="P59" t="s">
        <v>1047</v>
      </c>
      <c r="Q59" t="s">
        <v>1048</v>
      </c>
      <c r="R59">
        <v>14</v>
      </c>
      <c r="S59">
        <v>1</v>
      </c>
      <c r="T59">
        <v>0</v>
      </c>
      <c r="U59">
        <v>15</v>
      </c>
      <c r="V59">
        <v>10</v>
      </c>
      <c r="W59">
        <v>3</v>
      </c>
    </row>
    <row r="60" spans="1:23" x14ac:dyDescent="0.2">
      <c r="A60" s="6">
        <v>45789.891412037039</v>
      </c>
      <c r="B60" t="s">
        <v>1049</v>
      </c>
      <c r="C60">
        <v>820455600</v>
      </c>
      <c r="D60" t="s">
        <v>1050</v>
      </c>
      <c r="E60" t="s">
        <v>1051</v>
      </c>
      <c r="F60" t="s">
        <v>1052</v>
      </c>
      <c r="H60" t="s">
        <v>1049</v>
      </c>
      <c r="I60" t="s">
        <v>1053</v>
      </c>
      <c r="J60" t="s">
        <v>33</v>
      </c>
      <c r="K60">
        <v>3462675783</v>
      </c>
      <c r="L60" t="s">
        <v>1054</v>
      </c>
      <c r="M60" t="s">
        <v>1053</v>
      </c>
      <c r="N60" t="s">
        <v>8</v>
      </c>
      <c r="O60">
        <v>3462675783</v>
      </c>
      <c r="P60" t="s">
        <v>1054</v>
      </c>
      <c r="Q60" t="s">
        <v>1055</v>
      </c>
      <c r="R60">
        <v>25</v>
      </c>
      <c r="S60">
        <v>15</v>
      </c>
      <c r="T60">
        <v>36</v>
      </c>
      <c r="U60">
        <v>33</v>
      </c>
      <c r="V60">
        <v>28</v>
      </c>
      <c r="W60">
        <v>27</v>
      </c>
    </row>
    <row r="61" spans="1:23" x14ac:dyDescent="0.2">
      <c r="A61" s="6">
        <v>45789.898773148147</v>
      </c>
      <c r="B61" t="s">
        <v>1056</v>
      </c>
      <c r="C61">
        <v>60974700</v>
      </c>
      <c r="D61" t="s">
        <v>1057</v>
      </c>
      <c r="E61" t="s">
        <v>1058</v>
      </c>
      <c r="F61" t="s">
        <v>1059</v>
      </c>
      <c r="H61" t="s">
        <v>1056</v>
      </c>
      <c r="I61" t="s">
        <v>1060</v>
      </c>
      <c r="J61" t="s">
        <v>33</v>
      </c>
      <c r="K61">
        <v>2932417145</v>
      </c>
      <c r="L61" t="s">
        <v>1061</v>
      </c>
      <c r="M61" t="s">
        <v>1062</v>
      </c>
      <c r="N61" t="s">
        <v>8</v>
      </c>
      <c r="O61">
        <v>2932417145</v>
      </c>
      <c r="P61" t="s">
        <v>1061</v>
      </c>
      <c r="Q61" t="s">
        <v>1063</v>
      </c>
      <c r="R61">
        <v>6</v>
      </c>
      <c r="S61">
        <v>2</v>
      </c>
      <c r="T61">
        <v>0</v>
      </c>
      <c r="U61">
        <v>16</v>
      </c>
      <c r="V61">
        <v>35</v>
      </c>
      <c r="W61">
        <v>0</v>
      </c>
    </row>
    <row r="62" spans="1:23" x14ac:dyDescent="0.2">
      <c r="A62" s="6">
        <v>45789.939884259256</v>
      </c>
      <c r="B62" t="s">
        <v>2270</v>
      </c>
      <c r="C62">
        <v>62230000</v>
      </c>
      <c r="D62" t="s">
        <v>1064</v>
      </c>
      <c r="E62" t="s">
        <v>1065</v>
      </c>
      <c r="F62" t="s">
        <v>1066</v>
      </c>
      <c r="G62">
        <v>3489324128</v>
      </c>
      <c r="H62" t="s">
        <v>1067</v>
      </c>
      <c r="I62" t="s">
        <v>1068</v>
      </c>
      <c r="J62" t="s">
        <v>33</v>
      </c>
      <c r="K62">
        <v>3489324128</v>
      </c>
      <c r="L62" t="s">
        <v>1067</v>
      </c>
      <c r="M62" t="s">
        <v>1069</v>
      </c>
      <c r="N62" t="s">
        <v>36</v>
      </c>
      <c r="O62">
        <v>3489579186</v>
      </c>
      <c r="P62" t="s">
        <v>1070</v>
      </c>
      <c r="Q62" t="s">
        <v>1071</v>
      </c>
      <c r="R62">
        <v>15</v>
      </c>
      <c r="S62">
        <v>3</v>
      </c>
      <c r="T62">
        <v>60</v>
      </c>
      <c r="U62">
        <v>37</v>
      </c>
      <c r="V62">
        <v>31</v>
      </c>
      <c r="W62">
        <v>40</v>
      </c>
    </row>
    <row r="63" spans="1:23" x14ac:dyDescent="0.2">
      <c r="A63" s="6">
        <v>45790.717800925922</v>
      </c>
      <c r="B63" t="s">
        <v>1072</v>
      </c>
      <c r="C63">
        <v>300312900</v>
      </c>
      <c r="D63" t="s">
        <v>2271</v>
      </c>
      <c r="E63" t="s">
        <v>1073</v>
      </c>
      <c r="F63" t="s">
        <v>2272</v>
      </c>
      <c r="H63" t="s">
        <v>1072</v>
      </c>
      <c r="I63" t="s">
        <v>2273</v>
      </c>
      <c r="J63" t="s">
        <v>6</v>
      </c>
      <c r="K63">
        <v>3456446508</v>
      </c>
      <c r="L63" t="s">
        <v>1074</v>
      </c>
      <c r="M63" t="s">
        <v>1075</v>
      </c>
      <c r="N63" t="s">
        <v>17</v>
      </c>
      <c r="O63">
        <v>3456583974</v>
      </c>
      <c r="P63" t="s">
        <v>2274</v>
      </c>
      <c r="Q63" t="s">
        <v>2275</v>
      </c>
      <c r="R63">
        <v>11</v>
      </c>
      <c r="S63">
        <v>4</v>
      </c>
      <c r="T63">
        <v>98</v>
      </c>
      <c r="U63">
        <v>0</v>
      </c>
      <c r="V63">
        <v>0</v>
      </c>
      <c r="W63">
        <v>0</v>
      </c>
    </row>
    <row r="64" spans="1:23" x14ac:dyDescent="0.2">
      <c r="A64" s="6">
        <v>45790.937291666669</v>
      </c>
      <c r="B64" t="s">
        <v>1076</v>
      </c>
      <c r="C64">
        <v>580131900</v>
      </c>
      <c r="D64" t="s">
        <v>1077</v>
      </c>
      <c r="E64" t="s">
        <v>1078</v>
      </c>
      <c r="F64" t="s">
        <v>1079</v>
      </c>
      <c r="G64">
        <v>2994823636</v>
      </c>
      <c r="H64" t="s">
        <v>1076</v>
      </c>
      <c r="I64" t="s">
        <v>1080</v>
      </c>
      <c r="J64" t="s">
        <v>6</v>
      </c>
      <c r="K64">
        <v>2994823636</v>
      </c>
      <c r="L64" t="s">
        <v>1076</v>
      </c>
      <c r="M64" t="s">
        <v>1081</v>
      </c>
      <c r="N64" t="s">
        <v>17</v>
      </c>
      <c r="O64">
        <v>2994823636</v>
      </c>
      <c r="P64" t="s">
        <v>1076</v>
      </c>
      <c r="Q64" t="s">
        <v>1082</v>
      </c>
      <c r="R64">
        <v>16</v>
      </c>
      <c r="S64">
        <v>3</v>
      </c>
      <c r="T64">
        <v>130</v>
      </c>
      <c r="U64">
        <v>0</v>
      </c>
      <c r="V64">
        <v>0</v>
      </c>
      <c r="W64">
        <v>0</v>
      </c>
    </row>
    <row r="65" spans="1:23" x14ac:dyDescent="0.2">
      <c r="A65" s="6">
        <v>45791.51048611111</v>
      </c>
      <c r="B65" t="s">
        <v>1083</v>
      </c>
      <c r="C65">
        <v>820208400</v>
      </c>
      <c r="D65" t="s">
        <v>1084</v>
      </c>
      <c r="E65" t="s">
        <v>2128</v>
      </c>
      <c r="F65" t="s">
        <v>2129</v>
      </c>
      <c r="G65">
        <v>3491471747</v>
      </c>
      <c r="H65" t="s">
        <v>1083</v>
      </c>
      <c r="I65" t="s">
        <v>1085</v>
      </c>
      <c r="J65" t="s">
        <v>33</v>
      </c>
      <c r="K65">
        <v>3491508042</v>
      </c>
      <c r="L65" t="s">
        <v>1086</v>
      </c>
      <c r="M65" t="s">
        <v>1087</v>
      </c>
      <c r="N65" t="s">
        <v>17</v>
      </c>
      <c r="O65">
        <v>3491419733</v>
      </c>
      <c r="P65" t="s">
        <v>1088</v>
      </c>
      <c r="Q65" t="s">
        <v>1089</v>
      </c>
      <c r="R65">
        <v>30</v>
      </c>
      <c r="S65">
        <v>4</v>
      </c>
      <c r="T65">
        <v>60</v>
      </c>
      <c r="U65">
        <v>62</v>
      </c>
      <c r="V65">
        <v>35</v>
      </c>
      <c r="W65">
        <v>13</v>
      </c>
    </row>
    <row r="66" spans="1:23" x14ac:dyDescent="0.2">
      <c r="A66" s="6">
        <v>45792.598587962966</v>
      </c>
      <c r="B66" t="s">
        <v>2276</v>
      </c>
      <c r="C66">
        <v>140575200</v>
      </c>
      <c r="D66" t="s">
        <v>642</v>
      </c>
      <c r="E66" t="s">
        <v>2277</v>
      </c>
      <c r="F66" t="s">
        <v>2278</v>
      </c>
      <c r="G66">
        <v>3517919310</v>
      </c>
      <c r="H66" t="s">
        <v>2276</v>
      </c>
      <c r="I66" t="s">
        <v>2279</v>
      </c>
      <c r="J66" t="s">
        <v>33</v>
      </c>
      <c r="K66">
        <v>3512601899</v>
      </c>
      <c r="L66" t="s">
        <v>641</v>
      </c>
      <c r="M66" t="s">
        <v>2280</v>
      </c>
      <c r="N66" t="s">
        <v>17</v>
      </c>
      <c r="O66">
        <v>3517919310</v>
      </c>
      <c r="P66" t="s">
        <v>2276</v>
      </c>
      <c r="Q66" t="s">
        <v>2281</v>
      </c>
      <c r="R66">
        <v>5</v>
      </c>
      <c r="S66">
        <v>1</v>
      </c>
      <c r="T66">
        <v>0</v>
      </c>
      <c r="U66">
        <v>0</v>
      </c>
      <c r="V66">
        <v>40</v>
      </c>
      <c r="W66">
        <v>0</v>
      </c>
    </row>
    <row r="67" spans="1:23" x14ac:dyDescent="0.2">
      <c r="A67" s="6">
        <v>45792.681041666663</v>
      </c>
      <c r="B67" t="s">
        <v>1090</v>
      </c>
      <c r="C67">
        <v>61375800</v>
      </c>
      <c r="D67" t="s">
        <v>1091</v>
      </c>
      <c r="E67" t="s">
        <v>1092</v>
      </c>
      <c r="F67" t="s">
        <v>1093</v>
      </c>
      <c r="G67">
        <v>2392562757</v>
      </c>
      <c r="H67" t="s">
        <v>1090</v>
      </c>
      <c r="I67" t="s">
        <v>1094</v>
      </c>
      <c r="J67" t="s">
        <v>33</v>
      </c>
      <c r="K67">
        <v>2392562757</v>
      </c>
      <c r="L67" t="s">
        <v>1095</v>
      </c>
      <c r="M67" t="s">
        <v>1096</v>
      </c>
      <c r="N67" t="s">
        <v>55</v>
      </c>
      <c r="O67">
        <v>2392552491</v>
      </c>
      <c r="P67" t="s">
        <v>1097</v>
      </c>
      <c r="Q67" t="s">
        <v>1098</v>
      </c>
      <c r="R67">
        <v>6</v>
      </c>
      <c r="S67">
        <v>1</v>
      </c>
      <c r="T67">
        <v>0</v>
      </c>
      <c r="U67">
        <v>0</v>
      </c>
      <c r="V67">
        <v>17</v>
      </c>
      <c r="W67">
        <v>0</v>
      </c>
    </row>
    <row r="68" spans="1:23" x14ac:dyDescent="0.2">
      <c r="A68" s="6">
        <v>45792.750694444447</v>
      </c>
      <c r="B68" t="s">
        <v>1099</v>
      </c>
      <c r="C68">
        <v>300348800</v>
      </c>
      <c r="D68" t="s">
        <v>2130</v>
      </c>
      <c r="E68" t="s">
        <v>1100</v>
      </c>
      <c r="F68" t="s">
        <v>1101</v>
      </c>
      <c r="G68" t="s">
        <v>1102</v>
      </c>
      <c r="H68" t="s">
        <v>1099</v>
      </c>
      <c r="I68" t="s">
        <v>1103</v>
      </c>
      <c r="J68" t="s">
        <v>6</v>
      </c>
      <c r="K68" t="s">
        <v>1104</v>
      </c>
      <c r="L68" t="s">
        <v>1105</v>
      </c>
      <c r="M68" t="s">
        <v>1103</v>
      </c>
      <c r="N68" t="s">
        <v>6</v>
      </c>
      <c r="O68" t="s">
        <v>1104</v>
      </c>
      <c r="P68" t="s">
        <v>1105</v>
      </c>
      <c r="Q68" t="s">
        <v>1106</v>
      </c>
      <c r="R68">
        <v>25</v>
      </c>
      <c r="S68">
        <v>4</v>
      </c>
      <c r="T68">
        <v>61</v>
      </c>
      <c r="U68">
        <v>58</v>
      </c>
      <c r="V68">
        <v>47</v>
      </c>
      <c r="W68">
        <v>0</v>
      </c>
    </row>
    <row r="69" spans="1:23" x14ac:dyDescent="0.2">
      <c r="A69" s="6">
        <v>45793.727870370371</v>
      </c>
      <c r="B69" t="s">
        <v>1107</v>
      </c>
      <c r="C69">
        <v>220089900</v>
      </c>
      <c r="D69" t="s">
        <v>1108</v>
      </c>
      <c r="E69" t="s">
        <v>22</v>
      </c>
      <c r="F69" t="s">
        <v>1109</v>
      </c>
      <c r="G69">
        <v>3624702042</v>
      </c>
      <c r="H69" t="s">
        <v>1107</v>
      </c>
      <c r="I69" t="s">
        <v>1110</v>
      </c>
      <c r="J69" t="s">
        <v>33</v>
      </c>
      <c r="K69">
        <v>3624702042</v>
      </c>
      <c r="L69" t="s">
        <v>1111</v>
      </c>
      <c r="M69" t="s">
        <v>1112</v>
      </c>
      <c r="N69" t="s">
        <v>8</v>
      </c>
      <c r="O69" t="s">
        <v>1113</v>
      </c>
      <c r="P69" t="s">
        <v>1114</v>
      </c>
      <c r="Q69" t="s">
        <v>1115</v>
      </c>
      <c r="R69">
        <v>49</v>
      </c>
      <c r="S69">
        <v>19</v>
      </c>
      <c r="T69">
        <v>365</v>
      </c>
      <c r="U69">
        <v>223</v>
      </c>
      <c r="V69">
        <v>131</v>
      </c>
      <c r="W69">
        <v>295</v>
      </c>
    </row>
    <row r="70" spans="1:23" x14ac:dyDescent="0.2">
      <c r="A70" s="6">
        <v>45793.734629629631</v>
      </c>
      <c r="B70" t="s">
        <v>1107</v>
      </c>
      <c r="C70">
        <v>220089901</v>
      </c>
      <c r="D70" t="s">
        <v>1116</v>
      </c>
      <c r="E70" t="s">
        <v>1117</v>
      </c>
      <c r="F70" t="s">
        <v>1118</v>
      </c>
      <c r="G70">
        <v>3624702042</v>
      </c>
      <c r="H70" t="s">
        <v>1107</v>
      </c>
      <c r="I70" t="s">
        <v>1110</v>
      </c>
      <c r="J70" t="s">
        <v>33</v>
      </c>
      <c r="K70">
        <v>3624702042</v>
      </c>
      <c r="L70" t="s">
        <v>1111</v>
      </c>
      <c r="M70" t="s">
        <v>1112</v>
      </c>
      <c r="N70" t="s">
        <v>8</v>
      </c>
      <c r="O70" t="s">
        <v>1113</v>
      </c>
      <c r="P70" t="s">
        <v>1114</v>
      </c>
      <c r="Q70" t="s">
        <v>1119</v>
      </c>
      <c r="R70">
        <v>31</v>
      </c>
      <c r="S70">
        <v>5</v>
      </c>
      <c r="T70">
        <v>165</v>
      </c>
      <c r="U70">
        <v>89</v>
      </c>
      <c r="V70">
        <v>46</v>
      </c>
      <c r="W70">
        <v>62</v>
      </c>
    </row>
    <row r="71" spans="1:23" x14ac:dyDescent="0.2">
      <c r="A71" s="6">
        <v>45793.739861111113</v>
      </c>
      <c r="B71" t="s">
        <v>1107</v>
      </c>
      <c r="C71">
        <v>220089902</v>
      </c>
      <c r="D71" t="s">
        <v>1120</v>
      </c>
      <c r="E71" t="s">
        <v>1121</v>
      </c>
      <c r="F71" t="s">
        <v>1122</v>
      </c>
      <c r="G71">
        <v>3624702042</v>
      </c>
      <c r="H71" t="s">
        <v>1107</v>
      </c>
      <c r="I71" t="s">
        <v>1110</v>
      </c>
      <c r="J71" t="s">
        <v>33</v>
      </c>
      <c r="K71">
        <v>3624702042</v>
      </c>
      <c r="L71" t="s">
        <v>1111</v>
      </c>
      <c r="M71" t="s">
        <v>1112</v>
      </c>
      <c r="N71" t="s">
        <v>8</v>
      </c>
      <c r="O71" t="s">
        <v>1113</v>
      </c>
      <c r="P71" t="s">
        <v>1114</v>
      </c>
      <c r="Q71" t="s">
        <v>1123</v>
      </c>
      <c r="R71">
        <v>7</v>
      </c>
      <c r="S71">
        <v>1</v>
      </c>
      <c r="T71">
        <v>155</v>
      </c>
      <c r="U71">
        <v>0</v>
      </c>
      <c r="V71">
        <v>0</v>
      </c>
      <c r="W71">
        <v>27</v>
      </c>
    </row>
    <row r="72" spans="1:23" x14ac:dyDescent="0.2">
      <c r="A72" s="6">
        <v>45793.74491898148</v>
      </c>
      <c r="B72" t="s">
        <v>1107</v>
      </c>
      <c r="C72">
        <v>220089903</v>
      </c>
      <c r="D72" t="s">
        <v>1124</v>
      </c>
      <c r="E72" t="s">
        <v>1125</v>
      </c>
      <c r="F72" t="s">
        <v>1126</v>
      </c>
      <c r="G72">
        <v>3624702042</v>
      </c>
      <c r="H72" t="s">
        <v>1107</v>
      </c>
      <c r="I72" t="s">
        <v>1110</v>
      </c>
      <c r="J72" t="s">
        <v>33</v>
      </c>
      <c r="K72">
        <v>3624702042</v>
      </c>
      <c r="L72" t="s">
        <v>1111</v>
      </c>
      <c r="M72" t="s">
        <v>1112</v>
      </c>
      <c r="N72" t="s">
        <v>8</v>
      </c>
      <c r="O72" t="s">
        <v>1113</v>
      </c>
      <c r="P72" t="s">
        <v>1114</v>
      </c>
      <c r="Q72" t="s">
        <v>1127</v>
      </c>
      <c r="R72">
        <v>22</v>
      </c>
      <c r="S72">
        <v>3</v>
      </c>
      <c r="T72">
        <v>36</v>
      </c>
      <c r="U72">
        <v>45</v>
      </c>
      <c r="V72">
        <v>19</v>
      </c>
      <c r="W72">
        <v>27</v>
      </c>
    </row>
    <row r="73" spans="1:23" x14ac:dyDescent="0.2">
      <c r="A73" s="6">
        <v>45793.748206018521</v>
      </c>
      <c r="B73" t="s">
        <v>1107</v>
      </c>
      <c r="C73">
        <v>220089904</v>
      </c>
      <c r="D73" t="s">
        <v>1128</v>
      </c>
      <c r="E73" t="s">
        <v>1129</v>
      </c>
      <c r="F73" t="s">
        <v>1130</v>
      </c>
      <c r="G73">
        <v>3624702042</v>
      </c>
      <c r="H73" t="s">
        <v>1107</v>
      </c>
      <c r="I73" t="s">
        <v>1110</v>
      </c>
      <c r="J73" t="s">
        <v>33</v>
      </c>
      <c r="K73">
        <v>3624702042</v>
      </c>
      <c r="L73" t="s">
        <v>1111</v>
      </c>
      <c r="M73" t="s">
        <v>1112</v>
      </c>
      <c r="N73" t="s">
        <v>8</v>
      </c>
      <c r="O73" t="s">
        <v>1113</v>
      </c>
      <c r="P73" t="s">
        <v>1114</v>
      </c>
      <c r="Q73" t="s">
        <v>1127</v>
      </c>
      <c r="R73">
        <v>22</v>
      </c>
      <c r="S73">
        <v>3</v>
      </c>
      <c r="T73">
        <v>21</v>
      </c>
      <c r="U73">
        <v>13</v>
      </c>
      <c r="V73">
        <v>15</v>
      </c>
      <c r="W73">
        <v>35</v>
      </c>
    </row>
    <row r="74" spans="1:23" x14ac:dyDescent="0.2">
      <c r="A74" s="6">
        <v>45793.752152777779</v>
      </c>
      <c r="B74" t="s">
        <v>1107</v>
      </c>
      <c r="C74">
        <v>220089905</v>
      </c>
      <c r="D74" t="s">
        <v>1131</v>
      </c>
      <c r="E74" t="s">
        <v>1132</v>
      </c>
      <c r="F74" t="s">
        <v>1133</v>
      </c>
      <c r="G74">
        <v>3624702042</v>
      </c>
      <c r="H74" t="s">
        <v>1107</v>
      </c>
      <c r="I74" t="s">
        <v>1110</v>
      </c>
      <c r="J74" t="s">
        <v>33</v>
      </c>
      <c r="K74">
        <v>3624702042</v>
      </c>
      <c r="L74" t="s">
        <v>1111</v>
      </c>
      <c r="M74" t="s">
        <v>1134</v>
      </c>
      <c r="N74" t="s">
        <v>17</v>
      </c>
      <c r="O74">
        <v>3624768071</v>
      </c>
      <c r="P74" t="s">
        <v>1135</v>
      </c>
      <c r="Q74" t="s">
        <v>1127</v>
      </c>
      <c r="R74">
        <v>7</v>
      </c>
      <c r="S74">
        <v>1</v>
      </c>
      <c r="T74">
        <v>0</v>
      </c>
      <c r="U74">
        <v>82</v>
      </c>
      <c r="V74">
        <v>0</v>
      </c>
      <c r="W74">
        <v>40</v>
      </c>
    </row>
    <row r="75" spans="1:23" x14ac:dyDescent="0.2">
      <c r="A75" s="6">
        <v>45793.755671296298</v>
      </c>
      <c r="B75" t="s">
        <v>1107</v>
      </c>
      <c r="C75">
        <v>220089907</v>
      </c>
      <c r="D75" t="s">
        <v>1136</v>
      </c>
      <c r="E75" t="s">
        <v>1137</v>
      </c>
      <c r="F75" t="s">
        <v>1138</v>
      </c>
      <c r="G75">
        <v>3624702042</v>
      </c>
      <c r="H75" t="s">
        <v>1107</v>
      </c>
      <c r="I75" t="s">
        <v>1110</v>
      </c>
      <c r="J75" t="s">
        <v>33</v>
      </c>
      <c r="K75">
        <v>3624702042</v>
      </c>
      <c r="L75" t="s">
        <v>1111</v>
      </c>
      <c r="M75" t="s">
        <v>1112</v>
      </c>
      <c r="N75" t="s">
        <v>8</v>
      </c>
      <c r="O75" t="s">
        <v>1113</v>
      </c>
      <c r="P75" t="s">
        <v>1114</v>
      </c>
      <c r="Q75" t="s">
        <v>1115</v>
      </c>
      <c r="R75">
        <v>7</v>
      </c>
      <c r="S75">
        <v>1</v>
      </c>
      <c r="T75">
        <v>42</v>
      </c>
      <c r="U75">
        <v>0</v>
      </c>
      <c r="V75">
        <v>0</v>
      </c>
      <c r="W75">
        <v>35</v>
      </c>
    </row>
    <row r="76" spans="1:23" x14ac:dyDescent="0.2">
      <c r="A76" s="6">
        <v>45793.758101851854</v>
      </c>
      <c r="B76" t="s">
        <v>1107</v>
      </c>
      <c r="C76">
        <v>220089908</v>
      </c>
      <c r="D76" t="s">
        <v>1139</v>
      </c>
      <c r="E76" t="s">
        <v>1140</v>
      </c>
      <c r="F76" t="s">
        <v>1141</v>
      </c>
      <c r="G76">
        <v>3624702042</v>
      </c>
      <c r="H76" t="s">
        <v>1107</v>
      </c>
      <c r="I76" t="s">
        <v>1110</v>
      </c>
      <c r="J76" t="s">
        <v>33</v>
      </c>
      <c r="K76">
        <v>3624702042</v>
      </c>
      <c r="L76" t="s">
        <v>1111</v>
      </c>
      <c r="M76" t="s">
        <v>1112</v>
      </c>
      <c r="N76" t="s">
        <v>8</v>
      </c>
      <c r="O76" t="s">
        <v>1113</v>
      </c>
      <c r="P76" t="s">
        <v>1114</v>
      </c>
      <c r="Q76" t="s">
        <v>1142</v>
      </c>
      <c r="R76">
        <v>13</v>
      </c>
      <c r="S76">
        <v>3</v>
      </c>
      <c r="T76">
        <v>89</v>
      </c>
      <c r="U76">
        <v>43</v>
      </c>
      <c r="V76">
        <v>15</v>
      </c>
      <c r="W76">
        <v>48</v>
      </c>
    </row>
    <row r="77" spans="1:23" x14ac:dyDescent="0.2">
      <c r="A77" s="6">
        <v>45793.761655092596</v>
      </c>
      <c r="B77" t="s">
        <v>1107</v>
      </c>
      <c r="C77">
        <v>220089909</v>
      </c>
      <c r="D77" t="s">
        <v>1143</v>
      </c>
      <c r="E77" t="s">
        <v>1144</v>
      </c>
      <c r="F77" t="s">
        <v>1145</v>
      </c>
      <c r="G77">
        <v>3624702042</v>
      </c>
      <c r="H77" t="s">
        <v>1107</v>
      </c>
      <c r="I77" t="s">
        <v>1110</v>
      </c>
      <c r="J77" t="s">
        <v>33</v>
      </c>
      <c r="K77">
        <v>3624702042</v>
      </c>
      <c r="L77" t="s">
        <v>1111</v>
      </c>
      <c r="M77" t="s">
        <v>1112</v>
      </c>
      <c r="N77" t="s">
        <v>8</v>
      </c>
      <c r="O77" t="s">
        <v>1113</v>
      </c>
      <c r="P77" t="s">
        <v>1114</v>
      </c>
      <c r="Q77" t="s">
        <v>1146</v>
      </c>
      <c r="R77">
        <v>6</v>
      </c>
      <c r="S77">
        <v>1</v>
      </c>
      <c r="T77">
        <v>0</v>
      </c>
      <c r="U77">
        <v>0</v>
      </c>
      <c r="V77">
        <v>19</v>
      </c>
      <c r="W77">
        <v>0</v>
      </c>
    </row>
    <row r="78" spans="1:23" x14ac:dyDescent="0.2">
      <c r="A78" s="6">
        <v>45793.765821759262</v>
      </c>
      <c r="B78" t="s">
        <v>1107</v>
      </c>
      <c r="C78">
        <v>220089910</v>
      </c>
      <c r="D78" t="s">
        <v>1147</v>
      </c>
      <c r="E78" t="s">
        <v>1148</v>
      </c>
      <c r="F78" t="s">
        <v>1149</v>
      </c>
      <c r="G78">
        <v>3624702042</v>
      </c>
      <c r="H78" t="s">
        <v>1107</v>
      </c>
      <c r="I78" t="s">
        <v>1110</v>
      </c>
      <c r="J78" t="s">
        <v>33</v>
      </c>
      <c r="K78">
        <v>3624702042</v>
      </c>
      <c r="L78" t="s">
        <v>1111</v>
      </c>
      <c r="M78" t="s">
        <v>1112</v>
      </c>
      <c r="N78" t="s">
        <v>8</v>
      </c>
      <c r="O78" t="s">
        <v>1113</v>
      </c>
      <c r="P78" t="s">
        <v>1114</v>
      </c>
      <c r="Q78" t="s">
        <v>1115</v>
      </c>
      <c r="R78">
        <v>14</v>
      </c>
      <c r="S78">
        <v>3</v>
      </c>
      <c r="T78">
        <v>115</v>
      </c>
      <c r="U78">
        <v>0</v>
      </c>
      <c r="V78">
        <v>20</v>
      </c>
      <c r="W78">
        <v>24</v>
      </c>
    </row>
    <row r="79" spans="1:23" x14ac:dyDescent="0.2">
      <c r="A79" s="6">
        <v>45793.769074074073</v>
      </c>
      <c r="B79" t="s">
        <v>1107</v>
      </c>
      <c r="C79">
        <v>220089911</v>
      </c>
      <c r="D79" t="s">
        <v>1150</v>
      </c>
      <c r="E79" t="s">
        <v>2131</v>
      </c>
      <c r="F79" t="s">
        <v>1151</v>
      </c>
      <c r="G79">
        <v>3624702042</v>
      </c>
      <c r="H79" t="s">
        <v>1107</v>
      </c>
      <c r="I79" t="s">
        <v>1110</v>
      </c>
      <c r="J79" t="s">
        <v>33</v>
      </c>
      <c r="K79">
        <v>3624702042</v>
      </c>
      <c r="L79" t="s">
        <v>1111</v>
      </c>
      <c r="M79" t="s">
        <v>1134</v>
      </c>
      <c r="N79" t="s">
        <v>17</v>
      </c>
      <c r="O79">
        <v>3624768071</v>
      </c>
      <c r="P79" t="s">
        <v>1135</v>
      </c>
      <c r="Q79" t="s">
        <v>1115</v>
      </c>
      <c r="R79">
        <v>7</v>
      </c>
      <c r="S79">
        <v>1</v>
      </c>
      <c r="T79">
        <v>70</v>
      </c>
      <c r="U79">
        <v>0</v>
      </c>
      <c r="V79">
        <v>0</v>
      </c>
      <c r="W79">
        <v>72</v>
      </c>
    </row>
    <row r="80" spans="1:23" x14ac:dyDescent="0.2">
      <c r="A80" s="6">
        <v>45793.773958333331</v>
      </c>
      <c r="B80" t="s">
        <v>1152</v>
      </c>
      <c r="C80">
        <v>140312400</v>
      </c>
      <c r="D80" t="s">
        <v>1153</v>
      </c>
      <c r="E80" t="s">
        <v>1154</v>
      </c>
      <c r="F80" t="s">
        <v>1155</v>
      </c>
      <c r="G80">
        <v>3534145502</v>
      </c>
      <c r="H80" t="s">
        <v>1152</v>
      </c>
      <c r="I80" t="s">
        <v>1156</v>
      </c>
      <c r="J80" t="s">
        <v>33</v>
      </c>
      <c r="K80">
        <v>3534240539</v>
      </c>
      <c r="L80" t="s">
        <v>1157</v>
      </c>
      <c r="M80" t="s">
        <v>1156</v>
      </c>
      <c r="N80" t="s">
        <v>8</v>
      </c>
      <c r="O80">
        <v>3534240539</v>
      </c>
      <c r="P80" t="s">
        <v>1157</v>
      </c>
      <c r="Q80" t="s">
        <v>2132</v>
      </c>
      <c r="R80">
        <v>17</v>
      </c>
      <c r="S80">
        <v>3</v>
      </c>
      <c r="T80">
        <v>144</v>
      </c>
      <c r="U80">
        <v>0</v>
      </c>
      <c r="V80">
        <v>0</v>
      </c>
      <c r="W80">
        <v>16</v>
      </c>
    </row>
    <row r="81" spans="1:23" x14ac:dyDescent="0.2">
      <c r="A81" s="6">
        <v>45793.792650462965</v>
      </c>
      <c r="B81" t="s">
        <v>2282</v>
      </c>
      <c r="C81">
        <v>500124000</v>
      </c>
      <c r="D81" t="s">
        <v>1158</v>
      </c>
      <c r="E81" t="s">
        <v>1159</v>
      </c>
      <c r="F81" t="s">
        <v>2133</v>
      </c>
      <c r="G81" t="s">
        <v>1160</v>
      </c>
      <c r="H81" t="s">
        <v>1161</v>
      </c>
      <c r="I81" t="s">
        <v>1162</v>
      </c>
      <c r="J81" t="s">
        <v>6</v>
      </c>
      <c r="K81">
        <v>2622628740</v>
      </c>
      <c r="L81" t="s">
        <v>1161</v>
      </c>
      <c r="M81" t="s">
        <v>1163</v>
      </c>
      <c r="N81" t="s">
        <v>17</v>
      </c>
      <c r="O81" t="s">
        <v>1164</v>
      </c>
      <c r="P81" t="s">
        <v>1165</v>
      </c>
      <c r="Q81" t="s">
        <v>1166</v>
      </c>
      <c r="R81">
        <v>42</v>
      </c>
      <c r="S81">
        <v>5</v>
      </c>
      <c r="T81">
        <v>66</v>
      </c>
      <c r="U81">
        <v>53</v>
      </c>
      <c r="V81">
        <v>65</v>
      </c>
      <c r="W81">
        <v>15</v>
      </c>
    </row>
    <row r="82" spans="1:23" x14ac:dyDescent="0.2">
      <c r="A82" s="6">
        <v>45793.799513888887</v>
      </c>
      <c r="B82" t="s">
        <v>2282</v>
      </c>
      <c r="C82">
        <v>500124001</v>
      </c>
      <c r="D82" t="s">
        <v>2134</v>
      </c>
      <c r="E82" t="s">
        <v>2135</v>
      </c>
      <c r="F82" t="s">
        <v>1167</v>
      </c>
      <c r="G82" t="s">
        <v>1160</v>
      </c>
      <c r="H82" t="s">
        <v>1161</v>
      </c>
      <c r="I82" t="s">
        <v>1162</v>
      </c>
      <c r="J82" t="s">
        <v>6</v>
      </c>
      <c r="K82" t="s">
        <v>1168</v>
      </c>
      <c r="L82" t="s">
        <v>1161</v>
      </c>
      <c r="M82" t="s">
        <v>1169</v>
      </c>
      <c r="N82" t="s">
        <v>17</v>
      </c>
      <c r="O82" t="s">
        <v>1170</v>
      </c>
      <c r="P82" t="s">
        <v>1171</v>
      </c>
      <c r="Q82" t="s">
        <v>1172</v>
      </c>
      <c r="R82">
        <v>24</v>
      </c>
      <c r="S82">
        <v>3</v>
      </c>
      <c r="T82">
        <v>59</v>
      </c>
      <c r="U82">
        <v>47</v>
      </c>
      <c r="V82">
        <v>53</v>
      </c>
      <c r="W82">
        <v>23</v>
      </c>
    </row>
    <row r="83" spans="1:23" x14ac:dyDescent="0.2">
      <c r="A83" s="6">
        <v>45793.812268518515</v>
      </c>
      <c r="B83" t="s">
        <v>2282</v>
      </c>
      <c r="C83">
        <v>500124002</v>
      </c>
      <c r="D83" t="s">
        <v>1884</v>
      </c>
      <c r="E83" t="s">
        <v>1173</v>
      </c>
      <c r="F83" t="s">
        <v>1174</v>
      </c>
      <c r="G83" t="s">
        <v>1160</v>
      </c>
      <c r="H83" t="s">
        <v>1161</v>
      </c>
      <c r="I83" t="s">
        <v>1162</v>
      </c>
      <c r="J83" t="s">
        <v>6</v>
      </c>
      <c r="K83" t="s">
        <v>1168</v>
      </c>
      <c r="L83" t="s">
        <v>1161</v>
      </c>
      <c r="M83" t="s">
        <v>1175</v>
      </c>
      <c r="N83" t="s">
        <v>17</v>
      </c>
      <c r="O83" t="s">
        <v>1176</v>
      </c>
      <c r="P83" t="s">
        <v>1161</v>
      </c>
      <c r="Q83" t="s">
        <v>1177</v>
      </c>
      <c r="R83">
        <v>43</v>
      </c>
      <c r="S83">
        <v>6</v>
      </c>
      <c r="T83">
        <v>134</v>
      </c>
      <c r="U83">
        <v>83</v>
      </c>
      <c r="V83">
        <v>84</v>
      </c>
      <c r="W83">
        <v>36</v>
      </c>
    </row>
    <row r="84" spans="1:23" x14ac:dyDescent="0.2">
      <c r="A84" s="6">
        <v>45793.815300925926</v>
      </c>
      <c r="B84" t="s">
        <v>2282</v>
      </c>
      <c r="C84">
        <v>500124003</v>
      </c>
      <c r="D84" t="s">
        <v>2136</v>
      </c>
      <c r="E84" t="s">
        <v>1178</v>
      </c>
      <c r="F84" t="s">
        <v>1179</v>
      </c>
      <c r="G84" t="s">
        <v>1160</v>
      </c>
      <c r="H84" t="s">
        <v>1161</v>
      </c>
      <c r="I84" t="s">
        <v>1162</v>
      </c>
      <c r="J84" t="s">
        <v>6</v>
      </c>
      <c r="K84" t="s">
        <v>1168</v>
      </c>
      <c r="L84" t="s">
        <v>1161</v>
      </c>
      <c r="M84" t="s">
        <v>1180</v>
      </c>
      <c r="N84" t="s">
        <v>17</v>
      </c>
      <c r="O84" t="s">
        <v>1181</v>
      </c>
      <c r="P84" t="s">
        <v>1161</v>
      </c>
      <c r="Q84" t="s">
        <v>1172</v>
      </c>
      <c r="R84">
        <v>21</v>
      </c>
      <c r="S84">
        <v>3</v>
      </c>
      <c r="T84">
        <v>50</v>
      </c>
      <c r="U84">
        <v>49</v>
      </c>
      <c r="V84">
        <v>58</v>
      </c>
      <c r="W84">
        <v>23</v>
      </c>
    </row>
    <row r="85" spans="1:23" x14ac:dyDescent="0.2">
      <c r="A85" s="6">
        <v>45793.817962962959</v>
      </c>
      <c r="B85" t="s">
        <v>1182</v>
      </c>
      <c r="C85">
        <v>60563100</v>
      </c>
      <c r="D85" t="s">
        <v>2137</v>
      </c>
      <c r="E85" t="s">
        <v>1183</v>
      </c>
      <c r="F85" t="s">
        <v>1184</v>
      </c>
      <c r="H85" t="s">
        <v>1182</v>
      </c>
      <c r="I85" t="s">
        <v>1185</v>
      </c>
      <c r="J85" t="s">
        <v>33</v>
      </c>
      <c r="K85" t="s">
        <v>1186</v>
      </c>
      <c r="L85" t="s">
        <v>1187</v>
      </c>
      <c r="M85" t="s">
        <v>1188</v>
      </c>
      <c r="N85" t="s">
        <v>27</v>
      </c>
      <c r="O85">
        <v>1141901523</v>
      </c>
      <c r="P85" t="s">
        <v>1189</v>
      </c>
      <c r="Q85" t="s">
        <v>1190</v>
      </c>
      <c r="R85">
        <v>22</v>
      </c>
      <c r="S85">
        <v>8</v>
      </c>
      <c r="T85">
        <v>190</v>
      </c>
      <c r="U85">
        <v>88</v>
      </c>
      <c r="V85">
        <v>62</v>
      </c>
      <c r="W85">
        <v>49</v>
      </c>
    </row>
    <row r="86" spans="1:23" x14ac:dyDescent="0.2">
      <c r="A86" s="6">
        <v>45793.818506944444</v>
      </c>
      <c r="B86" t="s">
        <v>2282</v>
      </c>
      <c r="C86">
        <v>500124004</v>
      </c>
      <c r="D86" t="s">
        <v>1191</v>
      </c>
      <c r="E86" t="s">
        <v>1192</v>
      </c>
      <c r="F86" t="s">
        <v>1193</v>
      </c>
      <c r="G86" t="s">
        <v>1160</v>
      </c>
      <c r="H86" t="s">
        <v>1161</v>
      </c>
      <c r="I86" t="s">
        <v>1162</v>
      </c>
      <c r="J86" t="s">
        <v>6</v>
      </c>
      <c r="K86" t="s">
        <v>1168</v>
      </c>
      <c r="L86" t="s">
        <v>1161</v>
      </c>
      <c r="M86" t="s">
        <v>1194</v>
      </c>
      <c r="N86" t="s">
        <v>17</v>
      </c>
      <c r="O86" t="s">
        <v>1195</v>
      </c>
      <c r="P86" t="s">
        <v>1161</v>
      </c>
      <c r="Q86" t="s">
        <v>846</v>
      </c>
      <c r="R86">
        <v>23</v>
      </c>
      <c r="S86">
        <v>3</v>
      </c>
      <c r="T86">
        <v>63</v>
      </c>
      <c r="U86">
        <v>55</v>
      </c>
      <c r="V86">
        <v>45</v>
      </c>
      <c r="W86">
        <v>18</v>
      </c>
    </row>
    <row r="87" spans="1:23" x14ac:dyDescent="0.2">
      <c r="A87" s="6">
        <v>45793.82203703704</v>
      </c>
      <c r="B87" t="s">
        <v>2282</v>
      </c>
      <c r="C87">
        <v>500124006</v>
      </c>
      <c r="D87" t="s">
        <v>1196</v>
      </c>
      <c r="E87" t="s">
        <v>1197</v>
      </c>
      <c r="F87" t="s">
        <v>1198</v>
      </c>
      <c r="G87" t="s">
        <v>1160</v>
      </c>
      <c r="H87" t="s">
        <v>1161</v>
      </c>
      <c r="I87" t="s">
        <v>1162</v>
      </c>
      <c r="J87" t="s">
        <v>6</v>
      </c>
      <c r="K87" t="s">
        <v>1168</v>
      </c>
      <c r="L87" t="s">
        <v>1161</v>
      </c>
      <c r="M87" t="s">
        <v>1199</v>
      </c>
      <c r="N87" t="s">
        <v>17</v>
      </c>
      <c r="O87" t="s">
        <v>1200</v>
      </c>
      <c r="P87" t="s">
        <v>1201</v>
      </c>
      <c r="Q87" t="s">
        <v>1202</v>
      </c>
      <c r="R87">
        <v>19</v>
      </c>
      <c r="S87">
        <v>3</v>
      </c>
      <c r="T87">
        <v>77</v>
      </c>
      <c r="U87">
        <v>43</v>
      </c>
      <c r="V87">
        <v>36</v>
      </c>
      <c r="W87">
        <v>9</v>
      </c>
    </row>
    <row r="88" spans="1:23" x14ac:dyDescent="0.2">
      <c r="A88" s="6">
        <v>45793.826493055552</v>
      </c>
      <c r="B88" t="s">
        <v>2282</v>
      </c>
      <c r="C88">
        <v>500124007</v>
      </c>
      <c r="D88" t="s">
        <v>1203</v>
      </c>
      <c r="E88" t="s">
        <v>2138</v>
      </c>
      <c r="F88" t="s">
        <v>1204</v>
      </c>
      <c r="H88" t="s">
        <v>1161</v>
      </c>
      <c r="I88" t="s">
        <v>1162</v>
      </c>
      <c r="J88" t="s">
        <v>6</v>
      </c>
      <c r="K88" t="s">
        <v>1168</v>
      </c>
      <c r="L88" t="s">
        <v>1161</v>
      </c>
      <c r="M88" t="s">
        <v>2139</v>
      </c>
      <c r="N88" t="s">
        <v>17</v>
      </c>
      <c r="O88" t="s">
        <v>1205</v>
      </c>
      <c r="P88" t="s">
        <v>1206</v>
      </c>
      <c r="Q88" t="s">
        <v>1172</v>
      </c>
      <c r="R88">
        <v>24</v>
      </c>
      <c r="S88">
        <v>3</v>
      </c>
      <c r="T88">
        <v>42</v>
      </c>
      <c r="U88">
        <v>52</v>
      </c>
      <c r="V88">
        <v>45</v>
      </c>
      <c r="W88">
        <v>16</v>
      </c>
    </row>
    <row r="89" spans="1:23" x14ac:dyDescent="0.2">
      <c r="A89" s="6">
        <v>45793.826574074075</v>
      </c>
      <c r="B89" t="s">
        <v>1207</v>
      </c>
      <c r="C89">
        <v>140510300</v>
      </c>
      <c r="D89" t="s">
        <v>1208</v>
      </c>
      <c r="E89" t="s">
        <v>2140</v>
      </c>
      <c r="F89" t="s">
        <v>1209</v>
      </c>
      <c r="G89">
        <v>354615565829</v>
      </c>
      <c r="H89" t="s">
        <v>1207</v>
      </c>
      <c r="I89" t="s">
        <v>1210</v>
      </c>
      <c r="J89" t="s">
        <v>33</v>
      </c>
      <c r="K89">
        <v>354615523397</v>
      </c>
      <c r="L89" t="s">
        <v>1211</v>
      </c>
      <c r="M89" t="s">
        <v>1212</v>
      </c>
      <c r="N89" t="s">
        <v>55</v>
      </c>
      <c r="O89">
        <v>354615419636</v>
      </c>
      <c r="P89" t="s">
        <v>1213</v>
      </c>
      <c r="Q89" t="s">
        <v>1214</v>
      </c>
      <c r="R89">
        <v>17</v>
      </c>
      <c r="S89">
        <v>4</v>
      </c>
      <c r="T89">
        <v>105</v>
      </c>
      <c r="U89">
        <v>77</v>
      </c>
      <c r="V89">
        <v>55</v>
      </c>
      <c r="W89">
        <v>7</v>
      </c>
    </row>
    <row r="90" spans="1:23" x14ac:dyDescent="0.2">
      <c r="A90" s="6">
        <v>45793.829722222225</v>
      </c>
      <c r="B90" t="s">
        <v>2282</v>
      </c>
      <c r="C90">
        <v>500124009</v>
      </c>
      <c r="D90" t="s">
        <v>1215</v>
      </c>
      <c r="E90" t="s">
        <v>2141</v>
      </c>
      <c r="F90" t="s">
        <v>1216</v>
      </c>
      <c r="G90" t="s">
        <v>1160</v>
      </c>
      <c r="H90" t="s">
        <v>1161</v>
      </c>
      <c r="I90" t="s">
        <v>1162</v>
      </c>
      <c r="J90" t="s">
        <v>6</v>
      </c>
      <c r="K90" t="s">
        <v>1168</v>
      </c>
      <c r="L90" t="s">
        <v>1161</v>
      </c>
      <c r="M90" t="s">
        <v>1217</v>
      </c>
      <c r="N90" t="s">
        <v>17</v>
      </c>
      <c r="O90" t="s">
        <v>1218</v>
      </c>
      <c r="P90" t="s">
        <v>1219</v>
      </c>
      <c r="Q90" t="s">
        <v>1220</v>
      </c>
      <c r="R90">
        <v>18</v>
      </c>
      <c r="S90">
        <v>3</v>
      </c>
      <c r="T90">
        <v>49</v>
      </c>
      <c r="U90">
        <v>52</v>
      </c>
      <c r="V90">
        <v>76</v>
      </c>
      <c r="W90">
        <v>23</v>
      </c>
    </row>
    <row r="91" spans="1:23" x14ac:dyDescent="0.2">
      <c r="A91" s="6">
        <v>45793.83252314815</v>
      </c>
      <c r="B91" t="s">
        <v>1221</v>
      </c>
      <c r="C91">
        <v>62327300</v>
      </c>
      <c r="D91" t="s">
        <v>2142</v>
      </c>
      <c r="E91" t="s">
        <v>1222</v>
      </c>
      <c r="F91" t="s">
        <v>1223</v>
      </c>
      <c r="G91" t="s">
        <v>1224</v>
      </c>
      <c r="H91" t="s">
        <v>1221</v>
      </c>
      <c r="I91" t="s">
        <v>1225</v>
      </c>
      <c r="J91" t="s">
        <v>33</v>
      </c>
      <c r="K91" t="s">
        <v>1224</v>
      </c>
      <c r="L91" t="s">
        <v>1226</v>
      </c>
      <c r="M91" t="s">
        <v>1227</v>
      </c>
      <c r="N91" t="s">
        <v>98</v>
      </c>
      <c r="O91">
        <v>1125530450</v>
      </c>
      <c r="P91" t="s">
        <v>1228</v>
      </c>
      <c r="Q91" t="s">
        <v>1229</v>
      </c>
      <c r="R91">
        <v>8</v>
      </c>
      <c r="S91">
        <v>1</v>
      </c>
      <c r="T91">
        <v>59</v>
      </c>
      <c r="U91">
        <v>0</v>
      </c>
      <c r="V91">
        <v>0</v>
      </c>
      <c r="W91">
        <v>0</v>
      </c>
    </row>
    <row r="92" spans="1:23" ht="94.5" x14ac:dyDescent="0.2">
      <c r="A92" s="6">
        <v>45793.866666666669</v>
      </c>
      <c r="B92" t="s">
        <v>1230</v>
      </c>
      <c r="C92">
        <v>60932500</v>
      </c>
      <c r="D92" s="7" t="s">
        <v>1231</v>
      </c>
      <c r="E92" t="s">
        <v>1232</v>
      </c>
      <c r="F92" t="s">
        <v>1233</v>
      </c>
      <c r="H92" t="s">
        <v>1230</v>
      </c>
      <c r="I92" t="s">
        <v>1234</v>
      </c>
      <c r="J92" t="s">
        <v>33</v>
      </c>
      <c r="K92">
        <v>1168612361</v>
      </c>
      <c r="L92" t="s">
        <v>1235</v>
      </c>
      <c r="M92" t="s">
        <v>1234</v>
      </c>
      <c r="N92" t="s">
        <v>8</v>
      </c>
      <c r="O92">
        <v>1168612361</v>
      </c>
      <c r="P92" t="s">
        <v>1235</v>
      </c>
      <c r="Q92" t="s">
        <v>1236</v>
      </c>
      <c r="R92">
        <v>15</v>
      </c>
      <c r="S92">
        <v>5</v>
      </c>
      <c r="T92">
        <v>77</v>
      </c>
      <c r="U92">
        <v>52</v>
      </c>
      <c r="V92">
        <v>53</v>
      </c>
      <c r="W92">
        <v>35</v>
      </c>
    </row>
    <row r="93" spans="1:23" x14ac:dyDescent="0.2">
      <c r="A93" s="6">
        <v>45793.877222222225</v>
      </c>
      <c r="B93" t="s">
        <v>1237</v>
      </c>
      <c r="C93">
        <v>60595200</v>
      </c>
      <c r="D93" t="s">
        <v>2143</v>
      </c>
      <c r="E93" t="s">
        <v>1238</v>
      </c>
      <c r="F93" t="s">
        <v>1239</v>
      </c>
      <c r="G93">
        <v>3329428950</v>
      </c>
      <c r="H93" t="s">
        <v>1240</v>
      </c>
      <c r="I93" t="s">
        <v>1241</v>
      </c>
      <c r="J93" t="s">
        <v>33</v>
      </c>
      <c r="K93">
        <v>332915625822</v>
      </c>
      <c r="L93" t="s">
        <v>1237</v>
      </c>
      <c r="M93" t="s">
        <v>1242</v>
      </c>
      <c r="N93" t="s">
        <v>6</v>
      </c>
      <c r="O93">
        <v>332915646843</v>
      </c>
      <c r="P93" t="s">
        <v>1243</v>
      </c>
      <c r="Q93" t="s">
        <v>1172</v>
      </c>
      <c r="R93">
        <v>22</v>
      </c>
      <c r="S93">
        <v>6</v>
      </c>
      <c r="T93">
        <v>120</v>
      </c>
      <c r="U93">
        <v>85</v>
      </c>
      <c r="V93">
        <v>76</v>
      </c>
      <c r="W93">
        <v>36</v>
      </c>
    </row>
    <row r="94" spans="1:23" x14ac:dyDescent="0.2">
      <c r="A94" s="6">
        <v>45793.88925925926</v>
      </c>
      <c r="B94" t="s">
        <v>1244</v>
      </c>
      <c r="C94">
        <v>61190700</v>
      </c>
      <c r="D94" t="s">
        <v>1245</v>
      </c>
      <c r="E94" t="s">
        <v>2144</v>
      </c>
      <c r="F94" t="s">
        <v>1246</v>
      </c>
      <c r="G94">
        <v>2983470030</v>
      </c>
      <c r="H94" t="s">
        <v>1244</v>
      </c>
      <c r="I94" t="s">
        <v>1247</v>
      </c>
      <c r="J94" t="s">
        <v>33</v>
      </c>
      <c r="K94">
        <v>2983528147</v>
      </c>
      <c r="L94" t="s">
        <v>1244</v>
      </c>
      <c r="M94" t="s">
        <v>1247</v>
      </c>
      <c r="N94" t="s">
        <v>8</v>
      </c>
      <c r="O94">
        <v>2983407030</v>
      </c>
      <c r="P94" t="s">
        <v>1244</v>
      </c>
      <c r="Q94" t="s">
        <v>1248</v>
      </c>
      <c r="R94">
        <v>1</v>
      </c>
      <c r="S94">
        <v>1</v>
      </c>
      <c r="T94">
        <v>0</v>
      </c>
      <c r="U94">
        <v>0</v>
      </c>
      <c r="V94">
        <v>3</v>
      </c>
      <c r="W94">
        <v>10</v>
      </c>
    </row>
    <row r="95" spans="1:23" ht="94.5" x14ac:dyDescent="0.2">
      <c r="A95" s="6">
        <v>45793.894201388888</v>
      </c>
      <c r="B95" t="s">
        <v>1249</v>
      </c>
      <c r="C95">
        <v>60738300</v>
      </c>
      <c r="D95" s="7" t="s">
        <v>2145</v>
      </c>
      <c r="E95" t="s">
        <v>2146</v>
      </c>
      <c r="F95" t="s">
        <v>1250</v>
      </c>
      <c r="G95">
        <v>2283420976</v>
      </c>
      <c r="H95" t="s">
        <v>1251</v>
      </c>
      <c r="I95" t="s">
        <v>1252</v>
      </c>
      <c r="J95" t="s">
        <v>33</v>
      </c>
      <c r="K95">
        <v>2381532572</v>
      </c>
      <c r="L95" t="s">
        <v>1253</v>
      </c>
      <c r="M95" t="s">
        <v>2147</v>
      </c>
      <c r="N95" t="s">
        <v>98</v>
      </c>
      <c r="O95" t="s">
        <v>2148</v>
      </c>
      <c r="P95" t="s">
        <v>1249</v>
      </c>
      <c r="Q95" t="s">
        <v>1254</v>
      </c>
      <c r="R95">
        <v>20</v>
      </c>
      <c r="S95">
        <v>3</v>
      </c>
      <c r="T95">
        <v>20</v>
      </c>
      <c r="U95">
        <v>28</v>
      </c>
      <c r="V95">
        <v>10</v>
      </c>
      <c r="W95">
        <v>15</v>
      </c>
    </row>
    <row r="96" spans="1:23" x14ac:dyDescent="0.2">
      <c r="A96" s="6">
        <v>45793.895636574074</v>
      </c>
      <c r="B96" t="s">
        <v>1255</v>
      </c>
      <c r="C96">
        <v>660057600</v>
      </c>
      <c r="D96" t="s">
        <v>1256</v>
      </c>
      <c r="E96" t="s">
        <v>1257</v>
      </c>
      <c r="F96" t="s">
        <v>1258</v>
      </c>
      <c r="G96" t="s">
        <v>1259</v>
      </c>
      <c r="H96" t="s">
        <v>1255</v>
      </c>
      <c r="I96" t="s">
        <v>1260</v>
      </c>
      <c r="J96" t="s">
        <v>6</v>
      </c>
      <c r="K96">
        <v>3878688830</v>
      </c>
      <c r="L96" t="s">
        <v>1261</v>
      </c>
      <c r="M96" t="s">
        <v>1262</v>
      </c>
      <c r="N96" t="s">
        <v>17</v>
      </c>
      <c r="O96">
        <v>3887629666</v>
      </c>
      <c r="P96" t="s">
        <v>1263</v>
      </c>
      <c r="Q96" t="s">
        <v>1264</v>
      </c>
      <c r="R96">
        <v>17</v>
      </c>
      <c r="S96">
        <v>6</v>
      </c>
      <c r="T96">
        <v>88</v>
      </c>
      <c r="U96">
        <v>40</v>
      </c>
      <c r="V96">
        <v>12</v>
      </c>
      <c r="W96">
        <v>10</v>
      </c>
    </row>
    <row r="97" spans="1:23" ht="94.5" x14ac:dyDescent="0.2">
      <c r="A97" s="6">
        <v>45793.919594907406</v>
      </c>
      <c r="B97" t="s">
        <v>1265</v>
      </c>
      <c r="C97">
        <v>60670900</v>
      </c>
      <c r="D97" s="7" t="s">
        <v>1266</v>
      </c>
      <c r="E97" t="s">
        <v>2149</v>
      </c>
      <c r="F97" t="s">
        <v>1267</v>
      </c>
      <c r="G97" t="s">
        <v>1268</v>
      </c>
      <c r="H97" t="s">
        <v>1269</v>
      </c>
      <c r="I97" t="s">
        <v>1270</v>
      </c>
      <c r="J97" t="s">
        <v>33</v>
      </c>
      <c r="K97" t="s">
        <v>1271</v>
      </c>
      <c r="L97" t="s">
        <v>1265</v>
      </c>
      <c r="M97" t="s">
        <v>1272</v>
      </c>
      <c r="N97" t="s">
        <v>55</v>
      </c>
      <c r="O97">
        <v>2914194513</v>
      </c>
      <c r="P97" t="s">
        <v>1273</v>
      </c>
      <c r="Q97" t="s">
        <v>1274</v>
      </c>
      <c r="R97">
        <v>10</v>
      </c>
      <c r="S97">
        <v>2</v>
      </c>
      <c r="T97">
        <v>0</v>
      </c>
      <c r="U97">
        <v>14</v>
      </c>
      <c r="V97">
        <v>16</v>
      </c>
      <c r="W97">
        <v>16</v>
      </c>
    </row>
    <row r="98" spans="1:23" x14ac:dyDescent="0.2">
      <c r="A98" s="6">
        <v>45793.921574074076</v>
      </c>
      <c r="B98" t="s">
        <v>1275</v>
      </c>
      <c r="C98">
        <v>60128300</v>
      </c>
      <c r="D98" t="s">
        <v>2150</v>
      </c>
      <c r="E98" t="s">
        <v>1276</v>
      </c>
      <c r="F98" t="s">
        <v>1277</v>
      </c>
      <c r="G98">
        <v>2342408174</v>
      </c>
      <c r="H98" t="s">
        <v>1275</v>
      </c>
      <c r="I98" t="s">
        <v>1278</v>
      </c>
      <c r="J98" t="s">
        <v>33</v>
      </c>
      <c r="K98">
        <v>2342408174</v>
      </c>
      <c r="L98" t="s">
        <v>1275</v>
      </c>
      <c r="M98" t="s">
        <v>2151</v>
      </c>
      <c r="N98" t="s">
        <v>36</v>
      </c>
      <c r="O98">
        <v>2342445031</v>
      </c>
      <c r="P98" t="s">
        <v>1279</v>
      </c>
      <c r="Q98" t="s">
        <v>2152</v>
      </c>
      <c r="R98">
        <v>17</v>
      </c>
      <c r="S98">
        <v>3</v>
      </c>
      <c r="T98">
        <v>42</v>
      </c>
      <c r="U98">
        <v>25</v>
      </c>
      <c r="V98">
        <v>14</v>
      </c>
      <c r="W98">
        <v>23</v>
      </c>
    </row>
    <row r="99" spans="1:23" x14ac:dyDescent="0.2">
      <c r="A99" s="6">
        <v>45793.992002314815</v>
      </c>
      <c r="B99" t="s">
        <v>1280</v>
      </c>
      <c r="C99">
        <v>60233900</v>
      </c>
      <c r="D99" t="s">
        <v>1281</v>
      </c>
      <c r="E99" t="s">
        <v>2153</v>
      </c>
      <c r="F99" t="s">
        <v>1282</v>
      </c>
      <c r="G99">
        <v>2395451697</v>
      </c>
      <c r="H99" t="s">
        <v>1280</v>
      </c>
      <c r="I99" t="s">
        <v>1283</v>
      </c>
      <c r="J99" t="s">
        <v>33</v>
      </c>
      <c r="K99">
        <v>2395439443</v>
      </c>
      <c r="L99" t="s">
        <v>1284</v>
      </c>
      <c r="M99" t="s">
        <v>1285</v>
      </c>
      <c r="N99" t="s">
        <v>55</v>
      </c>
      <c r="O99">
        <v>2395420097</v>
      </c>
      <c r="P99" t="s">
        <v>1286</v>
      </c>
      <c r="Q99" t="s">
        <v>2154</v>
      </c>
      <c r="R99">
        <v>12</v>
      </c>
      <c r="S99">
        <v>1</v>
      </c>
      <c r="T99">
        <v>22</v>
      </c>
      <c r="U99">
        <v>20</v>
      </c>
      <c r="V99">
        <v>23</v>
      </c>
      <c r="W99">
        <v>10</v>
      </c>
    </row>
    <row r="100" spans="1:23" x14ac:dyDescent="0.2">
      <c r="A100" s="6">
        <v>45795.657789351855</v>
      </c>
      <c r="B100" t="s">
        <v>1287</v>
      </c>
      <c r="C100">
        <v>61045600</v>
      </c>
      <c r="D100" t="s">
        <v>2155</v>
      </c>
      <c r="E100" t="s">
        <v>1288</v>
      </c>
      <c r="F100" t="s">
        <v>2156</v>
      </c>
      <c r="G100">
        <v>230</v>
      </c>
      <c r="H100" t="s">
        <v>1287</v>
      </c>
      <c r="I100" t="s">
        <v>1289</v>
      </c>
      <c r="J100" t="s">
        <v>33</v>
      </c>
      <c r="K100" t="s">
        <v>1290</v>
      </c>
      <c r="L100" t="s">
        <v>1291</v>
      </c>
      <c r="M100" t="s">
        <v>1292</v>
      </c>
      <c r="N100" t="s">
        <v>8</v>
      </c>
      <c r="O100">
        <v>1123823290</v>
      </c>
      <c r="P100" t="s">
        <v>1293</v>
      </c>
      <c r="Q100" t="s">
        <v>1294</v>
      </c>
      <c r="R100">
        <v>14</v>
      </c>
      <c r="S100">
        <v>3</v>
      </c>
      <c r="T100">
        <v>41</v>
      </c>
      <c r="U100">
        <v>31</v>
      </c>
      <c r="V100">
        <v>21</v>
      </c>
      <c r="W100">
        <v>34</v>
      </c>
    </row>
    <row r="101" spans="1:23" x14ac:dyDescent="0.2">
      <c r="A101" s="6">
        <v>45795.953703703701</v>
      </c>
      <c r="B101" t="s">
        <v>1295</v>
      </c>
      <c r="C101">
        <v>140544107</v>
      </c>
      <c r="D101" t="s">
        <v>1296</v>
      </c>
      <c r="E101" t="s">
        <v>1297</v>
      </c>
      <c r="F101" t="s">
        <v>1298</v>
      </c>
      <c r="G101">
        <v>3512054618</v>
      </c>
      <c r="H101" t="s">
        <v>1295</v>
      </c>
      <c r="I101" t="s">
        <v>1299</v>
      </c>
      <c r="J101" t="s">
        <v>33</v>
      </c>
      <c r="K101">
        <v>3515400730</v>
      </c>
      <c r="L101" t="s">
        <v>1300</v>
      </c>
      <c r="M101" t="s">
        <v>1301</v>
      </c>
      <c r="N101" t="s">
        <v>17</v>
      </c>
      <c r="O101">
        <v>3512054618</v>
      </c>
      <c r="P101" t="s">
        <v>1302</v>
      </c>
      <c r="Q101" t="s">
        <v>1303</v>
      </c>
      <c r="R101">
        <v>18</v>
      </c>
      <c r="S101">
        <v>7</v>
      </c>
      <c r="T101">
        <v>96</v>
      </c>
      <c r="U101">
        <v>64</v>
      </c>
      <c r="V101">
        <v>61</v>
      </c>
      <c r="W101">
        <v>79</v>
      </c>
    </row>
    <row r="102" spans="1:23" x14ac:dyDescent="0.2">
      <c r="A102" s="6">
        <v>45796.467650462961</v>
      </c>
      <c r="B102" t="s">
        <v>1304</v>
      </c>
      <c r="C102">
        <v>140544101</v>
      </c>
      <c r="D102" t="s">
        <v>1305</v>
      </c>
      <c r="E102" t="s">
        <v>2157</v>
      </c>
      <c r="F102" t="s">
        <v>1306</v>
      </c>
      <c r="G102" t="s">
        <v>1307</v>
      </c>
      <c r="H102" t="s">
        <v>1304</v>
      </c>
      <c r="I102" t="s">
        <v>1308</v>
      </c>
      <c r="J102" t="s">
        <v>33</v>
      </c>
      <c r="K102">
        <v>3512988205</v>
      </c>
      <c r="L102" t="s">
        <v>1300</v>
      </c>
      <c r="M102" t="s">
        <v>1309</v>
      </c>
      <c r="N102" t="s">
        <v>17</v>
      </c>
      <c r="O102" t="s">
        <v>1310</v>
      </c>
      <c r="P102" t="s">
        <v>1304</v>
      </c>
      <c r="Q102" t="s">
        <v>2158</v>
      </c>
      <c r="R102">
        <v>20</v>
      </c>
      <c r="S102">
        <v>6</v>
      </c>
      <c r="T102">
        <v>62</v>
      </c>
      <c r="U102">
        <v>48</v>
      </c>
      <c r="V102">
        <v>57</v>
      </c>
      <c r="W102">
        <v>38</v>
      </c>
    </row>
    <row r="103" spans="1:23" x14ac:dyDescent="0.2">
      <c r="A103" s="6">
        <v>45796.567708333336</v>
      </c>
      <c r="B103" t="s">
        <v>1311</v>
      </c>
      <c r="C103">
        <v>62319200</v>
      </c>
      <c r="D103" t="s">
        <v>1312</v>
      </c>
      <c r="E103" t="s">
        <v>2159</v>
      </c>
      <c r="F103" t="s">
        <v>1313</v>
      </c>
      <c r="H103" t="s">
        <v>1311</v>
      </c>
      <c r="I103" t="s">
        <v>2160</v>
      </c>
      <c r="J103" t="s">
        <v>33</v>
      </c>
      <c r="K103">
        <v>2216716918</v>
      </c>
      <c r="L103" t="s">
        <v>1314</v>
      </c>
      <c r="M103" t="s">
        <v>2161</v>
      </c>
      <c r="N103" t="s">
        <v>6</v>
      </c>
      <c r="O103" t="s">
        <v>1315</v>
      </c>
      <c r="P103" t="s">
        <v>1314</v>
      </c>
      <c r="Q103" t="s">
        <v>2162</v>
      </c>
      <c r="R103">
        <v>15</v>
      </c>
      <c r="S103">
        <v>3</v>
      </c>
      <c r="T103">
        <v>24</v>
      </c>
      <c r="U103">
        <v>23</v>
      </c>
      <c r="V103">
        <v>30</v>
      </c>
      <c r="W103">
        <v>0</v>
      </c>
    </row>
    <row r="104" spans="1:23" x14ac:dyDescent="0.2">
      <c r="A104" s="6">
        <v>45796.570451388892</v>
      </c>
      <c r="B104" t="s">
        <v>1316</v>
      </c>
      <c r="C104">
        <v>300122100</v>
      </c>
      <c r="D104" t="s">
        <v>1317</v>
      </c>
      <c r="E104" t="s">
        <v>2163</v>
      </c>
      <c r="F104" t="s">
        <v>1318</v>
      </c>
      <c r="G104">
        <v>3446495035</v>
      </c>
      <c r="H104" t="s">
        <v>1316</v>
      </c>
      <c r="I104" t="s">
        <v>1319</v>
      </c>
      <c r="J104" t="s">
        <v>6</v>
      </c>
      <c r="K104">
        <v>3446592249</v>
      </c>
      <c r="L104" t="s">
        <v>1320</v>
      </c>
      <c r="M104" t="s">
        <v>2164</v>
      </c>
      <c r="N104" t="s">
        <v>17</v>
      </c>
      <c r="O104">
        <v>3446558904</v>
      </c>
      <c r="P104" t="s">
        <v>1321</v>
      </c>
      <c r="Q104" t="s">
        <v>2165</v>
      </c>
      <c r="R104">
        <v>33</v>
      </c>
      <c r="S104">
        <v>6</v>
      </c>
      <c r="T104">
        <v>48</v>
      </c>
      <c r="U104">
        <v>20</v>
      </c>
      <c r="V104">
        <v>25</v>
      </c>
      <c r="W104">
        <v>20</v>
      </c>
    </row>
    <row r="105" spans="1:23" x14ac:dyDescent="0.2">
      <c r="A105" s="6">
        <v>45796.579224537039</v>
      </c>
      <c r="B105" t="s">
        <v>1322</v>
      </c>
      <c r="C105">
        <v>60596500</v>
      </c>
      <c r="D105" t="s">
        <v>1323</v>
      </c>
      <c r="E105" t="s">
        <v>1324</v>
      </c>
      <c r="F105" t="s">
        <v>1325</v>
      </c>
      <c r="G105" t="s">
        <v>1326</v>
      </c>
      <c r="H105" t="s">
        <v>1327</v>
      </c>
      <c r="I105" t="s">
        <v>1328</v>
      </c>
      <c r="J105" t="s">
        <v>33</v>
      </c>
      <c r="K105" t="s">
        <v>1329</v>
      </c>
      <c r="L105" t="s">
        <v>1330</v>
      </c>
      <c r="M105" t="s">
        <v>1331</v>
      </c>
      <c r="N105" t="s">
        <v>36</v>
      </c>
      <c r="O105" t="s">
        <v>1332</v>
      </c>
      <c r="P105" t="s">
        <v>1322</v>
      </c>
      <c r="Q105" t="s">
        <v>1333</v>
      </c>
      <c r="R105">
        <v>15</v>
      </c>
      <c r="S105">
        <v>2</v>
      </c>
      <c r="T105">
        <v>27</v>
      </c>
      <c r="U105">
        <v>17</v>
      </c>
      <c r="V105">
        <v>19</v>
      </c>
      <c r="W105">
        <v>7</v>
      </c>
    </row>
    <row r="106" spans="1:23" x14ac:dyDescent="0.2">
      <c r="A106" s="6">
        <v>45796.662766203706</v>
      </c>
      <c r="B106" t="s">
        <v>2283</v>
      </c>
      <c r="C106">
        <v>900104000</v>
      </c>
      <c r="D106" t="s">
        <v>1334</v>
      </c>
      <c r="E106" t="s">
        <v>2166</v>
      </c>
      <c r="F106" t="s">
        <v>2167</v>
      </c>
      <c r="G106">
        <v>3813023583</v>
      </c>
      <c r="H106" t="s">
        <v>1335</v>
      </c>
      <c r="I106" t="s">
        <v>2168</v>
      </c>
      <c r="J106" t="s">
        <v>6</v>
      </c>
      <c r="K106">
        <v>3816434012</v>
      </c>
      <c r="L106" t="s">
        <v>1336</v>
      </c>
      <c r="M106" t="s">
        <v>2169</v>
      </c>
      <c r="N106" t="s">
        <v>8</v>
      </c>
      <c r="O106">
        <v>3813023583</v>
      </c>
      <c r="P106" t="s">
        <v>1335</v>
      </c>
      <c r="Q106" t="s">
        <v>2170</v>
      </c>
      <c r="R106">
        <v>29</v>
      </c>
      <c r="S106">
        <v>22</v>
      </c>
      <c r="T106">
        <v>360</v>
      </c>
      <c r="U106">
        <v>336</v>
      </c>
      <c r="V106">
        <v>464</v>
      </c>
      <c r="W106">
        <v>158</v>
      </c>
    </row>
    <row r="107" spans="1:23" x14ac:dyDescent="0.2">
      <c r="A107" s="6">
        <v>45796.693113425928</v>
      </c>
      <c r="B107" t="s">
        <v>2284</v>
      </c>
      <c r="C107">
        <v>60008000</v>
      </c>
      <c r="D107" t="s">
        <v>1337</v>
      </c>
      <c r="E107" t="s">
        <v>2171</v>
      </c>
      <c r="F107" t="s">
        <v>1338</v>
      </c>
      <c r="G107">
        <v>2261442053</v>
      </c>
      <c r="H107" t="s">
        <v>1339</v>
      </c>
      <c r="I107" t="s">
        <v>1340</v>
      </c>
      <c r="J107" t="s">
        <v>33</v>
      </c>
      <c r="K107">
        <v>2262534654</v>
      </c>
      <c r="L107" t="s">
        <v>1341</v>
      </c>
      <c r="M107" t="s">
        <v>1340</v>
      </c>
      <c r="N107" t="s">
        <v>8</v>
      </c>
      <c r="O107">
        <v>2262534654</v>
      </c>
      <c r="P107" t="s">
        <v>1339</v>
      </c>
      <c r="Q107" t="s">
        <v>2172</v>
      </c>
      <c r="R107">
        <v>17</v>
      </c>
      <c r="S107">
        <v>2</v>
      </c>
      <c r="T107">
        <v>28</v>
      </c>
      <c r="U107">
        <v>35</v>
      </c>
      <c r="V107">
        <v>26</v>
      </c>
      <c r="W107">
        <v>7</v>
      </c>
    </row>
    <row r="108" spans="1:23" x14ac:dyDescent="0.2">
      <c r="A108" s="6">
        <v>45796.700254629628</v>
      </c>
      <c r="B108" t="s">
        <v>2285</v>
      </c>
      <c r="C108">
        <v>900104002</v>
      </c>
      <c r="D108" t="s">
        <v>1342</v>
      </c>
      <c r="E108" t="s">
        <v>2173</v>
      </c>
      <c r="F108" t="s">
        <v>1343</v>
      </c>
      <c r="G108">
        <v>3863408408</v>
      </c>
      <c r="H108" t="s">
        <v>1344</v>
      </c>
      <c r="I108" t="s">
        <v>1345</v>
      </c>
      <c r="J108" t="s">
        <v>6</v>
      </c>
      <c r="K108">
        <v>3816434012</v>
      </c>
      <c r="L108" t="s">
        <v>1346</v>
      </c>
      <c r="M108" t="s">
        <v>1347</v>
      </c>
      <c r="N108" t="s">
        <v>8</v>
      </c>
      <c r="O108">
        <v>3813023583</v>
      </c>
      <c r="P108" t="s">
        <v>1348</v>
      </c>
      <c r="Q108" t="s">
        <v>1349</v>
      </c>
      <c r="R108">
        <v>10</v>
      </c>
      <c r="S108">
        <v>3</v>
      </c>
      <c r="T108">
        <v>88</v>
      </c>
      <c r="U108">
        <v>61</v>
      </c>
      <c r="V108">
        <v>65</v>
      </c>
      <c r="W108">
        <v>4</v>
      </c>
    </row>
    <row r="109" spans="1:23" x14ac:dyDescent="0.2">
      <c r="A109" s="6">
        <v>45796.711574074077</v>
      </c>
      <c r="B109" t="s">
        <v>1350</v>
      </c>
      <c r="C109">
        <v>900104003</v>
      </c>
      <c r="D109" t="s">
        <v>1351</v>
      </c>
      <c r="E109" t="s">
        <v>2174</v>
      </c>
      <c r="F109" t="s">
        <v>1352</v>
      </c>
      <c r="G109">
        <v>3863409112</v>
      </c>
      <c r="H109" t="s">
        <v>1350</v>
      </c>
      <c r="I109" t="s">
        <v>1353</v>
      </c>
      <c r="J109" t="s">
        <v>6</v>
      </c>
      <c r="K109">
        <v>3816434012</v>
      </c>
      <c r="L109" t="s">
        <v>1336</v>
      </c>
      <c r="M109" t="s">
        <v>1402</v>
      </c>
      <c r="N109" t="s">
        <v>8</v>
      </c>
      <c r="O109">
        <v>3813023583</v>
      </c>
      <c r="P109" t="s">
        <v>1335</v>
      </c>
      <c r="Q109" t="s">
        <v>1354</v>
      </c>
      <c r="R109">
        <v>29</v>
      </c>
      <c r="S109">
        <v>26</v>
      </c>
      <c r="T109">
        <v>73</v>
      </c>
      <c r="U109">
        <v>79</v>
      </c>
      <c r="V109">
        <v>77</v>
      </c>
      <c r="W109">
        <v>32</v>
      </c>
    </row>
    <row r="110" spans="1:23" x14ac:dyDescent="0.2">
      <c r="A110" s="6">
        <v>45796.71770833333</v>
      </c>
      <c r="B110" t="s">
        <v>1355</v>
      </c>
      <c r="C110">
        <v>900104014</v>
      </c>
      <c r="D110" t="s">
        <v>1356</v>
      </c>
      <c r="E110" t="s">
        <v>2175</v>
      </c>
      <c r="F110" t="s">
        <v>1357</v>
      </c>
      <c r="G110" t="s">
        <v>2176</v>
      </c>
      <c r="H110" t="s">
        <v>1355</v>
      </c>
      <c r="I110" t="s">
        <v>1358</v>
      </c>
      <c r="J110" t="s">
        <v>6</v>
      </c>
      <c r="K110" t="s">
        <v>1359</v>
      </c>
      <c r="L110" t="s">
        <v>1360</v>
      </c>
      <c r="M110" t="s">
        <v>1353</v>
      </c>
      <c r="N110" t="s">
        <v>6</v>
      </c>
      <c r="O110" t="s">
        <v>1359</v>
      </c>
      <c r="P110" t="s">
        <v>1360</v>
      </c>
      <c r="Q110" t="s">
        <v>1361</v>
      </c>
      <c r="R110">
        <v>20</v>
      </c>
      <c r="S110">
        <v>8</v>
      </c>
      <c r="T110">
        <v>138</v>
      </c>
      <c r="U110">
        <v>147</v>
      </c>
      <c r="V110">
        <v>102</v>
      </c>
      <c r="W110">
        <v>36</v>
      </c>
    </row>
    <row r="111" spans="1:23" x14ac:dyDescent="0.2">
      <c r="A111" s="6">
        <v>45796.728530092594</v>
      </c>
      <c r="B111" t="s">
        <v>2286</v>
      </c>
      <c r="C111">
        <v>380097800</v>
      </c>
      <c r="D111" t="s">
        <v>1362</v>
      </c>
      <c r="E111" t="s">
        <v>553</v>
      </c>
      <c r="F111" t="s">
        <v>1363</v>
      </c>
      <c r="G111">
        <v>3884889596</v>
      </c>
      <c r="H111" t="s">
        <v>1364</v>
      </c>
      <c r="I111" t="s">
        <v>1365</v>
      </c>
      <c r="J111" t="s">
        <v>6</v>
      </c>
      <c r="K111">
        <v>3884889596</v>
      </c>
      <c r="L111" t="s">
        <v>1364</v>
      </c>
      <c r="M111" t="s">
        <v>1365</v>
      </c>
      <c r="N111" t="s">
        <v>6</v>
      </c>
      <c r="O111">
        <v>3884889596</v>
      </c>
      <c r="P111" t="s">
        <v>1364</v>
      </c>
      <c r="Q111" t="s">
        <v>1366</v>
      </c>
      <c r="R111">
        <v>17</v>
      </c>
      <c r="S111">
        <v>4</v>
      </c>
      <c r="T111">
        <v>93</v>
      </c>
      <c r="U111">
        <v>157</v>
      </c>
      <c r="V111">
        <v>0</v>
      </c>
      <c r="W111">
        <v>75</v>
      </c>
    </row>
    <row r="112" spans="1:23" x14ac:dyDescent="0.2">
      <c r="A112" s="6">
        <v>45796.729791666665</v>
      </c>
      <c r="B112" t="s">
        <v>1367</v>
      </c>
      <c r="C112">
        <v>900104006</v>
      </c>
      <c r="D112" t="s">
        <v>1368</v>
      </c>
      <c r="E112" t="s">
        <v>2177</v>
      </c>
      <c r="F112" t="s">
        <v>2178</v>
      </c>
      <c r="G112">
        <v>3813014695</v>
      </c>
      <c r="H112" t="s">
        <v>1367</v>
      </c>
      <c r="I112" t="s">
        <v>1353</v>
      </c>
      <c r="J112" t="s">
        <v>6</v>
      </c>
      <c r="K112">
        <v>3816434012</v>
      </c>
      <c r="L112" t="s">
        <v>1336</v>
      </c>
      <c r="M112" t="s">
        <v>1402</v>
      </c>
      <c r="N112" t="s">
        <v>8</v>
      </c>
      <c r="O112">
        <v>3813023583</v>
      </c>
      <c r="P112" t="s">
        <v>1335</v>
      </c>
      <c r="Q112" t="s">
        <v>1369</v>
      </c>
      <c r="R112">
        <v>10</v>
      </c>
      <c r="S112">
        <v>6</v>
      </c>
      <c r="T112">
        <v>88</v>
      </c>
      <c r="U112">
        <v>78</v>
      </c>
      <c r="V112">
        <v>102</v>
      </c>
      <c r="W112">
        <v>26</v>
      </c>
    </row>
    <row r="113" spans="1:23" x14ac:dyDescent="0.2">
      <c r="A113" s="6">
        <v>45796.729930555557</v>
      </c>
      <c r="B113" t="s">
        <v>1370</v>
      </c>
      <c r="C113">
        <v>900104004</v>
      </c>
      <c r="D113" t="s">
        <v>1371</v>
      </c>
      <c r="E113" t="s">
        <v>1372</v>
      </c>
      <c r="F113" t="s">
        <v>1373</v>
      </c>
      <c r="G113">
        <v>3815513391</v>
      </c>
      <c r="H113" t="s">
        <v>1370</v>
      </c>
      <c r="I113" t="s">
        <v>1374</v>
      </c>
      <c r="J113" t="s">
        <v>6</v>
      </c>
      <c r="K113">
        <v>3816434012</v>
      </c>
      <c r="L113" t="s">
        <v>1375</v>
      </c>
      <c r="M113" t="s">
        <v>2179</v>
      </c>
      <c r="N113" t="s">
        <v>17</v>
      </c>
      <c r="O113">
        <v>3815513391</v>
      </c>
      <c r="P113" t="s">
        <v>1376</v>
      </c>
      <c r="Q113" t="s">
        <v>2180</v>
      </c>
      <c r="R113">
        <v>11</v>
      </c>
      <c r="S113">
        <v>3</v>
      </c>
      <c r="T113">
        <v>49</v>
      </c>
      <c r="U113">
        <v>69</v>
      </c>
      <c r="V113">
        <v>54</v>
      </c>
      <c r="W113">
        <v>23</v>
      </c>
    </row>
    <row r="114" spans="1:23" x14ac:dyDescent="0.2">
      <c r="A114" s="6">
        <v>45796.750717592593</v>
      </c>
      <c r="B114" t="s">
        <v>2287</v>
      </c>
      <c r="C114">
        <v>380058200</v>
      </c>
      <c r="D114" t="s">
        <v>2181</v>
      </c>
      <c r="E114" t="s">
        <v>2182</v>
      </c>
      <c r="F114" t="s">
        <v>2183</v>
      </c>
      <c r="G114">
        <v>3885019258</v>
      </c>
      <c r="H114" t="s">
        <v>2184</v>
      </c>
      <c r="I114" t="s">
        <v>2185</v>
      </c>
      <c r="J114" t="s">
        <v>6</v>
      </c>
      <c r="K114">
        <v>3885019258</v>
      </c>
      <c r="L114" t="s">
        <v>2186</v>
      </c>
      <c r="M114" t="s">
        <v>2187</v>
      </c>
      <c r="N114" t="s">
        <v>6</v>
      </c>
      <c r="O114">
        <v>3885019258</v>
      </c>
      <c r="P114" t="s">
        <v>2186</v>
      </c>
      <c r="Q114" t="s">
        <v>2188</v>
      </c>
      <c r="R114">
        <v>5</v>
      </c>
      <c r="S114">
        <v>4</v>
      </c>
      <c r="T114">
        <v>0</v>
      </c>
      <c r="U114">
        <v>0</v>
      </c>
      <c r="V114">
        <v>82</v>
      </c>
      <c r="W114">
        <v>10</v>
      </c>
    </row>
    <row r="115" spans="1:23" x14ac:dyDescent="0.2">
      <c r="A115" s="6">
        <v>45796.763784722221</v>
      </c>
      <c r="B115" t="s">
        <v>2288</v>
      </c>
      <c r="C115">
        <v>900104012</v>
      </c>
      <c r="D115" t="s">
        <v>1377</v>
      </c>
      <c r="E115" t="s">
        <v>2189</v>
      </c>
      <c r="F115" t="s">
        <v>1378</v>
      </c>
      <c r="G115">
        <v>381156628166</v>
      </c>
      <c r="H115" t="s">
        <v>1379</v>
      </c>
      <c r="I115" t="s">
        <v>1353</v>
      </c>
      <c r="J115" t="s">
        <v>6</v>
      </c>
      <c r="K115">
        <v>3816434012</v>
      </c>
      <c r="L115" t="s">
        <v>1336</v>
      </c>
      <c r="M115" t="s">
        <v>1402</v>
      </c>
      <c r="N115" t="s">
        <v>8</v>
      </c>
      <c r="O115">
        <v>3813023583</v>
      </c>
      <c r="P115" t="s">
        <v>1380</v>
      </c>
      <c r="Q115" t="s">
        <v>2190</v>
      </c>
      <c r="R115">
        <v>10</v>
      </c>
      <c r="S115">
        <v>3</v>
      </c>
      <c r="T115">
        <v>74</v>
      </c>
      <c r="U115">
        <v>72</v>
      </c>
      <c r="V115">
        <v>69</v>
      </c>
      <c r="W115">
        <v>17</v>
      </c>
    </row>
    <row r="116" spans="1:23" x14ac:dyDescent="0.2">
      <c r="A116" s="6">
        <v>45796.764293981483</v>
      </c>
      <c r="B116" t="s">
        <v>1381</v>
      </c>
      <c r="C116">
        <v>300129700</v>
      </c>
      <c r="D116" t="s">
        <v>1382</v>
      </c>
      <c r="E116" t="s">
        <v>1383</v>
      </c>
      <c r="F116" t="s">
        <v>1384</v>
      </c>
      <c r="H116" t="s">
        <v>1381</v>
      </c>
      <c r="I116" t="s">
        <v>1385</v>
      </c>
      <c r="J116" t="s">
        <v>6</v>
      </c>
      <c r="K116">
        <v>3458451738</v>
      </c>
      <c r="L116" t="s">
        <v>1386</v>
      </c>
      <c r="M116" t="s">
        <v>1387</v>
      </c>
      <c r="N116" t="s">
        <v>17</v>
      </c>
      <c r="O116">
        <v>3458456405</v>
      </c>
      <c r="P116" t="s">
        <v>1388</v>
      </c>
      <c r="Q116" t="s">
        <v>1389</v>
      </c>
      <c r="R116">
        <v>9</v>
      </c>
      <c r="S116">
        <v>4</v>
      </c>
      <c r="T116">
        <v>0</v>
      </c>
      <c r="U116">
        <v>0</v>
      </c>
      <c r="V116">
        <v>44</v>
      </c>
      <c r="W116">
        <v>28</v>
      </c>
    </row>
    <row r="117" spans="1:23" x14ac:dyDescent="0.2">
      <c r="A117" s="6">
        <v>45796.765694444446</v>
      </c>
      <c r="B117" t="s">
        <v>1390</v>
      </c>
      <c r="C117">
        <v>300155100</v>
      </c>
      <c r="D117" t="s">
        <v>1391</v>
      </c>
      <c r="E117" t="s">
        <v>1392</v>
      </c>
      <c r="F117" t="s">
        <v>1393</v>
      </c>
      <c r="G117">
        <v>3433020562</v>
      </c>
      <c r="H117" t="s">
        <v>1390</v>
      </c>
      <c r="I117" t="s">
        <v>1394</v>
      </c>
      <c r="J117" t="s">
        <v>6</v>
      </c>
      <c r="K117">
        <v>3434620654</v>
      </c>
      <c r="L117" t="s">
        <v>1395</v>
      </c>
      <c r="M117" t="s">
        <v>1396</v>
      </c>
      <c r="N117" t="s">
        <v>17</v>
      </c>
      <c r="O117">
        <v>3435364958</v>
      </c>
      <c r="P117" t="s">
        <v>1397</v>
      </c>
      <c r="Q117" t="s">
        <v>1398</v>
      </c>
      <c r="R117">
        <v>28</v>
      </c>
      <c r="S117">
        <v>12</v>
      </c>
      <c r="T117">
        <v>62</v>
      </c>
      <c r="U117">
        <v>58</v>
      </c>
      <c r="V117">
        <v>54</v>
      </c>
      <c r="W117">
        <v>26</v>
      </c>
    </row>
    <row r="118" spans="1:23" x14ac:dyDescent="0.2">
      <c r="A118" s="6">
        <v>45796.765729166669</v>
      </c>
      <c r="B118" t="s">
        <v>2289</v>
      </c>
      <c r="C118">
        <v>900104001</v>
      </c>
      <c r="D118" t="s">
        <v>1399</v>
      </c>
      <c r="E118" t="s">
        <v>2191</v>
      </c>
      <c r="F118" t="s">
        <v>1400</v>
      </c>
      <c r="G118">
        <v>3815550245</v>
      </c>
      <c r="H118" t="s">
        <v>1401</v>
      </c>
      <c r="I118" t="s">
        <v>1353</v>
      </c>
      <c r="J118" t="s">
        <v>6</v>
      </c>
      <c r="K118">
        <v>3816434012</v>
      </c>
      <c r="L118" t="s">
        <v>1336</v>
      </c>
      <c r="M118" t="s">
        <v>1402</v>
      </c>
      <c r="N118" t="s">
        <v>8</v>
      </c>
      <c r="O118">
        <v>3813023583</v>
      </c>
      <c r="P118" t="s">
        <v>1335</v>
      </c>
      <c r="Q118" t="s">
        <v>571</v>
      </c>
      <c r="R118">
        <v>13</v>
      </c>
      <c r="S118">
        <v>4</v>
      </c>
      <c r="T118">
        <v>165</v>
      </c>
      <c r="U118">
        <v>108</v>
      </c>
      <c r="V118">
        <v>135</v>
      </c>
      <c r="W118">
        <v>25</v>
      </c>
    </row>
    <row r="119" spans="1:23" x14ac:dyDescent="0.2">
      <c r="A119" s="6">
        <v>45796.76829861111</v>
      </c>
      <c r="B119" t="s">
        <v>1403</v>
      </c>
      <c r="C119">
        <v>60339300</v>
      </c>
      <c r="D119" t="s">
        <v>1404</v>
      </c>
      <c r="E119" t="s">
        <v>1405</v>
      </c>
      <c r="F119" t="s">
        <v>1406</v>
      </c>
      <c r="G119">
        <v>2358442131</v>
      </c>
      <c r="H119" t="s">
        <v>1403</v>
      </c>
      <c r="I119" t="s">
        <v>1407</v>
      </c>
      <c r="J119" t="s">
        <v>33</v>
      </c>
      <c r="K119">
        <v>2355643605</v>
      </c>
      <c r="L119" t="s">
        <v>1408</v>
      </c>
      <c r="M119" t="s">
        <v>1409</v>
      </c>
      <c r="N119" t="s">
        <v>27</v>
      </c>
      <c r="O119">
        <v>2355456020</v>
      </c>
      <c r="P119" t="s">
        <v>1410</v>
      </c>
      <c r="Q119" t="s">
        <v>1411</v>
      </c>
      <c r="R119">
        <v>13</v>
      </c>
      <c r="S119">
        <v>2</v>
      </c>
      <c r="T119">
        <v>34</v>
      </c>
      <c r="U119">
        <v>18</v>
      </c>
      <c r="V119">
        <v>28</v>
      </c>
      <c r="W119">
        <v>19</v>
      </c>
    </row>
    <row r="120" spans="1:23" x14ac:dyDescent="0.2">
      <c r="A120" s="6">
        <v>45796.77238425926</v>
      </c>
      <c r="B120" t="s">
        <v>1412</v>
      </c>
      <c r="C120">
        <v>900104011</v>
      </c>
      <c r="D120" t="s">
        <v>1413</v>
      </c>
      <c r="E120" t="s">
        <v>2192</v>
      </c>
      <c r="F120" t="s">
        <v>1414</v>
      </c>
      <c r="G120">
        <v>3867497299</v>
      </c>
      <c r="H120" t="s">
        <v>1412</v>
      </c>
      <c r="I120" t="s">
        <v>1358</v>
      </c>
      <c r="J120" t="s">
        <v>6</v>
      </c>
      <c r="K120">
        <v>3816434012</v>
      </c>
      <c r="L120" t="s">
        <v>1336</v>
      </c>
      <c r="M120" t="s">
        <v>2193</v>
      </c>
      <c r="N120" t="s">
        <v>8</v>
      </c>
      <c r="O120">
        <v>3813023583</v>
      </c>
      <c r="P120" t="s">
        <v>1415</v>
      </c>
      <c r="Q120" t="s">
        <v>1416</v>
      </c>
      <c r="R120">
        <v>10</v>
      </c>
      <c r="S120">
        <v>2</v>
      </c>
      <c r="T120">
        <v>89</v>
      </c>
      <c r="U120">
        <v>76</v>
      </c>
      <c r="V120">
        <v>47</v>
      </c>
      <c r="W120">
        <v>15</v>
      </c>
    </row>
    <row r="121" spans="1:23" x14ac:dyDescent="0.2">
      <c r="A121" s="6">
        <v>45796.785879629628</v>
      </c>
      <c r="B121" t="s">
        <v>2290</v>
      </c>
      <c r="C121">
        <v>61190300</v>
      </c>
      <c r="D121" t="s">
        <v>1417</v>
      </c>
      <c r="E121" t="s">
        <v>1418</v>
      </c>
      <c r="F121" t="s">
        <v>1419</v>
      </c>
      <c r="G121" t="s">
        <v>1420</v>
      </c>
      <c r="H121" t="s">
        <v>1421</v>
      </c>
      <c r="I121" t="s">
        <v>1422</v>
      </c>
      <c r="J121" t="s">
        <v>33</v>
      </c>
      <c r="K121" t="s">
        <v>1423</v>
      </c>
      <c r="L121" t="s">
        <v>1424</v>
      </c>
      <c r="M121" t="s">
        <v>1425</v>
      </c>
      <c r="N121" t="s">
        <v>27</v>
      </c>
      <c r="O121" t="s">
        <v>2194</v>
      </c>
      <c r="P121" t="s">
        <v>1426</v>
      </c>
      <c r="Q121" t="s">
        <v>1427</v>
      </c>
      <c r="R121">
        <v>14</v>
      </c>
      <c r="S121">
        <v>3</v>
      </c>
      <c r="T121">
        <v>15</v>
      </c>
      <c r="U121">
        <v>14</v>
      </c>
      <c r="V121">
        <v>39</v>
      </c>
      <c r="W121">
        <v>2</v>
      </c>
    </row>
    <row r="122" spans="1:23" ht="202.5" x14ac:dyDescent="0.2">
      <c r="A122" s="6">
        <v>45796.78943287037</v>
      </c>
      <c r="B122" t="s">
        <v>2291</v>
      </c>
      <c r="C122">
        <v>300185800</v>
      </c>
      <c r="D122" t="s">
        <v>1428</v>
      </c>
      <c r="E122" t="s">
        <v>1429</v>
      </c>
      <c r="F122" t="s">
        <v>1430</v>
      </c>
      <c r="G122">
        <v>3434920137</v>
      </c>
      <c r="H122" t="s">
        <v>1431</v>
      </c>
      <c r="I122" t="s">
        <v>1432</v>
      </c>
      <c r="J122" t="s">
        <v>6</v>
      </c>
      <c r="K122">
        <v>3435166197</v>
      </c>
      <c r="L122" t="s">
        <v>1433</v>
      </c>
      <c r="M122" t="s">
        <v>1434</v>
      </c>
      <c r="N122" t="s">
        <v>17</v>
      </c>
      <c r="O122">
        <v>3435180979</v>
      </c>
      <c r="P122" t="s">
        <v>1435</v>
      </c>
      <c r="Q122" s="7" t="s">
        <v>1436</v>
      </c>
      <c r="R122">
        <v>21</v>
      </c>
      <c r="S122">
        <v>3</v>
      </c>
      <c r="T122">
        <v>36</v>
      </c>
      <c r="U122">
        <v>37</v>
      </c>
      <c r="V122">
        <v>35</v>
      </c>
      <c r="W122">
        <v>38</v>
      </c>
    </row>
    <row r="123" spans="1:23" x14ac:dyDescent="0.2">
      <c r="A123" s="6">
        <v>45796.79241898148</v>
      </c>
      <c r="B123" t="s">
        <v>2292</v>
      </c>
      <c r="C123">
        <v>900104005</v>
      </c>
      <c r="D123" t="s">
        <v>1437</v>
      </c>
      <c r="E123" t="s">
        <v>2195</v>
      </c>
      <c r="F123" t="s">
        <v>1438</v>
      </c>
      <c r="G123">
        <v>3815111287</v>
      </c>
      <c r="H123" t="s">
        <v>1439</v>
      </c>
      <c r="I123" t="s">
        <v>1402</v>
      </c>
      <c r="J123" t="s">
        <v>33</v>
      </c>
      <c r="K123">
        <v>3813023583</v>
      </c>
      <c r="L123" t="s">
        <v>1415</v>
      </c>
      <c r="M123" t="s">
        <v>2196</v>
      </c>
      <c r="N123" t="s">
        <v>17</v>
      </c>
      <c r="O123">
        <v>3815111287</v>
      </c>
      <c r="P123" t="s">
        <v>1439</v>
      </c>
      <c r="Q123" t="s">
        <v>582</v>
      </c>
      <c r="R123">
        <v>13</v>
      </c>
      <c r="S123">
        <v>3</v>
      </c>
      <c r="T123">
        <v>133</v>
      </c>
      <c r="U123">
        <v>79</v>
      </c>
      <c r="V123">
        <v>57</v>
      </c>
      <c r="W123">
        <v>73</v>
      </c>
    </row>
    <row r="124" spans="1:23" ht="108" x14ac:dyDescent="0.2">
      <c r="A124" s="6">
        <v>45796.793495370373</v>
      </c>
      <c r="B124" t="s">
        <v>1440</v>
      </c>
      <c r="C124">
        <v>900104013</v>
      </c>
      <c r="D124" t="s">
        <v>1441</v>
      </c>
      <c r="E124" t="s">
        <v>1442</v>
      </c>
      <c r="F124" s="7" t="s">
        <v>1443</v>
      </c>
      <c r="G124">
        <v>3814123528</v>
      </c>
      <c r="H124" t="s">
        <v>1440</v>
      </c>
      <c r="I124" t="s">
        <v>1353</v>
      </c>
      <c r="J124" t="s">
        <v>6</v>
      </c>
      <c r="K124">
        <v>3816434012</v>
      </c>
      <c r="L124" t="s">
        <v>1444</v>
      </c>
      <c r="M124" t="s">
        <v>1402</v>
      </c>
      <c r="N124" t="s">
        <v>8</v>
      </c>
      <c r="O124">
        <v>3813023583</v>
      </c>
      <c r="P124" t="s">
        <v>1335</v>
      </c>
      <c r="Q124" t="s">
        <v>1445</v>
      </c>
      <c r="R124">
        <v>23</v>
      </c>
      <c r="S124">
        <v>8</v>
      </c>
      <c r="T124">
        <v>129</v>
      </c>
      <c r="U124">
        <v>102</v>
      </c>
      <c r="V124">
        <v>60</v>
      </c>
      <c r="W124">
        <v>45</v>
      </c>
    </row>
    <row r="125" spans="1:23" x14ac:dyDescent="0.2">
      <c r="A125" s="6">
        <v>45796.794918981483</v>
      </c>
      <c r="B125" t="s">
        <v>1446</v>
      </c>
      <c r="C125">
        <v>900104008</v>
      </c>
      <c r="D125" t="s">
        <v>1447</v>
      </c>
      <c r="E125" t="s">
        <v>2197</v>
      </c>
      <c r="F125" t="s">
        <v>1448</v>
      </c>
      <c r="G125">
        <v>3865304847</v>
      </c>
      <c r="H125" t="s">
        <v>1446</v>
      </c>
      <c r="I125" t="s">
        <v>2198</v>
      </c>
      <c r="J125" t="s">
        <v>6</v>
      </c>
      <c r="K125">
        <v>3816434012</v>
      </c>
      <c r="L125" t="s">
        <v>1336</v>
      </c>
      <c r="M125" t="s">
        <v>1402</v>
      </c>
      <c r="N125" t="s">
        <v>8</v>
      </c>
      <c r="O125">
        <v>3813023583</v>
      </c>
      <c r="P125" t="s">
        <v>1415</v>
      </c>
      <c r="Q125" t="s">
        <v>1449</v>
      </c>
      <c r="R125">
        <v>10</v>
      </c>
      <c r="S125">
        <v>3</v>
      </c>
      <c r="T125">
        <v>44</v>
      </c>
      <c r="U125">
        <v>27</v>
      </c>
      <c r="V125">
        <v>33</v>
      </c>
      <c r="W125">
        <v>25</v>
      </c>
    </row>
    <row r="126" spans="1:23" x14ac:dyDescent="0.2">
      <c r="A126" s="6">
        <v>45796.837291666663</v>
      </c>
      <c r="B126" t="s">
        <v>2293</v>
      </c>
      <c r="C126">
        <v>140544105</v>
      </c>
      <c r="D126" t="s">
        <v>1450</v>
      </c>
      <c r="E126" t="s">
        <v>333</v>
      </c>
      <c r="F126" t="s">
        <v>1451</v>
      </c>
      <c r="H126" t="s">
        <v>1452</v>
      </c>
      <c r="I126" t="s">
        <v>1453</v>
      </c>
      <c r="J126" t="s">
        <v>33</v>
      </c>
      <c r="K126" t="s">
        <v>1454</v>
      </c>
      <c r="L126" t="s">
        <v>1300</v>
      </c>
      <c r="M126" t="s">
        <v>1455</v>
      </c>
      <c r="N126" t="s">
        <v>17</v>
      </c>
      <c r="O126" t="s">
        <v>1456</v>
      </c>
      <c r="P126" t="s">
        <v>1457</v>
      </c>
      <c r="Q126" t="s">
        <v>1458</v>
      </c>
      <c r="R126">
        <v>25</v>
      </c>
      <c r="S126">
        <v>7</v>
      </c>
      <c r="T126">
        <v>105</v>
      </c>
      <c r="U126">
        <v>123</v>
      </c>
      <c r="V126">
        <v>73</v>
      </c>
      <c r="W126">
        <v>41</v>
      </c>
    </row>
    <row r="127" spans="1:23" x14ac:dyDescent="0.2">
      <c r="A127" s="6">
        <v>45796.837500000001</v>
      </c>
      <c r="B127" t="s">
        <v>1439</v>
      </c>
      <c r="C127">
        <v>900104005</v>
      </c>
      <c r="D127" t="s">
        <v>1437</v>
      </c>
      <c r="E127" t="s">
        <v>2195</v>
      </c>
      <c r="F127" t="s">
        <v>1438</v>
      </c>
      <c r="G127">
        <v>3815111287</v>
      </c>
      <c r="H127" t="s">
        <v>1439</v>
      </c>
      <c r="I127" t="s">
        <v>1353</v>
      </c>
      <c r="J127" t="s">
        <v>6</v>
      </c>
      <c r="K127">
        <v>3816434012</v>
      </c>
      <c r="L127" t="s">
        <v>1336</v>
      </c>
      <c r="M127" t="s">
        <v>1402</v>
      </c>
      <c r="N127" t="s">
        <v>8</v>
      </c>
      <c r="O127">
        <v>3813023583</v>
      </c>
      <c r="P127" t="s">
        <v>1415</v>
      </c>
      <c r="Q127" t="s">
        <v>582</v>
      </c>
      <c r="R127">
        <v>13</v>
      </c>
      <c r="S127">
        <v>3</v>
      </c>
      <c r="T127">
        <v>133</v>
      </c>
      <c r="U127">
        <v>79</v>
      </c>
      <c r="V127">
        <v>57</v>
      </c>
      <c r="W127">
        <v>73</v>
      </c>
    </row>
    <row r="128" spans="1:23" ht="135" x14ac:dyDescent="0.2">
      <c r="A128" s="6">
        <v>45796.841967592591</v>
      </c>
      <c r="B128" t="s">
        <v>1459</v>
      </c>
      <c r="C128">
        <v>60799700</v>
      </c>
      <c r="D128" s="7" t="s">
        <v>1460</v>
      </c>
      <c r="E128" t="s">
        <v>1461</v>
      </c>
      <c r="F128" t="s">
        <v>1462</v>
      </c>
      <c r="G128">
        <v>1128052917</v>
      </c>
      <c r="H128" t="s">
        <v>1459</v>
      </c>
      <c r="I128" t="s">
        <v>1463</v>
      </c>
      <c r="J128" t="s">
        <v>33</v>
      </c>
      <c r="K128">
        <v>1128052917</v>
      </c>
      <c r="L128" t="s">
        <v>1459</v>
      </c>
      <c r="M128" t="s">
        <v>1464</v>
      </c>
      <c r="N128" t="s">
        <v>8</v>
      </c>
      <c r="O128">
        <v>1128052917</v>
      </c>
      <c r="P128" t="s">
        <v>1459</v>
      </c>
      <c r="Q128" t="s">
        <v>2199</v>
      </c>
      <c r="R128">
        <v>15</v>
      </c>
      <c r="S128">
        <v>4</v>
      </c>
      <c r="T128">
        <v>71</v>
      </c>
      <c r="U128">
        <v>30</v>
      </c>
      <c r="V128">
        <v>26</v>
      </c>
      <c r="W128">
        <v>25</v>
      </c>
    </row>
    <row r="129" spans="1:23" ht="94.5" x14ac:dyDescent="0.2">
      <c r="A129" s="6">
        <v>45796.852129629631</v>
      </c>
      <c r="B129" t="s">
        <v>1465</v>
      </c>
      <c r="C129">
        <v>60807100</v>
      </c>
      <c r="D129" s="7" t="s">
        <v>1466</v>
      </c>
      <c r="E129" t="s">
        <v>2200</v>
      </c>
      <c r="F129" t="s">
        <v>1467</v>
      </c>
      <c r="G129">
        <v>2224423339</v>
      </c>
      <c r="H129" t="s">
        <v>1468</v>
      </c>
      <c r="I129" t="s">
        <v>1469</v>
      </c>
      <c r="J129" t="s">
        <v>33</v>
      </c>
      <c r="K129">
        <v>1131202071</v>
      </c>
      <c r="L129" t="s">
        <v>1470</v>
      </c>
      <c r="M129" t="s">
        <v>1471</v>
      </c>
      <c r="N129" t="s">
        <v>36</v>
      </c>
      <c r="O129">
        <v>1150108284</v>
      </c>
      <c r="P129" t="s">
        <v>1465</v>
      </c>
      <c r="Q129" s="7" t="s">
        <v>1472</v>
      </c>
      <c r="R129">
        <v>37</v>
      </c>
      <c r="S129">
        <v>12</v>
      </c>
      <c r="T129">
        <v>145</v>
      </c>
      <c r="U129">
        <v>90</v>
      </c>
      <c r="V129">
        <v>136</v>
      </c>
      <c r="W129">
        <v>90</v>
      </c>
    </row>
    <row r="130" spans="1:23" x14ac:dyDescent="0.2">
      <c r="A130" s="6">
        <v>45796.865381944444</v>
      </c>
      <c r="B130" t="s">
        <v>1473</v>
      </c>
      <c r="C130">
        <v>300173900</v>
      </c>
      <c r="D130" t="s">
        <v>1474</v>
      </c>
      <c r="E130" t="s">
        <v>2201</v>
      </c>
      <c r="F130" t="s">
        <v>1475</v>
      </c>
      <c r="G130" t="s">
        <v>1476</v>
      </c>
      <c r="H130" t="s">
        <v>1473</v>
      </c>
      <c r="I130" t="s">
        <v>1477</v>
      </c>
      <c r="J130" t="s">
        <v>6</v>
      </c>
      <c r="K130" t="s">
        <v>1478</v>
      </c>
      <c r="L130" t="s">
        <v>1473</v>
      </c>
      <c r="M130" t="s">
        <v>1479</v>
      </c>
      <c r="N130" t="s">
        <v>17</v>
      </c>
      <c r="O130" t="s">
        <v>1480</v>
      </c>
      <c r="P130" t="s">
        <v>1481</v>
      </c>
      <c r="Q130" t="s">
        <v>1482</v>
      </c>
      <c r="R130">
        <v>20</v>
      </c>
      <c r="S130">
        <v>6</v>
      </c>
      <c r="T130">
        <v>113</v>
      </c>
      <c r="U130">
        <v>105</v>
      </c>
      <c r="V130">
        <v>121</v>
      </c>
      <c r="W130">
        <v>61</v>
      </c>
    </row>
    <row r="131" spans="1:23" x14ac:dyDescent="0.2">
      <c r="A131" s="6">
        <v>45796.871458333335</v>
      </c>
      <c r="B131" t="s">
        <v>1336</v>
      </c>
      <c r="C131">
        <v>900104010</v>
      </c>
      <c r="D131" t="s">
        <v>1483</v>
      </c>
      <c r="E131" t="s">
        <v>1484</v>
      </c>
      <c r="F131" t="s">
        <v>1485</v>
      </c>
      <c r="G131">
        <v>3816434012</v>
      </c>
      <c r="H131" t="s">
        <v>1486</v>
      </c>
      <c r="I131" t="s">
        <v>1487</v>
      </c>
      <c r="J131" t="s">
        <v>6</v>
      </c>
      <c r="K131">
        <v>3816434012</v>
      </c>
      <c r="L131" t="s">
        <v>1336</v>
      </c>
      <c r="M131" t="s">
        <v>1488</v>
      </c>
      <c r="N131" t="s">
        <v>17</v>
      </c>
      <c r="O131">
        <v>3813200564</v>
      </c>
      <c r="P131" t="s">
        <v>1489</v>
      </c>
      <c r="Q131" t="s">
        <v>1490</v>
      </c>
      <c r="R131">
        <v>8</v>
      </c>
      <c r="S131">
        <v>5</v>
      </c>
      <c r="T131">
        <v>58</v>
      </c>
      <c r="U131">
        <v>36</v>
      </c>
      <c r="V131">
        <v>16</v>
      </c>
      <c r="W131">
        <v>14</v>
      </c>
    </row>
    <row r="132" spans="1:23" x14ac:dyDescent="0.2">
      <c r="A132" s="6">
        <v>45796.902708333335</v>
      </c>
      <c r="B132" t="s">
        <v>1491</v>
      </c>
      <c r="C132">
        <v>900104009</v>
      </c>
      <c r="D132" t="s">
        <v>1492</v>
      </c>
      <c r="E132" t="s">
        <v>1493</v>
      </c>
      <c r="F132" t="s">
        <v>2202</v>
      </c>
      <c r="G132">
        <v>3865697947</v>
      </c>
      <c r="H132" t="s">
        <v>1491</v>
      </c>
      <c r="I132" t="s">
        <v>1353</v>
      </c>
      <c r="J132" t="s">
        <v>6</v>
      </c>
      <c r="K132">
        <v>3816434012</v>
      </c>
      <c r="L132" t="s">
        <v>1444</v>
      </c>
      <c r="M132" t="s">
        <v>1402</v>
      </c>
      <c r="N132" t="s">
        <v>8</v>
      </c>
      <c r="O132">
        <v>3813023583</v>
      </c>
      <c r="P132" t="s">
        <v>1415</v>
      </c>
      <c r="Q132" t="s">
        <v>1494</v>
      </c>
      <c r="R132">
        <v>11</v>
      </c>
      <c r="S132">
        <v>5</v>
      </c>
      <c r="T132">
        <v>67</v>
      </c>
      <c r="U132">
        <v>53</v>
      </c>
      <c r="V132">
        <v>36</v>
      </c>
      <c r="W132">
        <v>10</v>
      </c>
    </row>
    <row r="133" spans="1:23" x14ac:dyDescent="0.2">
      <c r="A133" s="6">
        <v>45796.921134259261</v>
      </c>
      <c r="B133" t="s">
        <v>1495</v>
      </c>
      <c r="C133">
        <v>60442300</v>
      </c>
      <c r="D133" t="s">
        <v>1496</v>
      </c>
      <c r="E133" t="s">
        <v>1497</v>
      </c>
      <c r="F133" t="s">
        <v>1498</v>
      </c>
      <c r="G133" t="s">
        <v>2203</v>
      </c>
      <c r="H133" t="s">
        <v>1495</v>
      </c>
      <c r="I133" t="s">
        <v>1499</v>
      </c>
      <c r="J133" t="s">
        <v>33</v>
      </c>
      <c r="K133" t="s">
        <v>1500</v>
      </c>
      <c r="L133" t="s">
        <v>1501</v>
      </c>
      <c r="M133" t="s">
        <v>1502</v>
      </c>
      <c r="N133" t="s">
        <v>98</v>
      </c>
      <c r="O133" t="s">
        <v>1503</v>
      </c>
      <c r="P133" t="s">
        <v>1504</v>
      </c>
      <c r="Q133" t="s">
        <v>1505</v>
      </c>
      <c r="R133">
        <v>10</v>
      </c>
      <c r="S133">
        <v>1</v>
      </c>
      <c r="T133">
        <v>30</v>
      </c>
      <c r="U133">
        <v>25</v>
      </c>
      <c r="V133">
        <v>21</v>
      </c>
      <c r="W133">
        <v>15</v>
      </c>
    </row>
    <row r="134" spans="1:23" x14ac:dyDescent="0.2">
      <c r="A134" s="6">
        <v>45796.952372685184</v>
      </c>
      <c r="B134" t="s">
        <v>1506</v>
      </c>
      <c r="C134">
        <v>300152300</v>
      </c>
      <c r="D134" t="s">
        <v>1507</v>
      </c>
      <c r="E134" t="s">
        <v>1508</v>
      </c>
      <c r="F134" t="s">
        <v>1509</v>
      </c>
      <c r="G134" t="s">
        <v>1510</v>
      </c>
      <c r="H134" t="s">
        <v>1506</v>
      </c>
      <c r="I134" t="s">
        <v>2204</v>
      </c>
      <c r="J134" t="s">
        <v>6</v>
      </c>
      <c r="K134" t="s">
        <v>2205</v>
      </c>
      <c r="L134" t="s">
        <v>1511</v>
      </c>
      <c r="M134" t="s">
        <v>2204</v>
      </c>
      <c r="N134" t="s">
        <v>6</v>
      </c>
      <c r="O134" t="s">
        <v>2205</v>
      </c>
      <c r="P134" t="s">
        <v>1511</v>
      </c>
      <c r="Q134" t="s">
        <v>2206</v>
      </c>
      <c r="R134">
        <v>23</v>
      </c>
      <c r="S134">
        <v>5</v>
      </c>
      <c r="T134">
        <v>83</v>
      </c>
      <c r="U134">
        <v>54</v>
      </c>
      <c r="V134">
        <v>25</v>
      </c>
      <c r="W134">
        <v>36</v>
      </c>
    </row>
    <row r="135" spans="1:23" x14ac:dyDescent="0.2">
      <c r="A135" s="6">
        <v>45796.9528587963</v>
      </c>
      <c r="B135" t="s">
        <v>1512</v>
      </c>
      <c r="C135">
        <v>380035200</v>
      </c>
      <c r="D135" t="s">
        <v>1513</v>
      </c>
      <c r="E135" t="s">
        <v>2207</v>
      </c>
      <c r="F135" t="s">
        <v>2208</v>
      </c>
      <c r="G135">
        <v>3886422209</v>
      </c>
      <c r="H135" t="s">
        <v>1512</v>
      </c>
      <c r="I135" t="s">
        <v>1514</v>
      </c>
      <c r="J135" t="s">
        <v>6</v>
      </c>
      <c r="K135">
        <v>3886656333</v>
      </c>
      <c r="L135" t="s">
        <v>1515</v>
      </c>
      <c r="M135" t="s">
        <v>1516</v>
      </c>
      <c r="N135" t="s">
        <v>17</v>
      </c>
      <c r="O135">
        <v>3886412470</v>
      </c>
      <c r="P135" t="s">
        <v>1517</v>
      </c>
      <c r="Q135" t="s">
        <v>1172</v>
      </c>
      <c r="R135">
        <v>14</v>
      </c>
      <c r="S135">
        <v>2</v>
      </c>
      <c r="T135">
        <v>43</v>
      </c>
      <c r="U135">
        <v>41</v>
      </c>
      <c r="V135">
        <v>0</v>
      </c>
      <c r="W135">
        <v>0</v>
      </c>
    </row>
    <row r="136" spans="1:23" x14ac:dyDescent="0.2">
      <c r="A136" s="6">
        <v>45796.997696759259</v>
      </c>
      <c r="B136" t="s">
        <v>1518</v>
      </c>
      <c r="C136">
        <v>900104007</v>
      </c>
      <c r="D136" t="s">
        <v>1519</v>
      </c>
      <c r="E136" t="s">
        <v>1520</v>
      </c>
      <c r="F136" t="s">
        <v>1521</v>
      </c>
      <c r="G136">
        <v>3812122862</v>
      </c>
      <c r="H136" t="s">
        <v>1518</v>
      </c>
      <c r="I136" t="s">
        <v>1522</v>
      </c>
      <c r="J136" t="s">
        <v>6</v>
      </c>
      <c r="K136">
        <v>3816434012</v>
      </c>
      <c r="L136" t="s">
        <v>1336</v>
      </c>
      <c r="M136" t="s">
        <v>1402</v>
      </c>
      <c r="N136" t="s">
        <v>8</v>
      </c>
      <c r="O136">
        <v>3813023583</v>
      </c>
      <c r="P136" t="s">
        <v>1523</v>
      </c>
      <c r="Q136" t="s">
        <v>1524</v>
      </c>
      <c r="R136">
        <v>14</v>
      </c>
      <c r="S136">
        <v>6</v>
      </c>
      <c r="T136">
        <v>77</v>
      </c>
      <c r="U136">
        <v>107</v>
      </c>
      <c r="V136">
        <v>167</v>
      </c>
      <c r="W136">
        <v>18</v>
      </c>
    </row>
    <row r="137" spans="1:23" x14ac:dyDescent="0.2">
      <c r="A137" s="6">
        <v>45797.365636574075</v>
      </c>
      <c r="B137" t="s">
        <v>1525</v>
      </c>
      <c r="C137">
        <v>60067400</v>
      </c>
      <c r="D137" t="s">
        <v>1526</v>
      </c>
      <c r="E137" t="s">
        <v>1527</v>
      </c>
      <c r="F137" t="s">
        <v>1528</v>
      </c>
      <c r="G137">
        <v>2221480589</v>
      </c>
      <c r="H137" t="s">
        <v>1529</v>
      </c>
      <c r="I137" t="s">
        <v>1530</v>
      </c>
      <c r="J137" t="s">
        <v>33</v>
      </c>
      <c r="K137">
        <v>2215933617</v>
      </c>
      <c r="L137" t="s">
        <v>1531</v>
      </c>
      <c r="M137" t="s">
        <v>1532</v>
      </c>
      <c r="N137" t="s">
        <v>36</v>
      </c>
      <c r="O137">
        <v>2223674609</v>
      </c>
      <c r="P137" t="s">
        <v>1525</v>
      </c>
      <c r="Q137" t="s">
        <v>1533</v>
      </c>
      <c r="R137">
        <v>13</v>
      </c>
      <c r="S137">
        <v>2</v>
      </c>
      <c r="T137">
        <v>14</v>
      </c>
      <c r="U137">
        <v>24</v>
      </c>
      <c r="V137">
        <v>6</v>
      </c>
      <c r="W137">
        <v>13</v>
      </c>
    </row>
    <row r="138" spans="1:23" x14ac:dyDescent="0.2">
      <c r="A138" s="6">
        <v>45797.425254629627</v>
      </c>
      <c r="B138" t="s">
        <v>2294</v>
      </c>
      <c r="C138">
        <v>100024500</v>
      </c>
      <c r="D138" t="s">
        <v>1534</v>
      </c>
      <c r="E138" t="s">
        <v>2295</v>
      </c>
      <c r="F138" t="s">
        <v>2296</v>
      </c>
      <c r="G138">
        <v>3835</v>
      </c>
      <c r="H138" t="s">
        <v>2294</v>
      </c>
      <c r="I138" t="s">
        <v>2297</v>
      </c>
      <c r="J138" t="s">
        <v>6</v>
      </c>
      <c r="K138">
        <v>3835</v>
      </c>
      <c r="L138" t="s">
        <v>2294</v>
      </c>
      <c r="M138" t="s">
        <v>2298</v>
      </c>
      <c r="N138" t="s">
        <v>36</v>
      </c>
      <c r="O138">
        <v>3835</v>
      </c>
      <c r="P138" t="s">
        <v>2294</v>
      </c>
      <c r="Q138">
        <v>14</v>
      </c>
      <c r="R138">
        <v>33</v>
      </c>
      <c r="S138">
        <v>3</v>
      </c>
      <c r="T138">
        <v>20</v>
      </c>
      <c r="U138">
        <v>30</v>
      </c>
      <c r="V138">
        <v>70</v>
      </c>
      <c r="W138">
        <v>3</v>
      </c>
    </row>
    <row r="139" spans="1:23" x14ac:dyDescent="0.2">
      <c r="A139" s="6">
        <v>45797.460706018515</v>
      </c>
      <c r="B139" t="s">
        <v>1535</v>
      </c>
      <c r="C139">
        <v>100033700</v>
      </c>
      <c r="D139" t="s">
        <v>1536</v>
      </c>
      <c r="E139" t="s">
        <v>1537</v>
      </c>
      <c r="F139" t="s">
        <v>1538</v>
      </c>
      <c r="G139" t="s">
        <v>1539</v>
      </c>
      <c r="H139" t="s">
        <v>1535</v>
      </c>
      <c r="I139" t="s">
        <v>1540</v>
      </c>
      <c r="J139" t="s">
        <v>6</v>
      </c>
      <c r="K139">
        <v>3835520264</v>
      </c>
      <c r="L139" t="s">
        <v>1541</v>
      </c>
      <c r="M139" t="s">
        <v>1542</v>
      </c>
      <c r="N139" t="s">
        <v>55</v>
      </c>
      <c r="O139">
        <v>3834903263</v>
      </c>
      <c r="P139" t="s">
        <v>1543</v>
      </c>
      <c r="Q139" t="s">
        <v>2209</v>
      </c>
      <c r="R139">
        <v>41</v>
      </c>
      <c r="S139">
        <v>5</v>
      </c>
      <c r="T139">
        <v>56</v>
      </c>
      <c r="U139">
        <v>91</v>
      </c>
      <c r="V139">
        <v>239</v>
      </c>
      <c r="W139">
        <v>0</v>
      </c>
    </row>
    <row r="140" spans="1:23" x14ac:dyDescent="0.2">
      <c r="A140" s="6">
        <v>45797.473692129628</v>
      </c>
      <c r="B140" t="s">
        <v>1544</v>
      </c>
      <c r="C140">
        <v>100089900</v>
      </c>
      <c r="D140" t="s">
        <v>1545</v>
      </c>
      <c r="E140" t="s">
        <v>1546</v>
      </c>
      <c r="F140" t="s">
        <v>1547</v>
      </c>
      <c r="H140" t="s">
        <v>1548</v>
      </c>
      <c r="I140" t="s">
        <v>1549</v>
      </c>
      <c r="J140" t="s">
        <v>6</v>
      </c>
      <c r="K140">
        <v>3834536210</v>
      </c>
      <c r="L140" t="s">
        <v>1544</v>
      </c>
      <c r="M140" t="s">
        <v>1549</v>
      </c>
      <c r="N140" t="s">
        <v>6</v>
      </c>
      <c r="O140">
        <v>3834536210</v>
      </c>
      <c r="P140" t="s">
        <v>1550</v>
      </c>
      <c r="Q140" t="s">
        <v>1551</v>
      </c>
      <c r="R140">
        <v>53</v>
      </c>
      <c r="S140">
        <v>16</v>
      </c>
      <c r="T140">
        <v>295</v>
      </c>
      <c r="U140">
        <v>138</v>
      </c>
      <c r="V140">
        <v>59</v>
      </c>
      <c r="W140">
        <v>65</v>
      </c>
    </row>
    <row r="141" spans="1:23" ht="121.5" x14ac:dyDescent="0.2">
      <c r="A141" s="6">
        <v>45797.477870370371</v>
      </c>
      <c r="B141" t="s">
        <v>1039</v>
      </c>
      <c r="C141">
        <v>60797800</v>
      </c>
      <c r="D141" s="7" t="s">
        <v>1040</v>
      </c>
      <c r="E141" t="s">
        <v>2127</v>
      </c>
      <c r="F141" t="s">
        <v>2210</v>
      </c>
      <c r="G141" t="s">
        <v>1042</v>
      </c>
      <c r="H141" t="s">
        <v>1039</v>
      </c>
      <c r="I141" t="s">
        <v>1043</v>
      </c>
      <c r="J141" t="s">
        <v>33</v>
      </c>
      <c r="K141" t="s">
        <v>1042</v>
      </c>
      <c r="L141" t="s">
        <v>1044</v>
      </c>
      <c r="M141" t="s">
        <v>1045</v>
      </c>
      <c r="N141" t="s">
        <v>55</v>
      </c>
      <c r="O141" t="s">
        <v>1046</v>
      </c>
      <c r="P141" t="s">
        <v>1047</v>
      </c>
      <c r="Q141" t="s">
        <v>1524</v>
      </c>
      <c r="R141">
        <v>13</v>
      </c>
      <c r="S141">
        <v>1</v>
      </c>
      <c r="T141">
        <v>0</v>
      </c>
      <c r="U141">
        <v>15</v>
      </c>
      <c r="V141">
        <v>10</v>
      </c>
      <c r="W141">
        <v>3</v>
      </c>
    </row>
    <row r="142" spans="1:23" x14ac:dyDescent="0.2">
      <c r="A142" s="6">
        <v>45797.550821759258</v>
      </c>
      <c r="B142" t="s">
        <v>2299</v>
      </c>
      <c r="C142">
        <v>180067500</v>
      </c>
      <c r="D142" t="s">
        <v>2211</v>
      </c>
      <c r="E142" t="s">
        <v>1552</v>
      </c>
      <c r="F142" t="s">
        <v>1553</v>
      </c>
      <c r="G142" t="s">
        <v>1554</v>
      </c>
      <c r="H142" t="s">
        <v>1555</v>
      </c>
      <c r="I142" t="s">
        <v>1556</v>
      </c>
      <c r="J142" t="s">
        <v>6</v>
      </c>
      <c r="K142">
        <v>3774419067</v>
      </c>
      <c r="L142" t="s">
        <v>1555</v>
      </c>
      <c r="M142" t="s">
        <v>1557</v>
      </c>
      <c r="N142" t="s">
        <v>17</v>
      </c>
      <c r="O142">
        <v>3774500444</v>
      </c>
      <c r="P142" t="s">
        <v>1558</v>
      </c>
      <c r="Q142" t="s">
        <v>1559</v>
      </c>
      <c r="R142">
        <v>14</v>
      </c>
      <c r="S142">
        <v>3</v>
      </c>
      <c r="T142">
        <v>52</v>
      </c>
      <c r="U142">
        <v>45</v>
      </c>
      <c r="V142">
        <v>33</v>
      </c>
      <c r="W142">
        <v>33</v>
      </c>
    </row>
    <row r="143" spans="1:23" x14ac:dyDescent="0.2">
      <c r="A143" s="6">
        <v>45797.589849537035</v>
      </c>
      <c r="B143" t="s">
        <v>1560</v>
      </c>
      <c r="C143">
        <v>62210300</v>
      </c>
      <c r="D143" t="s">
        <v>1561</v>
      </c>
      <c r="E143" t="s">
        <v>294</v>
      </c>
      <c r="F143" t="s">
        <v>1562</v>
      </c>
      <c r="H143" t="s">
        <v>1560</v>
      </c>
      <c r="I143" t="s">
        <v>1563</v>
      </c>
      <c r="J143" t="s">
        <v>33</v>
      </c>
      <c r="K143" t="s">
        <v>1564</v>
      </c>
      <c r="L143" t="s">
        <v>1565</v>
      </c>
      <c r="M143" t="s">
        <v>1566</v>
      </c>
      <c r="N143" t="s">
        <v>36</v>
      </c>
      <c r="O143" t="s">
        <v>1567</v>
      </c>
      <c r="P143" t="s">
        <v>1568</v>
      </c>
      <c r="Q143" t="s">
        <v>1581</v>
      </c>
      <c r="R143">
        <v>273</v>
      </c>
      <c r="S143">
        <v>156</v>
      </c>
      <c r="T143">
        <v>2730</v>
      </c>
      <c r="U143">
        <v>240</v>
      </c>
      <c r="V143">
        <v>1616</v>
      </c>
      <c r="W143">
        <v>868</v>
      </c>
    </row>
    <row r="144" spans="1:23" x14ac:dyDescent="0.2">
      <c r="A144" s="6">
        <v>45797.596574074072</v>
      </c>
      <c r="B144" t="s">
        <v>1560</v>
      </c>
      <c r="C144">
        <v>62210301</v>
      </c>
      <c r="D144" t="s">
        <v>1569</v>
      </c>
      <c r="E144" t="s">
        <v>1570</v>
      </c>
      <c r="F144" t="s">
        <v>1571</v>
      </c>
      <c r="H144" t="s">
        <v>1565</v>
      </c>
      <c r="I144" t="s">
        <v>1563</v>
      </c>
      <c r="J144" t="s">
        <v>33</v>
      </c>
      <c r="K144" t="s">
        <v>1572</v>
      </c>
      <c r="L144" t="s">
        <v>1565</v>
      </c>
      <c r="M144" t="s">
        <v>1566</v>
      </c>
      <c r="N144" t="s">
        <v>36</v>
      </c>
      <c r="O144" t="s">
        <v>1573</v>
      </c>
      <c r="P144" t="s">
        <v>1574</v>
      </c>
      <c r="Q144" t="s">
        <v>1581</v>
      </c>
      <c r="R144">
        <v>7</v>
      </c>
      <c r="S144">
        <v>4</v>
      </c>
      <c r="T144">
        <v>70</v>
      </c>
      <c r="U144">
        <v>0</v>
      </c>
      <c r="V144">
        <v>0</v>
      </c>
      <c r="W144">
        <v>8</v>
      </c>
    </row>
    <row r="145" spans="1:23" x14ac:dyDescent="0.2">
      <c r="A145" s="6">
        <v>45797.600474537037</v>
      </c>
      <c r="B145" t="s">
        <v>1560</v>
      </c>
      <c r="C145">
        <v>62210302</v>
      </c>
      <c r="D145" t="s">
        <v>1575</v>
      </c>
      <c r="E145" t="s">
        <v>2212</v>
      </c>
      <c r="F145" t="s">
        <v>2213</v>
      </c>
      <c r="H145" t="s">
        <v>1565</v>
      </c>
      <c r="I145" t="s">
        <v>1563</v>
      </c>
      <c r="J145" t="s">
        <v>33</v>
      </c>
      <c r="K145" t="s">
        <v>1576</v>
      </c>
      <c r="L145" t="s">
        <v>1565</v>
      </c>
      <c r="M145" t="s">
        <v>1566</v>
      </c>
      <c r="N145" t="s">
        <v>36</v>
      </c>
      <c r="O145" t="s">
        <v>1577</v>
      </c>
      <c r="P145" t="s">
        <v>1574</v>
      </c>
      <c r="Q145" t="s">
        <v>2214</v>
      </c>
      <c r="R145">
        <v>7</v>
      </c>
      <c r="S145">
        <v>4</v>
      </c>
      <c r="T145">
        <v>70</v>
      </c>
      <c r="U145">
        <v>0</v>
      </c>
      <c r="V145">
        <v>82</v>
      </c>
      <c r="W145">
        <v>45</v>
      </c>
    </row>
    <row r="146" spans="1:23" x14ac:dyDescent="0.2">
      <c r="A146" s="6">
        <v>45797.604386574072</v>
      </c>
      <c r="B146" t="s">
        <v>1560</v>
      </c>
      <c r="C146">
        <v>62210303</v>
      </c>
      <c r="D146" t="s">
        <v>1578</v>
      </c>
      <c r="E146" t="s">
        <v>294</v>
      </c>
      <c r="F146" t="s">
        <v>1579</v>
      </c>
      <c r="H146" t="s">
        <v>1565</v>
      </c>
      <c r="I146" t="s">
        <v>1563</v>
      </c>
      <c r="J146" t="s">
        <v>33</v>
      </c>
      <c r="K146" t="s">
        <v>1576</v>
      </c>
      <c r="L146" t="s">
        <v>1565</v>
      </c>
      <c r="M146" t="s">
        <v>1566</v>
      </c>
      <c r="N146" t="s">
        <v>36</v>
      </c>
      <c r="O146" t="s">
        <v>1580</v>
      </c>
      <c r="P146" t="s">
        <v>1574</v>
      </c>
      <c r="Q146" t="s">
        <v>1581</v>
      </c>
      <c r="R146">
        <v>15</v>
      </c>
      <c r="S146">
        <v>8</v>
      </c>
      <c r="T146">
        <v>70</v>
      </c>
      <c r="U146">
        <v>64</v>
      </c>
      <c r="V146">
        <v>0</v>
      </c>
      <c r="W146">
        <v>0</v>
      </c>
    </row>
    <row r="147" spans="1:23" x14ac:dyDescent="0.2">
      <c r="A147" s="6">
        <v>45797.609027777777</v>
      </c>
      <c r="B147" t="s">
        <v>1560</v>
      </c>
      <c r="C147">
        <v>62210304</v>
      </c>
      <c r="D147" t="s">
        <v>1582</v>
      </c>
      <c r="E147" t="s">
        <v>684</v>
      </c>
      <c r="F147" t="s">
        <v>1583</v>
      </c>
      <c r="H147" t="s">
        <v>1565</v>
      </c>
      <c r="I147" t="s">
        <v>1563</v>
      </c>
      <c r="J147" t="s">
        <v>33</v>
      </c>
      <c r="K147" t="s">
        <v>1584</v>
      </c>
      <c r="L147" t="s">
        <v>1565</v>
      </c>
      <c r="M147" t="s">
        <v>1566</v>
      </c>
      <c r="N147" t="s">
        <v>36</v>
      </c>
      <c r="O147" t="s">
        <v>1580</v>
      </c>
      <c r="P147" t="s">
        <v>1574</v>
      </c>
      <c r="Q147" t="s">
        <v>1581</v>
      </c>
      <c r="R147">
        <v>13</v>
      </c>
      <c r="S147">
        <v>14</v>
      </c>
      <c r="T147">
        <v>70</v>
      </c>
      <c r="U147">
        <v>0</v>
      </c>
      <c r="V147">
        <v>76</v>
      </c>
      <c r="W147">
        <v>24</v>
      </c>
    </row>
    <row r="148" spans="1:23" x14ac:dyDescent="0.2">
      <c r="A148" s="6">
        <v>45797.613310185188</v>
      </c>
      <c r="B148" t="s">
        <v>1565</v>
      </c>
      <c r="C148">
        <v>62210305</v>
      </c>
      <c r="D148" t="s">
        <v>1585</v>
      </c>
      <c r="E148" t="s">
        <v>2215</v>
      </c>
      <c r="F148" t="s">
        <v>1586</v>
      </c>
      <c r="H148" t="s">
        <v>1565</v>
      </c>
      <c r="I148" t="s">
        <v>1563</v>
      </c>
      <c r="J148" t="s">
        <v>33</v>
      </c>
      <c r="K148" t="s">
        <v>1576</v>
      </c>
      <c r="L148" t="s">
        <v>1565</v>
      </c>
      <c r="M148" t="s">
        <v>1566</v>
      </c>
      <c r="N148" t="s">
        <v>36</v>
      </c>
      <c r="O148" t="s">
        <v>1580</v>
      </c>
      <c r="P148" t="s">
        <v>1574</v>
      </c>
      <c r="Q148" t="s">
        <v>1581</v>
      </c>
      <c r="R148">
        <v>7</v>
      </c>
      <c r="S148">
        <v>4</v>
      </c>
      <c r="T148">
        <v>70</v>
      </c>
      <c r="U148">
        <v>0</v>
      </c>
      <c r="V148">
        <v>0</v>
      </c>
      <c r="W148">
        <v>35</v>
      </c>
    </row>
    <row r="149" spans="1:23" x14ac:dyDescent="0.2">
      <c r="A149" s="6">
        <v>45797.614421296297</v>
      </c>
      <c r="B149" t="s">
        <v>2300</v>
      </c>
      <c r="C149">
        <v>180145100</v>
      </c>
      <c r="D149" t="s">
        <v>1587</v>
      </c>
      <c r="E149" t="s">
        <v>2216</v>
      </c>
      <c r="F149" t="s">
        <v>2217</v>
      </c>
      <c r="G149">
        <v>3794751341</v>
      </c>
      <c r="H149" t="s">
        <v>1588</v>
      </c>
      <c r="I149" t="s">
        <v>2218</v>
      </c>
      <c r="J149" t="s">
        <v>6</v>
      </c>
      <c r="K149">
        <v>3794751341</v>
      </c>
      <c r="L149" t="s">
        <v>1588</v>
      </c>
      <c r="M149" t="s">
        <v>1589</v>
      </c>
      <c r="N149" t="s">
        <v>17</v>
      </c>
      <c r="O149">
        <v>3624741038</v>
      </c>
      <c r="P149" t="s">
        <v>1590</v>
      </c>
      <c r="Q149" t="s">
        <v>1591</v>
      </c>
      <c r="R149">
        <v>17</v>
      </c>
      <c r="S149">
        <v>2</v>
      </c>
      <c r="T149">
        <v>37</v>
      </c>
      <c r="U149">
        <v>39</v>
      </c>
      <c r="V149">
        <v>18</v>
      </c>
      <c r="W149">
        <v>10</v>
      </c>
    </row>
    <row r="150" spans="1:23" x14ac:dyDescent="0.2">
      <c r="A150" s="6">
        <v>45797.616539351853</v>
      </c>
      <c r="B150" t="s">
        <v>1565</v>
      </c>
      <c r="C150">
        <v>62210306</v>
      </c>
      <c r="D150" t="s">
        <v>1592</v>
      </c>
      <c r="E150" t="s">
        <v>2219</v>
      </c>
      <c r="F150" t="s">
        <v>1593</v>
      </c>
      <c r="H150" t="s">
        <v>1565</v>
      </c>
      <c r="I150" t="s">
        <v>1563</v>
      </c>
      <c r="J150" t="s">
        <v>33</v>
      </c>
      <c r="K150" t="s">
        <v>1576</v>
      </c>
      <c r="L150" t="s">
        <v>1565</v>
      </c>
      <c r="M150" t="s">
        <v>1566</v>
      </c>
      <c r="N150" t="s">
        <v>36</v>
      </c>
      <c r="O150" t="s">
        <v>1580</v>
      </c>
      <c r="P150" t="s">
        <v>1574</v>
      </c>
      <c r="Q150" t="s">
        <v>1581</v>
      </c>
      <c r="R150">
        <v>7</v>
      </c>
      <c r="S150">
        <v>4</v>
      </c>
      <c r="T150">
        <v>70</v>
      </c>
      <c r="U150">
        <v>0</v>
      </c>
      <c r="V150">
        <v>0</v>
      </c>
      <c r="W150">
        <v>17</v>
      </c>
    </row>
    <row r="151" spans="1:23" x14ac:dyDescent="0.2">
      <c r="A151" s="6">
        <v>45797.619768518518</v>
      </c>
      <c r="B151" t="s">
        <v>1565</v>
      </c>
      <c r="C151">
        <v>62210307</v>
      </c>
      <c r="D151" t="s">
        <v>1594</v>
      </c>
      <c r="E151" t="s">
        <v>1595</v>
      </c>
      <c r="F151" t="s">
        <v>1596</v>
      </c>
      <c r="H151" t="s">
        <v>1565</v>
      </c>
      <c r="I151" t="s">
        <v>1563</v>
      </c>
      <c r="J151" t="s">
        <v>33</v>
      </c>
      <c r="K151" t="s">
        <v>1576</v>
      </c>
      <c r="L151" t="s">
        <v>1565</v>
      </c>
      <c r="M151" t="s">
        <v>1566</v>
      </c>
      <c r="N151" t="s">
        <v>36</v>
      </c>
      <c r="O151" t="s">
        <v>1597</v>
      </c>
      <c r="P151" t="s">
        <v>1574</v>
      </c>
      <c r="Q151" t="s">
        <v>1581</v>
      </c>
      <c r="R151">
        <v>7</v>
      </c>
      <c r="S151">
        <v>4</v>
      </c>
      <c r="T151">
        <v>70</v>
      </c>
      <c r="U151">
        <v>0</v>
      </c>
      <c r="V151">
        <v>0</v>
      </c>
      <c r="W151">
        <v>8</v>
      </c>
    </row>
    <row r="152" spans="1:23" x14ac:dyDescent="0.2">
      <c r="A152" s="6">
        <v>45797.623148148145</v>
      </c>
      <c r="B152" t="s">
        <v>1560</v>
      </c>
      <c r="C152">
        <v>62210308</v>
      </c>
      <c r="D152" t="s">
        <v>1598</v>
      </c>
      <c r="E152" t="s">
        <v>428</v>
      </c>
      <c r="F152" t="s">
        <v>1599</v>
      </c>
      <c r="H152" t="s">
        <v>1565</v>
      </c>
      <c r="I152" t="s">
        <v>1563</v>
      </c>
      <c r="J152" t="s">
        <v>33</v>
      </c>
      <c r="K152" t="s">
        <v>1572</v>
      </c>
      <c r="L152" t="s">
        <v>1565</v>
      </c>
      <c r="M152" t="s">
        <v>1566</v>
      </c>
      <c r="N152" t="s">
        <v>36</v>
      </c>
      <c r="O152" t="s">
        <v>1600</v>
      </c>
      <c r="P152" t="s">
        <v>1574</v>
      </c>
      <c r="Q152" t="s">
        <v>1581</v>
      </c>
      <c r="R152">
        <v>13</v>
      </c>
      <c r="S152">
        <v>6</v>
      </c>
      <c r="T152">
        <v>70</v>
      </c>
      <c r="U152">
        <v>0</v>
      </c>
      <c r="V152">
        <v>26</v>
      </c>
      <c r="W152">
        <v>30</v>
      </c>
    </row>
    <row r="153" spans="1:23" x14ac:dyDescent="0.2">
      <c r="A153" s="6">
        <v>45797.627326388887</v>
      </c>
      <c r="B153" t="s">
        <v>1565</v>
      </c>
      <c r="C153">
        <v>62210309</v>
      </c>
      <c r="D153" t="s">
        <v>1601</v>
      </c>
      <c r="E153" t="s">
        <v>796</v>
      </c>
      <c r="F153" t="s">
        <v>1602</v>
      </c>
      <c r="H153" t="s">
        <v>1565</v>
      </c>
      <c r="I153" t="s">
        <v>1563</v>
      </c>
      <c r="J153" t="s">
        <v>33</v>
      </c>
      <c r="K153" t="s">
        <v>1572</v>
      </c>
      <c r="L153" t="s">
        <v>1565</v>
      </c>
      <c r="M153" t="s">
        <v>1566</v>
      </c>
      <c r="N153" t="s">
        <v>36</v>
      </c>
      <c r="O153" t="s">
        <v>1597</v>
      </c>
      <c r="P153" t="s">
        <v>1574</v>
      </c>
      <c r="Q153" t="s">
        <v>1581</v>
      </c>
      <c r="R153">
        <v>7</v>
      </c>
      <c r="S153">
        <v>4</v>
      </c>
      <c r="T153">
        <v>70</v>
      </c>
      <c r="U153">
        <v>0</v>
      </c>
      <c r="V153">
        <v>0</v>
      </c>
      <c r="W153">
        <v>46</v>
      </c>
    </row>
    <row r="154" spans="1:23" x14ac:dyDescent="0.2">
      <c r="A154" s="6">
        <v>45797.630694444444</v>
      </c>
      <c r="B154" t="s">
        <v>1565</v>
      </c>
      <c r="C154">
        <v>62210310</v>
      </c>
      <c r="D154" t="s">
        <v>1603</v>
      </c>
      <c r="E154" t="s">
        <v>1604</v>
      </c>
      <c r="F154" t="s">
        <v>1605</v>
      </c>
      <c r="H154" t="s">
        <v>1565</v>
      </c>
      <c r="I154" t="s">
        <v>1563</v>
      </c>
      <c r="J154" t="s">
        <v>33</v>
      </c>
      <c r="K154" t="s">
        <v>1572</v>
      </c>
      <c r="L154" t="s">
        <v>1565</v>
      </c>
      <c r="M154" t="s">
        <v>1566</v>
      </c>
      <c r="N154" t="s">
        <v>36</v>
      </c>
      <c r="O154" t="s">
        <v>1597</v>
      </c>
      <c r="P154" t="s">
        <v>1574</v>
      </c>
      <c r="Q154" t="s">
        <v>1581</v>
      </c>
      <c r="R154">
        <v>13</v>
      </c>
      <c r="S154">
        <v>8</v>
      </c>
      <c r="T154">
        <v>70</v>
      </c>
      <c r="U154">
        <v>0</v>
      </c>
      <c r="V154">
        <v>32</v>
      </c>
      <c r="W154">
        <v>30</v>
      </c>
    </row>
    <row r="155" spans="1:23" x14ac:dyDescent="0.2">
      <c r="A155" s="6">
        <v>45797.634351851855</v>
      </c>
      <c r="B155" t="s">
        <v>1565</v>
      </c>
      <c r="C155">
        <v>62210311</v>
      </c>
      <c r="D155" t="s">
        <v>1606</v>
      </c>
      <c r="E155" t="s">
        <v>1607</v>
      </c>
      <c r="F155" t="s">
        <v>1608</v>
      </c>
      <c r="H155" t="s">
        <v>1565</v>
      </c>
      <c r="I155" t="s">
        <v>1563</v>
      </c>
      <c r="J155" t="s">
        <v>33</v>
      </c>
      <c r="K155" t="s">
        <v>1609</v>
      </c>
      <c r="L155" t="s">
        <v>1565</v>
      </c>
      <c r="M155" t="s">
        <v>1566</v>
      </c>
      <c r="N155" t="s">
        <v>36</v>
      </c>
      <c r="O155" t="s">
        <v>1610</v>
      </c>
      <c r="P155" t="s">
        <v>1574</v>
      </c>
      <c r="Q155" t="s">
        <v>1611</v>
      </c>
      <c r="R155">
        <v>6</v>
      </c>
      <c r="S155">
        <v>4</v>
      </c>
      <c r="T155">
        <v>0</v>
      </c>
      <c r="U155">
        <v>0</v>
      </c>
      <c r="V155">
        <v>32</v>
      </c>
      <c r="W155">
        <v>0</v>
      </c>
    </row>
    <row r="156" spans="1:23" x14ac:dyDescent="0.2">
      <c r="A156" s="6">
        <v>45797.637291666666</v>
      </c>
      <c r="B156" t="s">
        <v>1565</v>
      </c>
      <c r="C156">
        <v>62210312</v>
      </c>
      <c r="D156" t="s">
        <v>1612</v>
      </c>
      <c r="E156" t="s">
        <v>1613</v>
      </c>
      <c r="F156" t="s">
        <v>1614</v>
      </c>
      <c r="H156" t="s">
        <v>1565</v>
      </c>
      <c r="I156" t="s">
        <v>1563</v>
      </c>
      <c r="J156" t="s">
        <v>33</v>
      </c>
      <c r="K156">
        <v>2214292700</v>
      </c>
      <c r="L156" t="s">
        <v>1565</v>
      </c>
      <c r="M156" t="s">
        <v>1566</v>
      </c>
      <c r="N156" t="s">
        <v>36</v>
      </c>
      <c r="O156">
        <v>2214292700</v>
      </c>
      <c r="P156" t="s">
        <v>1574</v>
      </c>
      <c r="Q156" t="s">
        <v>1611</v>
      </c>
      <c r="R156">
        <v>7</v>
      </c>
      <c r="S156">
        <v>4</v>
      </c>
      <c r="T156">
        <v>70</v>
      </c>
      <c r="U156">
        <v>0</v>
      </c>
      <c r="V156">
        <v>0</v>
      </c>
      <c r="W156">
        <v>0</v>
      </c>
    </row>
    <row r="157" spans="1:23" ht="121.5" x14ac:dyDescent="0.2">
      <c r="A157" s="6">
        <v>45797.762731481482</v>
      </c>
      <c r="B157" t="s">
        <v>1615</v>
      </c>
      <c r="C157">
        <v>60950000</v>
      </c>
      <c r="D157" s="7" t="s">
        <v>1616</v>
      </c>
      <c r="E157" t="s">
        <v>2220</v>
      </c>
      <c r="F157" t="s">
        <v>1617</v>
      </c>
      <c r="G157">
        <v>2296454806</v>
      </c>
      <c r="H157" t="s">
        <v>1615</v>
      </c>
      <c r="I157" t="s">
        <v>1618</v>
      </c>
      <c r="J157" t="s">
        <v>33</v>
      </c>
      <c r="K157">
        <v>2494484041</v>
      </c>
      <c r="L157" t="s">
        <v>1619</v>
      </c>
      <c r="M157" t="s">
        <v>1620</v>
      </c>
      <c r="N157" t="s">
        <v>36</v>
      </c>
      <c r="O157">
        <v>2494531049</v>
      </c>
      <c r="P157" t="s">
        <v>1621</v>
      </c>
      <c r="Q157" t="s">
        <v>1622</v>
      </c>
      <c r="R157">
        <v>10</v>
      </c>
      <c r="S157">
        <v>2</v>
      </c>
      <c r="T157">
        <v>35</v>
      </c>
      <c r="U157">
        <v>20</v>
      </c>
      <c r="V157">
        <v>0</v>
      </c>
      <c r="W157">
        <v>4</v>
      </c>
    </row>
    <row r="158" spans="1:23" ht="148.5" x14ac:dyDescent="0.2">
      <c r="A158" s="6">
        <v>45797.795104166667</v>
      </c>
      <c r="B158" t="s">
        <v>1623</v>
      </c>
      <c r="C158">
        <v>60767300</v>
      </c>
      <c r="D158" s="7" t="s">
        <v>1624</v>
      </c>
      <c r="E158" t="s">
        <v>1625</v>
      </c>
      <c r="F158" t="s">
        <v>1626</v>
      </c>
      <c r="G158" t="s">
        <v>2221</v>
      </c>
      <c r="H158" t="s">
        <v>1623</v>
      </c>
      <c r="I158" t="s">
        <v>1627</v>
      </c>
      <c r="J158" t="s">
        <v>33</v>
      </c>
      <c r="K158" t="s">
        <v>1628</v>
      </c>
      <c r="L158" t="s">
        <v>1629</v>
      </c>
      <c r="M158" t="s">
        <v>1630</v>
      </c>
      <c r="N158" t="s">
        <v>55</v>
      </c>
      <c r="O158" t="s">
        <v>1631</v>
      </c>
      <c r="P158" t="s">
        <v>1632</v>
      </c>
      <c r="Q158" t="s">
        <v>1633</v>
      </c>
      <c r="R158">
        <v>17</v>
      </c>
      <c r="S158">
        <v>6</v>
      </c>
      <c r="T158">
        <v>100</v>
      </c>
      <c r="U158">
        <v>63</v>
      </c>
      <c r="V158">
        <v>44</v>
      </c>
      <c r="W158">
        <v>17</v>
      </c>
    </row>
    <row r="159" spans="1:23" ht="121.5" x14ac:dyDescent="0.2">
      <c r="A159" s="6">
        <v>45797.801412037035</v>
      </c>
      <c r="B159" t="s">
        <v>1634</v>
      </c>
      <c r="C159">
        <v>940003200</v>
      </c>
      <c r="D159" t="s">
        <v>1635</v>
      </c>
      <c r="E159" t="s">
        <v>1636</v>
      </c>
      <c r="F159" t="s">
        <v>1637</v>
      </c>
      <c r="G159" t="s">
        <v>2222</v>
      </c>
      <c r="H159" t="s">
        <v>1638</v>
      </c>
      <c r="I159" t="s">
        <v>1639</v>
      </c>
      <c r="J159" t="s">
        <v>6</v>
      </c>
      <c r="K159">
        <v>2964505640</v>
      </c>
      <c r="L159" t="s">
        <v>1634</v>
      </c>
      <c r="M159" t="s">
        <v>1640</v>
      </c>
      <c r="N159" t="s">
        <v>17</v>
      </c>
      <c r="O159">
        <v>2964540912</v>
      </c>
      <c r="P159" t="s">
        <v>1641</v>
      </c>
      <c r="Q159" s="7" t="s">
        <v>2223</v>
      </c>
      <c r="R159">
        <v>66</v>
      </c>
      <c r="S159">
        <v>33</v>
      </c>
      <c r="T159">
        <v>200</v>
      </c>
      <c r="U159">
        <v>118</v>
      </c>
      <c r="V159">
        <v>113</v>
      </c>
      <c r="W159">
        <v>19</v>
      </c>
    </row>
    <row r="160" spans="1:23" ht="148.5" x14ac:dyDescent="0.2">
      <c r="A160" s="6">
        <v>45797.807395833333</v>
      </c>
      <c r="B160" t="s">
        <v>1642</v>
      </c>
      <c r="C160">
        <v>60956100</v>
      </c>
      <c r="D160" s="7" t="s">
        <v>1643</v>
      </c>
      <c r="E160" t="s">
        <v>2224</v>
      </c>
      <c r="F160" t="s">
        <v>1644</v>
      </c>
      <c r="H160" t="s">
        <v>1642</v>
      </c>
      <c r="I160" t="s">
        <v>1645</v>
      </c>
      <c r="J160" t="s">
        <v>33</v>
      </c>
      <c r="K160">
        <v>2473472056</v>
      </c>
      <c r="L160" t="s">
        <v>1646</v>
      </c>
      <c r="M160" t="s">
        <v>1647</v>
      </c>
      <c r="N160" t="s">
        <v>55</v>
      </c>
      <c r="O160">
        <v>2473417639</v>
      </c>
      <c r="P160" t="s">
        <v>1648</v>
      </c>
      <c r="Q160" t="s">
        <v>498</v>
      </c>
      <c r="R160">
        <v>10</v>
      </c>
      <c r="S160">
        <v>2</v>
      </c>
      <c r="T160">
        <v>43</v>
      </c>
      <c r="U160">
        <v>16</v>
      </c>
      <c r="V160">
        <v>20</v>
      </c>
      <c r="W160">
        <v>22</v>
      </c>
    </row>
    <row r="161" spans="1:23" x14ac:dyDescent="0.2">
      <c r="A161" s="6">
        <v>45797.81890046296</v>
      </c>
      <c r="B161" t="s">
        <v>2301</v>
      </c>
      <c r="C161">
        <v>180141400</v>
      </c>
      <c r="D161" t="s">
        <v>1649</v>
      </c>
      <c r="E161" t="s">
        <v>1650</v>
      </c>
      <c r="F161" t="s">
        <v>1651</v>
      </c>
      <c r="G161" t="s">
        <v>1652</v>
      </c>
      <c r="H161" t="s">
        <v>1653</v>
      </c>
      <c r="I161" t="s">
        <v>1654</v>
      </c>
      <c r="J161" t="s">
        <v>6</v>
      </c>
      <c r="K161" t="s">
        <v>1652</v>
      </c>
      <c r="L161" t="s">
        <v>1653</v>
      </c>
      <c r="M161" t="s">
        <v>1655</v>
      </c>
      <c r="N161" t="s">
        <v>17</v>
      </c>
      <c r="O161" t="s">
        <v>1656</v>
      </c>
      <c r="P161" t="s">
        <v>1657</v>
      </c>
      <c r="Q161" t="s">
        <v>1658</v>
      </c>
      <c r="R161">
        <v>19</v>
      </c>
      <c r="S161">
        <v>2</v>
      </c>
      <c r="T161">
        <v>46</v>
      </c>
      <c r="U161">
        <v>34</v>
      </c>
      <c r="V161">
        <v>33</v>
      </c>
      <c r="W161">
        <v>18</v>
      </c>
    </row>
    <row r="162" spans="1:23" ht="162" x14ac:dyDescent="0.2">
      <c r="A162" s="6">
        <v>45797.819652777776</v>
      </c>
      <c r="B162" t="s">
        <v>1659</v>
      </c>
      <c r="C162">
        <v>60770900</v>
      </c>
      <c r="D162" s="7" t="s">
        <v>1660</v>
      </c>
      <c r="E162" t="s">
        <v>1661</v>
      </c>
      <c r="F162" t="s">
        <v>1662</v>
      </c>
      <c r="G162" t="s">
        <v>1663</v>
      </c>
      <c r="H162" t="s">
        <v>1659</v>
      </c>
      <c r="I162" t="s">
        <v>1664</v>
      </c>
      <c r="J162" t="s">
        <v>33</v>
      </c>
      <c r="K162" t="s">
        <v>1665</v>
      </c>
      <c r="L162" t="s">
        <v>1666</v>
      </c>
      <c r="M162" t="s">
        <v>1664</v>
      </c>
      <c r="N162" t="s">
        <v>8</v>
      </c>
      <c r="O162" t="s">
        <v>1663</v>
      </c>
      <c r="P162" t="s">
        <v>1659</v>
      </c>
      <c r="Q162" t="s">
        <v>1667</v>
      </c>
      <c r="R162">
        <v>13</v>
      </c>
      <c r="S162">
        <v>4</v>
      </c>
      <c r="T162">
        <v>26</v>
      </c>
      <c r="U162">
        <v>18</v>
      </c>
      <c r="V162">
        <v>19</v>
      </c>
      <c r="W162">
        <v>8</v>
      </c>
    </row>
    <row r="163" spans="1:23" x14ac:dyDescent="0.2">
      <c r="A163" s="6">
        <v>45797.819722222222</v>
      </c>
      <c r="B163" t="s">
        <v>2302</v>
      </c>
      <c r="C163">
        <v>180141400</v>
      </c>
      <c r="D163" t="s">
        <v>1649</v>
      </c>
      <c r="E163" t="s">
        <v>2303</v>
      </c>
      <c r="F163" t="s">
        <v>2304</v>
      </c>
      <c r="G163">
        <v>3775407277</v>
      </c>
      <c r="H163" t="s">
        <v>2302</v>
      </c>
      <c r="I163" t="s">
        <v>2305</v>
      </c>
      <c r="J163" t="s">
        <v>6</v>
      </c>
      <c r="K163">
        <v>3773473256</v>
      </c>
      <c r="L163" t="s">
        <v>1653</v>
      </c>
      <c r="M163" t="s">
        <v>2306</v>
      </c>
      <c r="N163" t="s">
        <v>17</v>
      </c>
      <c r="O163">
        <v>3775435945</v>
      </c>
      <c r="P163" t="s">
        <v>2307</v>
      </c>
      <c r="Q163" t="s">
        <v>2308</v>
      </c>
      <c r="R163">
        <v>8</v>
      </c>
      <c r="S163">
        <v>1</v>
      </c>
      <c r="T163">
        <v>27</v>
      </c>
      <c r="U163">
        <v>0</v>
      </c>
      <c r="V163">
        <v>0</v>
      </c>
      <c r="W163">
        <v>10</v>
      </c>
    </row>
    <row r="164" spans="1:23" x14ac:dyDescent="0.2">
      <c r="A164" s="6">
        <v>45797.829780092594</v>
      </c>
      <c r="B164" t="s">
        <v>1668</v>
      </c>
      <c r="C164">
        <v>61302600</v>
      </c>
      <c r="D164" t="s">
        <v>1669</v>
      </c>
      <c r="E164" t="s">
        <v>2225</v>
      </c>
      <c r="F164" t="s">
        <v>1670</v>
      </c>
      <c r="G164" t="s">
        <v>2226</v>
      </c>
      <c r="H164" t="s">
        <v>1668</v>
      </c>
      <c r="I164" t="s">
        <v>1671</v>
      </c>
      <c r="J164" t="s">
        <v>33</v>
      </c>
      <c r="K164" t="s">
        <v>1672</v>
      </c>
      <c r="L164" t="s">
        <v>1673</v>
      </c>
      <c r="M164" t="s">
        <v>1671</v>
      </c>
      <c r="N164" t="s">
        <v>8</v>
      </c>
      <c r="O164" t="s">
        <v>1672</v>
      </c>
      <c r="P164" t="s">
        <v>1673</v>
      </c>
      <c r="Q164" t="s">
        <v>1674</v>
      </c>
      <c r="R164">
        <v>15</v>
      </c>
      <c r="S164">
        <v>3</v>
      </c>
      <c r="T164">
        <v>50</v>
      </c>
      <c r="U164">
        <v>24</v>
      </c>
      <c r="V164">
        <v>16</v>
      </c>
      <c r="W164">
        <v>19</v>
      </c>
    </row>
    <row r="165" spans="1:23" x14ac:dyDescent="0.2">
      <c r="A165" s="6">
        <v>45797.855509259258</v>
      </c>
      <c r="B165" t="s">
        <v>1675</v>
      </c>
      <c r="C165">
        <v>60574400</v>
      </c>
      <c r="D165" t="s">
        <v>1676</v>
      </c>
      <c r="E165" t="s">
        <v>2227</v>
      </c>
      <c r="F165" t="s">
        <v>1677</v>
      </c>
      <c r="G165">
        <v>1161513271</v>
      </c>
      <c r="H165" t="s">
        <v>1675</v>
      </c>
      <c r="I165" t="s">
        <v>1678</v>
      </c>
      <c r="J165" t="s">
        <v>33</v>
      </c>
      <c r="K165">
        <v>1161513271</v>
      </c>
      <c r="L165" t="s">
        <v>1679</v>
      </c>
      <c r="M165" t="s">
        <v>1680</v>
      </c>
      <c r="N165" t="s">
        <v>55</v>
      </c>
      <c r="O165">
        <v>1155020343</v>
      </c>
      <c r="P165" t="s">
        <v>1681</v>
      </c>
      <c r="Q165" t="s">
        <v>1682</v>
      </c>
      <c r="R165">
        <v>13</v>
      </c>
      <c r="S165">
        <v>3</v>
      </c>
      <c r="T165">
        <v>74</v>
      </c>
      <c r="U165">
        <v>36</v>
      </c>
      <c r="V165">
        <v>20</v>
      </c>
      <c r="W165">
        <v>13</v>
      </c>
    </row>
    <row r="166" spans="1:23" x14ac:dyDescent="0.2">
      <c r="A166" s="6">
        <v>45797.875555555554</v>
      </c>
      <c r="B166" t="s">
        <v>1675</v>
      </c>
      <c r="C166">
        <v>60574400</v>
      </c>
      <c r="D166" t="s">
        <v>1676</v>
      </c>
      <c r="E166" t="s">
        <v>2227</v>
      </c>
      <c r="F166" t="s">
        <v>1677</v>
      </c>
      <c r="G166">
        <v>1161513271</v>
      </c>
      <c r="H166" t="s">
        <v>1675</v>
      </c>
      <c r="I166" t="s">
        <v>1678</v>
      </c>
      <c r="J166" t="s">
        <v>33</v>
      </c>
      <c r="K166">
        <v>1161513271</v>
      </c>
      <c r="L166" t="s">
        <v>1679</v>
      </c>
      <c r="M166" t="s">
        <v>2228</v>
      </c>
      <c r="N166" t="s">
        <v>55</v>
      </c>
      <c r="O166">
        <v>1155020343</v>
      </c>
      <c r="P166" t="s">
        <v>1681</v>
      </c>
      <c r="Q166" t="s">
        <v>1682</v>
      </c>
      <c r="R166">
        <v>13</v>
      </c>
      <c r="S166">
        <v>3</v>
      </c>
      <c r="T166">
        <v>71</v>
      </c>
      <c r="U166">
        <v>36</v>
      </c>
      <c r="V166">
        <v>16</v>
      </c>
      <c r="W166">
        <v>13</v>
      </c>
    </row>
    <row r="167" spans="1:23" x14ac:dyDescent="0.2">
      <c r="A167" s="6">
        <v>45797.878252314818</v>
      </c>
      <c r="B167" t="s">
        <v>2309</v>
      </c>
      <c r="C167">
        <v>940006500</v>
      </c>
      <c r="D167" t="s">
        <v>1683</v>
      </c>
      <c r="E167" t="s">
        <v>2229</v>
      </c>
      <c r="F167" t="s">
        <v>1684</v>
      </c>
      <c r="G167" t="s">
        <v>1685</v>
      </c>
      <c r="H167" t="s">
        <v>1686</v>
      </c>
      <c r="I167" t="s">
        <v>1687</v>
      </c>
      <c r="J167" t="s">
        <v>6</v>
      </c>
      <c r="K167">
        <v>2901612831</v>
      </c>
      <c r="L167" t="s">
        <v>1686</v>
      </c>
      <c r="M167" t="s">
        <v>1688</v>
      </c>
      <c r="N167" t="s">
        <v>17</v>
      </c>
      <c r="O167" t="s">
        <v>1689</v>
      </c>
      <c r="P167" t="s">
        <v>1690</v>
      </c>
      <c r="Q167" t="s">
        <v>2230</v>
      </c>
      <c r="R167">
        <v>80</v>
      </c>
      <c r="S167">
        <v>17</v>
      </c>
      <c r="T167">
        <v>261</v>
      </c>
      <c r="U167">
        <v>137</v>
      </c>
      <c r="V167">
        <v>73</v>
      </c>
      <c r="W167">
        <v>26</v>
      </c>
    </row>
    <row r="168" spans="1:23" x14ac:dyDescent="0.2">
      <c r="A168" s="6">
        <v>45797.881388888891</v>
      </c>
      <c r="B168" t="s">
        <v>1691</v>
      </c>
      <c r="C168">
        <v>180141300</v>
      </c>
      <c r="D168" t="s">
        <v>2231</v>
      </c>
      <c r="E168" t="s">
        <v>1692</v>
      </c>
      <c r="F168" t="s">
        <v>1693</v>
      </c>
      <c r="G168" t="s">
        <v>1694</v>
      </c>
      <c r="H168" t="s">
        <v>1691</v>
      </c>
      <c r="I168" t="s">
        <v>1695</v>
      </c>
      <c r="J168" t="s">
        <v>6</v>
      </c>
      <c r="K168" t="s">
        <v>1696</v>
      </c>
      <c r="L168" t="s">
        <v>1697</v>
      </c>
      <c r="M168" t="s">
        <v>1698</v>
      </c>
      <c r="N168" t="s">
        <v>17</v>
      </c>
      <c r="O168" t="s">
        <v>1694</v>
      </c>
      <c r="P168" t="s">
        <v>1691</v>
      </c>
      <c r="Q168" t="s">
        <v>1699</v>
      </c>
      <c r="R168">
        <v>18</v>
      </c>
      <c r="S168">
        <v>4</v>
      </c>
      <c r="T168">
        <v>68</v>
      </c>
      <c r="U168">
        <v>40</v>
      </c>
      <c r="V168">
        <v>41</v>
      </c>
      <c r="W168">
        <v>22</v>
      </c>
    </row>
    <row r="169" spans="1:23" x14ac:dyDescent="0.2">
      <c r="A169" s="6">
        <v>45797.906481481485</v>
      </c>
      <c r="B169" t="s">
        <v>1700</v>
      </c>
      <c r="C169">
        <v>180182900</v>
      </c>
      <c r="D169" t="s">
        <v>2232</v>
      </c>
      <c r="E169" t="s">
        <v>2233</v>
      </c>
      <c r="F169" t="s">
        <v>1701</v>
      </c>
      <c r="G169" t="s">
        <v>1702</v>
      </c>
      <c r="H169" t="s">
        <v>1700</v>
      </c>
      <c r="I169" t="s">
        <v>2234</v>
      </c>
      <c r="J169" t="s">
        <v>6</v>
      </c>
      <c r="K169">
        <v>3794221455</v>
      </c>
      <c r="L169" t="s">
        <v>1700</v>
      </c>
      <c r="M169" t="s">
        <v>2235</v>
      </c>
      <c r="N169" t="s">
        <v>17</v>
      </c>
      <c r="O169">
        <v>3794356946</v>
      </c>
      <c r="P169" t="s">
        <v>1703</v>
      </c>
      <c r="Q169" t="s">
        <v>1704</v>
      </c>
      <c r="R169">
        <v>13</v>
      </c>
      <c r="S169">
        <v>1</v>
      </c>
      <c r="T169">
        <v>26</v>
      </c>
      <c r="U169">
        <v>35</v>
      </c>
      <c r="V169">
        <v>37</v>
      </c>
      <c r="W169">
        <v>35</v>
      </c>
    </row>
    <row r="170" spans="1:23" x14ac:dyDescent="0.2">
      <c r="A170" s="6">
        <v>45797.921724537038</v>
      </c>
      <c r="B170" t="s">
        <v>1705</v>
      </c>
      <c r="C170">
        <v>62326400</v>
      </c>
      <c r="D170" t="s">
        <v>1706</v>
      </c>
      <c r="E170" t="s">
        <v>1707</v>
      </c>
      <c r="F170" t="s">
        <v>1708</v>
      </c>
      <c r="G170">
        <v>2242432111</v>
      </c>
      <c r="H170" t="s">
        <v>1705</v>
      </c>
      <c r="I170" t="s">
        <v>1709</v>
      </c>
      <c r="J170" t="s">
        <v>1987</v>
      </c>
      <c r="K170">
        <v>2241587135</v>
      </c>
      <c r="L170" t="s">
        <v>1710</v>
      </c>
      <c r="M170" t="s">
        <v>1711</v>
      </c>
      <c r="N170" t="s">
        <v>55</v>
      </c>
      <c r="O170">
        <v>2241466621</v>
      </c>
      <c r="P170" t="s">
        <v>1712</v>
      </c>
      <c r="Q170" t="s">
        <v>1713</v>
      </c>
      <c r="R170">
        <v>6</v>
      </c>
      <c r="S170">
        <v>1</v>
      </c>
      <c r="T170">
        <v>0</v>
      </c>
      <c r="U170">
        <v>10</v>
      </c>
      <c r="V170">
        <v>0</v>
      </c>
      <c r="W170">
        <v>12</v>
      </c>
    </row>
    <row r="171" spans="1:23" x14ac:dyDescent="0.2">
      <c r="A171" s="6">
        <v>45797.987372685187</v>
      </c>
      <c r="B171" t="s">
        <v>1714</v>
      </c>
      <c r="C171">
        <v>180176600</v>
      </c>
      <c r="D171" t="s">
        <v>1715</v>
      </c>
      <c r="E171" t="s">
        <v>2236</v>
      </c>
      <c r="F171" t="s">
        <v>1716</v>
      </c>
      <c r="H171" t="s">
        <v>1717</v>
      </c>
      <c r="I171" t="s">
        <v>1718</v>
      </c>
      <c r="J171" t="s">
        <v>6</v>
      </c>
      <c r="K171" t="s">
        <v>1719</v>
      </c>
      <c r="L171" t="s">
        <v>1720</v>
      </c>
      <c r="M171" t="s">
        <v>1721</v>
      </c>
      <c r="N171" t="s">
        <v>17</v>
      </c>
      <c r="O171">
        <v>3777540532</v>
      </c>
      <c r="P171" t="s">
        <v>1714</v>
      </c>
      <c r="Q171" t="s">
        <v>1722</v>
      </c>
      <c r="R171">
        <v>14</v>
      </c>
      <c r="S171">
        <v>2</v>
      </c>
      <c r="T171">
        <v>30</v>
      </c>
      <c r="U171">
        <v>22</v>
      </c>
      <c r="V171">
        <v>38</v>
      </c>
      <c r="W171">
        <v>27</v>
      </c>
    </row>
    <row r="172" spans="1:23" x14ac:dyDescent="0.2">
      <c r="A172" s="6">
        <v>45798.595578703702</v>
      </c>
      <c r="B172" t="s">
        <v>1512</v>
      </c>
      <c r="C172">
        <v>380035200</v>
      </c>
      <c r="D172" t="s">
        <v>1513</v>
      </c>
      <c r="E172" t="s">
        <v>2207</v>
      </c>
      <c r="F172" t="s">
        <v>2310</v>
      </c>
      <c r="G172">
        <v>3886422209</v>
      </c>
      <c r="H172" t="s">
        <v>1512</v>
      </c>
      <c r="I172" t="s">
        <v>1514</v>
      </c>
      <c r="J172" t="s">
        <v>6</v>
      </c>
      <c r="K172">
        <v>3886656333</v>
      </c>
      <c r="L172" t="s">
        <v>1515</v>
      </c>
      <c r="M172" t="s">
        <v>1516</v>
      </c>
      <c r="N172" t="s">
        <v>17</v>
      </c>
      <c r="O172">
        <v>3886412470</v>
      </c>
      <c r="P172" t="s">
        <v>1517</v>
      </c>
      <c r="Q172" t="s">
        <v>2311</v>
      </c>
      <c r="R172">
        <v>12</v>
      </c>
      <c r="S172">
        <v>2</v>
      </c>
      <c r="T172">
        <v>43</v>
      </c>
      <c r="U172">
        <v>41</v>
      </c>
      <c r="V172">
        <v>0</v>
      </c>
      <c r="W172">
        <v>0</v>
      </c>
    </row>
    <row r="173" spans="1:23" ht="148.5" x14ac:dyDescent="0.2">
      <c r="A173" s="6">
        <v>45798.692060185182</v>
      </c>
      <c r="B173" t="s">
        <v>1733</v>
      </c>
      <c r="C173">
        <v>60798600</v>
      </c>
      <c r="D173" s="7" t="s">
        <v>1729</v>
      </c>
      <c r="E173" t="s">
        <v>1730</v>
      </c>
      <c r="F173" t="s">
        <v>1731</v>
      </c>
      <c r="G173" t="s">
        <v>1732</v>
      </c>
      <c r="H173" t="s">
        <v>1733</v>
      </c>
      <c r="I173" t="s">
        <v>1734</v>
      </c>
      <c r="J173" t="s">
        <v>33</v>
      </c>
      <c r="K173" t="s">
        <v>1735</v>
      </c>
      <c r="L173" t="s">
        <v>1736</v>
      </c>
      <c r="M173" t="s">
        <v>1737</v>
      </c>
      <c r="N173" t="s">
        <v>36</v>
      </c>
      <c r="O173" t="s">
        <v>1738</v>
      </c>
      <c r="P173" t="s">
        <v>1739</v>
      </c>
      <c r="Q173" t="s">
        <v>1010</v>
      </c>
      <c r="R173">
        <v>7</v>
      </c>
      <c r="S173">
        <v>2</v>
      </c>
      <c r="T173">
        <v>0</v>
      </c>
      <c r="U173">
        <v>0</v>
      </c>
      <c r="V173">
        <v>23</v>
      </c>
      <c r="W173">
        <v>27</v>
      </c>
    </row>
    <row r="174" spans="1:23" x14ac:dyDescent="0.2">
      <c r="A174" s="6">
        <v>45798.765833333331</v>
      </c>
      <c r="B174" t="s">
        <v>1742</v>
      </c>
      <c r="C174">
        <v>100042202</v>
      </c>
      <c r="D174" t="s">
        <v>1740</v>
      </c>
      <c r="E174" t="s">
        <v>2237</v>
      </c>
      <c r="F174" t="s">
        <v>1741</v>
      </c>
      <c r="G174">
        <v>324064</v>
      </c>
      <c r="H174" t="s">
        <v>1742</v>
      </c>
      <c r="I174" t="s">
        <v>1743</v>
      </c>
      <c r="J174" t="s">
        <v>6</v>
      </c>
      <c r="K174">
        <v>3834324064</v>
      </c>
      <c r="L174" t="s">
        <v>1744</v>
      </c>
      <c r="M174" t="s">
        <v>1745</v>
      </c>
      <c r="N174" t="s">
        <v>17</v>
      </c>
      <c r="O174">
        <v>59731</v>
      </c>
      <c r="P174" t="s">
        <v>1746</v>
      </c>
      <c r="Q174" t="s">
        <v>1747</v>
      </c>
      <c r="R174">
        <v>24</v>
      </c>
      <c r="S174">
        <v>5</v>
      </c>
      <c r="T174">
        <v>29</v>
      </c>
      <c r="U174">
        <v>29</v>
      </c>
      <c r="V174">
        <v>12</v>
      </c>
      <c r="W174">
        <v>7</v>
      </c>
    </row>
    <row r="175" spans="1:23" x14ac:dyDescent="0.2">
      <c r="A175" s="6">
        <v>45798.771087962959</v>
      </c>
      <c r="B175" t="s">
        <v>1742</v>
      </c>
      <c r="C175">
        <v>100042200</v>
      </c>
      <c r="D175" t="s">
        <v>1748</v>
      </c>
      <c r="E175" t="s">
        <v>2238</v>
      </c>
      <c r="F175" t="s">
        <v>1749</v>
      </c>
      <c r="G175">
        <v>3834324064</v>
      </c>
      <c r="H175" t="s">
        <v>1742</v>
      </c>
      <c r="I175" t="s">
        <v>1750</v>
      </c>
      <c r="J175" t="s">
        <v>6</v>
      </c>
      <c r="K175">
        <v>3834324064</v>
      </c>
      <c r="L175" t="s">
        <v>1751</v>
      </c>
      <c r="M175" t="s">
        <v>1752</v>
      </c>
      <c r="N175" t="s">
        <v>17</v>
      </c>
      <c r="O175">
        <v>59731</v>
      </c>
      <c r="P175" t="s">
        <v>1746</v>
      </c>
      <c r="Q175" t="s">
        <v>1753</v>
      </c>
      <c r="R175">
        <v>24</v>
      </c>
      <c r="S175">
        <v>5</v>
      </c>
      <c r="T175">
        <v>60</v>
      </c>
      <c r="U175">
        <v>33</v>
      </c>
      <c r="V175">
        <v>15</v>
      </c>
      <c r="W175">
        <v>16</v>
      </c>
    </row>
    <row r="176" spans="1:23" x14ac:dyDescent="0.2">
      <c r="A176" s="6">
        <v>45798.774050925924</v>
      </c>
      <c r="B176" t="s">
        <v>1742</v>
      </c>
      <c r="C176">
        <v>100042201</v>
      </c>
      <c r="D176" t="s">
        <v>1754</v>
      </c>
      <c r="E176" t="s">
        <v>1755</v>
      </c>
      <c r="F176" t="s">
        <v>1756</v>
      </c>
      <c r="G176">
        <v>3834394621</v>
      </c>
      <c r="H176" t="s">
        <v>1742</v>
      </c>
      <c r="I176" t="s">
        <v>1743</v>
      </c>
      <c r="J176" t="s">
        <v>6</v>
      </c>
      <c r="K176">
        <v>324064</v>
      </c>
      <c r="L176" t="s">
        <v>1744</v>
      </c>
      <c r="M176" t="s">
        <v>1752</v>
      </c>
      <c r="N176" t="s">
        <v>17</v>
      </c>
      <c r="O176">
        <v>59731</v>
      </c>
      <c r="P176" t="s">
        <v>1746</v>
      </c>
      <c r="Q176" t="s">
        <v>1757</v>
      </c>
      <c r="R176">
        <v>24</v>
      </c>
      <c r="S176">
        <v>5</v>
      </c>
      <c r="T176">
        <v>22</v>
      </c>
      <c r="U176">
        <v>34</v>
      </c>
      <c r="V176">
        <v>10</v>
      </c>
      <c r="W176">
        <v>5</v>
      </c>
    </row>
    <row r="177" spans="1:23" x14ac:dyDescent="0.2">
      <c r="A177" s="6">
        <v>45798.784502314818</v>
      </c>
      <c r="B177" t="s">
        <v>1764</v>
      </c>
      <c r="C177">
        <v>180146700</v>
      </c>
      <c r="D177" t="s">
        <v>1758</v>
      </c>
      <c r="E177" t="s">
        <v>1759</v>
      </c>
      <c r="F177" t="s">
        <v>1760</v>
      </c>
      <c r="G177">
        <v>3782610173</v>
      </c>
      <c r="H177" t="s">
        <v>1761</v>
      </c>
      <c r="I177" t="s">
        <v>1762</v>
      </c>
      <c r="J177" t="s">
        <v>6</v>
      </c>
      <c r="K177">
        <v>3782610173</v>
      </c>
      <c r="L177" t="s">
        <v>1761</v>
      </c>
      <c r="M177" t="s">
        <v>1763</v>
      </c>
      <c r="N177" t="s">
        <v>17</v>
      </c>
      <c r="O177">
        <v>3782520903</v>
      </c>
      <c r="P177" t="s">
        <v>1764</v>
      </c>
      <c r="Q177" t="s">
        <v>1765</v>
      </c>
      <c r="R177">
        <v>15</v>
      </c>
      <c r="S177">
        <v>3</v>
      </c>
      <c r="T177">
        <v>59</v>
      </c>
      <c r="U177">
        <v>38</v>
      </c>
      <c r="V177">
        <v>36</v>
      </c>
      <c r="W177">
        <v>13</v>
      </c>
    </row>
    <row r="178" spans="1:23" x14ac:dyDescent="0.2">
      <c r="A178" s="6">
        <v>45798.791747685187</v>
      </c>
      <c r="B178" t="s">
        <v>2312</v>
      </c>
      <c r="C178">
        <v>61377800</v>
      </c>
      <c r="D178" t="s">
        <v>1766</v>
      </c>
      <c r="E178" t="s">
        <v>1767</v>
      </c>
      <c r="F178" t="s">
        <v>1768</v>
      </c>
      <c r="G178">
        <v>224446212</v>
      </c>
      <c r="H178" t="s">
        <v>1769</v>
      </c>
      <c r="I178" t="s">
        <v>1770</v>
      </c>
      <c r="J178" t="s">
        <v>33</v>
      </c>
      <c r="K178">
        <v>2244460212</v>
      </c>
      <c r="L178" t="s">
        <v>1771</v>
      </c>
      <c r="M178" t="s">
        <v>1770</v>
      </c>
      <c r="N178" t="s">
        <v>8</v>
      </c>
      <c r="O178">
        <v>2244460212</v>
      </c>
      <c r="P178" t="s">
        <v>1771</v>
      </c>
      <c r="Q178" t="s">
        <v>1772</v>
      </c>
      <c r="R178">
        <v>4</v>
      </c>
      <c r="S178">
        <v>1</v>
      </c>
      <c r="T178">
        <v>0</v>
      </c>
      <c r="U178">
        <v>0</v>
      </c>
      <c r="V178">
        <v>28</v>
      </c>
      <c r="W178">
        <v>0</v>
      </c>
    </row>
    <row r="179" spans="1:23" x14ac:dyDescent="0.2">
      <c r="A179" s="6">
        <v>45798.797349537039</v>
      </c>
      <c r="B179" t="s">
        <v>1776</v>
      </c>
      <c r="C179">
        <v>300148300</v>
      </c>
      <c r="D179" t="s">
        <v>1773</v>
      </c>
      <c r="E179" t="s">
        <v>1774</v>
      </c>
      <c r="F179" t="s">
        <v>1775</v>
      </c>
      <c r="G179">
        <v>3445421836</v>
      </c>
      <c r="H179" t="s">
        <v>1776</v>
      </c>
      <c r="I179" t="s">
        <v>1777</v>
      </c>
      <c r="J179" t="s">
        <v>6</v>
      </c>
      <c r="K179" t="s">
        <v>1778</v>
      </c>
      <c r="L179" t="s">
        <v>1779</v>
      </c>
      <c r="M179" t="s">
        <v>1780</v>
      </c>
      <c r="N179" t="s">
        <v>17</v>
      </c>
      <c r="O179" t="s">
        <v>1781</v>
      </c>
      <c r="P179" t="s">
        <v>1782</v>
      </c>
      <c r="Q179" t="s">
        <v>1783</v>
      </c>
      <c r="R179">
        <v>21</v>
      </c>
      <c r="S179">
        <v>6</v>
      </c>
      <c r="T179">
        <v>38</v>
      </c>
      <c r="U179">
        <v>40</v>
      </c>
      <c r="V179">
        <v>24</v>
      </c>
      <c r="W179">
        <v>9</v>
      </c>
    </row>
    <row r="180" spans="1:23" x14ac:dyDescent="0.2">
      <c r="A180" s="6">
        <v>45798.857986111114</v>
      </c>
      <c r="B180" t="s">
        <v>1786</v>
      </c>
      <c r="C180">
        <v>100024500</v>
      </c>
      <c r="D180" t="s">
        <v>1534</v>
      </c>
      <c r="E180" t="s">
        <v>1784</v>
      </c>
      <c r="F180" t="s">
        <v>1785</v>
      </c>
      <c r="G180">
        <v>3835400317</v>
      </c>
      <c r="H180" t="s">
        <v>1786</v>
      </c>
      <c r="I180" t="s">
        <v>1787</v>
      </c>
      <c r="J180" t="s">
        <v>6</v>
      </c>
      <c r="K180">
        <v>3835400317</v>
      </c>
      <c r="L180" t="s">
        <v>1788</v>
      </c>
      <c r="M180" t="s">
        <v>1789</v>
      </c>
      <c r="N180" t="s">
        <v>55</v>
      </c>
      <c r="O180">
        <v>3835404051</v>
      </c>
      <c r="P180" t="s">
        <v>1790</v>
      </c>
      <c r="Q180" t="s">
        <v>1791</v>
      </c>
      <c r="R180">
        <v>30</v>
      </c>
      <c r="S180">
        <v>3</v>
      </c>
      <c r="T180">
        <v>79</v>
      </c>
      <c r="U180">
        <v>44</v>
      </c>
      <c r="V180">
        <v>38</v>
      </c>
      <c r="W180">
        <v>21</v>
      </c>
    </row>
    <row r="181" spans="1:23" x14ac:dyDescent="0.2">
      <c r="A181" s="6">
        <v>45798.8752662037</v>
      </c>
      <c r="B181" t="s">
        <v>1072</v>
      </c>
      <c r="C181">
        <v>3003129</v>
      </c>
      <c r="D181" t="s">
        <v>2239</v>
      </c>
      <c r="E181" t="s">
        <v>1073</v>
      </c>
      <c r="F181" t="s">
        <v>1792</v>
      </c>
      <c r="H181" t="s">
        <v>1072</v>
      </c>
      <c r="I181" t="s">
        <v>1793</v>
      </c>
      <c r="J181" t="s">
        <v>6</v>
      </c>
      <c r="K181">
        <v>3456446508</v>
      </c>
      <c r="L181" t="s">
        <v>1074</v>
      </c>
      <c r="M181" t="s">
        <v>1075</v>
      </c>
      <c r="N181" t="s">
        <v>17</v>
      </c>
      <c r="O181">
        <v>3456583974</v>
      </c>
      <c r="P181" t="s">
        <v>1794</v>
      </c>
      <c r="Q181" t="s">
        <v>1795</v>
      </c>
      <c r="R181">
        <v>12</v>
      </c>
      <c r="S181">
        <v>3</v>
      </c>
      <c r="T181">
        <v>98</v>
      </c>
      <c r="U181">
        <v>0</v>
      </c>
      <c r="V181">
        <v>0</v>
      </c>
      <c r="W181">
        <v>0</v>
      </c>
    </row>
    <row r="182" spans="1:23" x14ac:dyDescent="0.2">
      <c r="A182" s="6">
        <v>45798.904085648152</v>
      </c>
      <c r="B182" t="s">
        <v>1798</v>
      </c>
      <c r="C182">
        <v>100073500</v>
      </c>
      <c r="D182" t="s">
        <v>1796</v>
      </c>
      <c r="E182" t="s">
        <v>2240</v>
      </c>
      <c r="F182" t="s">
        <v>1797</v>
      </c>
      <c r="G182" t="s">
        <v>2241</v>
      </c>
      <c r="H182" t="s">
        <v>1798</v>
      </c>
      <c r="I182" t="s">
        <v>1799</v>
      </c>
      <c r="J182" t="s">
        <v>6</v>
      </c>
      <c r="K182" t="s">
        <v>1800</v>
      </c>
      <c r="L182" t="s">
        <v>1801</v>
      </c>
      <c r="M182" t="s">
        <v>1802</v>
      </c>
      <c r="N182" t="s">
        <v>17</v>
      </c>
      <c r="O182" t="s">
        <v>1803</v>
      </c>
      <c r="P182" t="s">
        <v>1804</v>
      </c>
      <c r="Q182" t="s">
        <v>1805</v>
      </c>
      <c r="R182">
        <v>30</v>
      </c>
      <c r="S182">
        <v>3</v>
      </c>
      <c r="T182">
        <v>101</v>
      </c>
      <c r="U182">
        <v>71</v>
      </c>
      <c r="V182">
        <v>47</v>
      </c>
      <c r="W182">
        <v>35</v>
      </c>
    </row>
    <row r="183" spans="1:23" x14ac:dyDescent="0.2">
      <c r="A183" s="6">
        <v>45799.361238425925</v>
      </c>
      <c r="B183" t="s">
        <v>1808</v>
      </c>
      <c r="C183">
        <v>180041100</v>
      </c>
      <c r="D183" t="s">
        <v>1806</v>
      </c>
      <c r="E183" t="s">
        <v>190</v>
      </c>
      <c r="F183" t="s">
        <v>1807</v>
      </c>
      <c r="G183">
        <v>3794801972</v>
      </c>
      <c r="H183" t="s">
        <v>1808</v>
      </c>
      <c r="I183" t="s">
        <v>1809</v>
      </c>
      <c r="J183" t="s">
        <v>6</v>
      </c>
      <c r="K183">
        <v>3794801972</v>
      </c>
      <c r="L183" t="s">
        <v>1810</v>
      </c>
      <c r="M183" t="s">
        <v>1811</v>
      </c>
      <c r="N183" t="s">
        <v>17</v>
      </c>
      <c r="O183" t="s">
        <v>1812</v>
      </c>
      <c r="P183" t="s">
        <v>1813</v>
      </c>
      <c r="Q183" t="s">
        <v>1814</v>
      </c>
      <c r="R183">
        <v>38</v>
      </c>
      <c r="S183">
        <v>8</v>
      </c>
      <c r="T183">
        <v>147</v>
      </c>
      <c r="U183">
        <v>118</v>
      </c>
      <c r="V183">
        <v>207</v>
      </c>
      <c r="W183">
        <v>113</v>
      </c>
    </row>
    <row r="184" spans="1:23" x14ac:dyDescent="0.2">
      <c r="A184" s="6">
        <v>45799.825902777775</v>
      </c>
      <c r="B184" t="s">
        <v>1851</v>
      </c>
      <c r="C184">
        <v>180146600</v>
      </c>
      <c r="D184" t="s">
        <v>1844</v>
      </c>
      <c r="E184" t="s">
        <v>2242</v>
      </c>
      <c r="F184" t="s">
        <v>1845</v>
      </c>
      <c r="G184" t="s">
        <v>1846</v>
      </c>
      <c r="H184" t="s">
        <v>1847</v>
      </c>
      <c r="I184" t="s">
        <v>1848</v>
      </c>
      <c r="J184" t="s">
        <v>6</v>
      </c>
      <c r="K184">
        <v>3777672098</v>
      </c>
      <c r="L184" t="s">
        <v>1849</v>
      </c>
      <c r="M184" t="s">
        <v>1850</v>
      </c>
      <c r="N184" t="s">
        <v>17</v>
      </c>
      <c r="O184" t="s">
        <v>1846</v>
      </c>
      <c r="P184" t="s">
        <v>1851</v>
      </c>
      <c r="Q184" t="s">
        <v>1852</v>
      </c>
      <c r="R184">
        <v>20</v>
      </c>
      <c r="S184">
        <v>2</v>
      </c>
      <c r="T184">
        <v>47</v>
      </c>
      <c r="U184">
        <v>27</v>
      </c>
      <c r="V184">
        <v>28</v>
      </c>
      <c r="W184">
        <v>15</v>
      </c>
    </row>
    <row r="185" spans="1:23" x14ac:dyDescent="0.2">
      <c r="A185" s="6">
        <v>45799.886087962965</v>
      </c>
      <c r="B185" t="s">
        <v>1856</v>
      </c>
      <c r="C185">
        <v>140359300</v>
      </c>
      <c r="D185" t="s">
        <v>1853</v>
      </c>
      <c r="E185" t="s">
        <v>1854</v>
      </c>
      <c r="F185" t="s">
        <v>1855</v>
      </c>
      <c r="G185">
        <v>3544631390</v>
      </c>
      <c r="H185" t="s">
        <v>1856</v>
      </c>
      <c r="I185" t="s">
        <v>1857</v>
      </c>
      <c r="J185" t="s">
        <v>33</v>
      </c>
      <c r="K185">
        <v>3544631390</v>
      </c>
      <c r="L185" t="s">
        <v>1858</v>
      </c>
      <c r="M185" t="s">
        <v>1857</v>
      </c>
      <c r="N185" t="s">
        <v>8</v>
      </c>
      <c r="O185">
        <v>3544631390</v>
      </c>
      <c r="P185" t="s">
        <v>1858</v>
      </c>
      <c r="Q185" t="s">
        <v>1859</v>
      </c>
      <c r="R185">
        <v>30</v>
      </c>
      <c r="S185">
        <v>13</v>
      </c>
      <c r="T185">
        <v>180</v>
      </c>
      <c r="U185">
        <v>120</v>
      </c>
      <c r="V185">
        <v>104</v>
      </c>
      <c r="W185">
        <v>44</v>
      </c>
    </row>
    <row r="186" spans="1:23" x14ac:dyDescent="0.2">
      <c r="A186" s="6">
        <v>45800.913969907408</v>
      </c>
      <c r="B186" t="s">
        <v>1863</v>
      </c>
      <c r="C186">
        <v>100062700</v>
      </c>
      <c r="D186" t="s">
        <v>1860</v>
      </c>
      <c r="E186" t="s">
        <v>1861</v>
      </c>
      <c r="F186" t="s">
        <v>1862</v>
      </c>
      <c r="G186">
        <v>3834511426</v>
      </c>
      <c r="H186" t="s">
        <v>1863</v>
      </c>
      <c r="I186" t="s">
        <v>1864</v>
      </c>
      <c r="J186" t="s">
        <v>6</v>
      </c>
      <c r="K186">
        <v>3834511426</v>
      </c>
      <c r="L186" t="s">
        <v>1863</v>
      </c>
      <c r="M186" t="s">
        <v>1865</v>
      </c>
      <c r="N186" t="s">
        <v>55</v>
      </c>
      <c r="O186">
        <v>3835447102</v>
      </c>
      <c r="P186" t="s">
        <v>1866</v>
      </c>
      <c r="Q186" t="s">
        <v>1867</v>
      </c>
      <c r="R186">
        <v>22</v>
      </c>
      <c r="S186">
        <v>6</v>
      </c>
      <c r="T186">
        <v>32</v>
      </c>
      <c r="U186">
        <v>24</v>
      </c>
      <c r="V186">
        <v>25</v>
      </c>
      <c r="W186">
        <v>13</v>
      </c>
    </row>
    <row r="187" spans="1:23" x14ac:dyDescent="0.2">
      <c r="A187" s="6">
        <v>45803.544930555552</v>
      </c>
      <c r="B187" t="s">
        <v>1901</v>
      </c>
      <c r="C187">
        <v>860110700</v>
      </c>
      <c r="D187" t="s">
        <v>1897</v>
      </c>
      <c r="E187" t="s">
        <v>2243</v>
      </c>
      <c r="F187" t="s">
        <v>1898</v>
      </c>
      <c r="G187" t="s">
        <v>2244</v>
      </c>
      <c r="H187" t="s">
        <v>1899</v>
      </c>
      <c r="I187" t="s">
        <v>1900</v>
      </c>
      <c r="J187" t="s">
        <v>6</v>
      </c>
      <c r="K187" s="5">
        <v>385155056604</v>
      </c>
      <c r="L187" t="s">
        <v>1901</v>
      </c>
      <c r="M187" t="s">
        <v>1902</v>
      </c>
      <c r="N187" t="s">
        <v>17</v>
      </c>
      <c r="O187" t="s">
        <v>1903</v>
      </c>
      <c r="P187" t="s">
        <v>1904</v>
      </c>
      <c r="Q187" t="s">
        <v>1905</v>
      </c>
      <c r="R187">
        <v>12</v>
      </c>
      <c r="S187">
        <v>5</v>
      </c>
      <c r="T187">
        <v>68</v>
      </c>
      <c r="U187">
        <v>39</v>
      </c>
      <c r="V187">
        <v>16</v>
      </c>
      <c r="W187">
        <v>13</v>
      </c>
    </row>
    <row r="188" spans="1:23" x14ac:dyDescent="0.2">
      <c r="A188" s="6">
        <v>45804.821192129632</v>
      </c>
      <c r="B188" t="s">
        <v>1917</v>
      </c>
      <c r="C188">
        <v>100011800</v>
      </c>
      <c r="D188" t="s">
        <v>1914</v>
      </c>
      <c r="E188" t="s">
        <v>1915</v>
      </c>
      <c r="F188" t="s">
        <v>1916</v>
      </c>
      <c r="G188">
        <v>3832688376</v>
      </c>
      <c r="H188" t="s">
        <v>1917</v>
      </c>
      <c r="I188" t="s">
        <v>1918</v>
      </c>
      <c r="J188" t="s">
        <v>6</v>
      </c>
      <c r="K188">
        <v>3832439532</v>
      </c>
      <c r="L188" t="s">
        <v>1917</v>
      </c>
      <c r="M188" t="s">
        <v>1919</v>
      </c>
      <c r="N188" t="s">
        <v>17</v>
      </c>
      <c r="O188">
        <v>3832688376</v>
      </c>
      <c r="P188" t="s">
        <v>1920</v>
      </c>
      <c r="Q188" t="s">
        <v>1921</v>
      </c>
      <c r="R188">
        <v>25</v>
      </c>
      <c r="S188">
        <v>6</v>
      </c>
      <c r="T188">
        <v>30</v>
      </c>
      <c r="U188">
        <v>25</v>
      </c>
      <c r="V188">
        <v>38</v>
      </c>
      <c r="W188">
        <v>0</v>
      </c>
    </row>
    <row r="189" spans="1:23" x14ac:dyDescent="0.2">
      <c r="A189" s="6">
        <v>45784.460405092592</v>
      </c>
      <c r="B189" t="s">
        <v>2313</v>
      </c>
      <c r="C189">
        <v>540186600</v>
      </c>
      <c r="D189" t="s">
        <v>0</v>
      </c>
      <c r="E189" t="s">
        <v>1</v>
      </c>
      <c r="F189" t="s">
        <v>2</v>
      </c>
      <c r="G189" t="s">
        <v>3</v>
      </c>
      <c r="H189" t="s">
        <v>4</v>
      </c>
      <c r="I189" t="s">
        <v>5</v>
      </c>
      <c r="J189" t="s">
        <v>6</v>
      </c>
      <c r="K189" t="s">
        <v>3</v>
      </c>
      <c r="L189" t="s">
        <v>4</v>
      </c>
      <c r="M189" t="s">
        <v>7</v>
      </c>
      <c r="N189" t="s">
        <v>8</v>
      </c>
      <c r="O189" t="s">
        <v>9</v>
      </c>
      <c r="P189" t="s">
        <v>10</v>
      </c>
      <c r="Q189" t="s">
        <v>11</v>
      </c>
      <c r="R189">
        <v>16</v>
      </c>
      <c r="S189">
        <v>3</v>
      </c>
      <c r="T189">
        <v>117</v>
      </c>
      <c r="U189">
        <v>42</v>
      </c>
      <c r="V189">
        <v>62</v>
      </c>
      <c r="W189">
        <v>47</v>
      </c>
    </row>
    <row r="190" spans="1:23" x14ac:dyDescent="0.2">
      <c r="A190" s="6">
        <v>45784.541215277779</v>
      </c>
      <c r="B190" t="s">
        <v>2314</v>
      </c>
      <c r="C190">
        <v>540153300</v>
      </c>
      <c r="D190" t="s">
        <v>12</v>
      </c>
      <c r="E190" t="s">
        <v>1952</v>
      </c>
      <c r="F190" t="s">
        <v>13</v>
      </c>
      <c r="G190">
        <v>3765415117</v>
      </c>
      <c r="H190" t="s">
        <v>14</v>
      </c>
      <c r="I190" t="s">
        <v>15</v>
      </c>
      <c r="J190" t="s">
        <v>6</v>
      </c>
      <c r="K190">
        <v>3764376295</v>
      </c>
      <c r="L190" t="s">
        <v>14</v>
      </c>
      <c r="M190" t="s">
        <v>16</v>
      </c>
      <c r="N190" t="s">
        <v>17</v>
      </c>
      <c r="O190">
        <v>3757404145</v>
      </c>
      <c r="P190" t="s">
        <v>18</v>
      </c>
      <c r="Q190" t="s">
        <v>19</v>
      </c>
      <c r="R190">
        <v>15</v>
      </c>
      <c r="S190">
        <v>2</v>
      </c>
      <c r="T190">
        <v>50</v>
      </c>
      <c r="U190">
        <v>0</v>
      </c>
      <c r="V190">
        <v>0</v>
      </c>
      <c r="W190">
        <v>64</v>
      </c>
    </row>
    <row r="191" spans="1:23" x14ac:dyDescent="0.2">
      <c r="A191" s="6">
        <v>45784.615682870368</v>
      </c>
      <c r="B191" t="s">
        <v>20</v>
      </c>
      <c r="C191">
        <v>220178400</v>
      </c>
      <c r="D191" t="s">
        <v>21</v>
      </c>
      <c r="E191" t="s">
        <v>22</v>
      </c>
      <c r="F191" t="s">
        <v>23</v>
      </c>
      <c r="G191">
        <v>3624603455</v>
      </c>
      <c r="H191" t="s">
        <v>24</v>
      </c>
      <c r="I191" t="s">
        <v>25</v>
      </c>
      <c r="J191" t="s">
        <v>6</v>
      </c>
      <c r="K191">
        <v>3624603455</v>
      </c>
      <c r="L191" t="s">
        <v>20</v>
      </c>
      <c r="M191" t="s">
        <v>26</v>
      </c>
      <c r="N191" t="s">
        <v>27</v>
      </c>
      <c r="O191">
        <v>3794905600</v>
      </c>
      <c r="P191" t="s">
        <v>24</v>
      </c>
      <c r="Q191" t="s">
        <v>1953</v>
      </c>
      <c r="R191">
        <v>15</v>
      </c>
      <c r="S191">
        <v>4</v>
      </c>
      <c r="T191">
        <v>60</v>
      </c>
      <c r="U191">
        <v>32</v>
      </c>
      <c r="V191">
        <v>30</v>
      </c>
      <c r="W191">
        <v>89</v>
      </c>
    </row>
    <row r="192" spans="1:23" x14ac:dyDescent="0.2">
      <c r="A192" s="6">
        <v>45784.686388888891</v>
      </c>
      <c r="B192" t="s">
        <v>28</v>
      </c>
      <c r="C192">
        <v>820250700</v>
      </c>
      <c r="D192" t="s">
        <v>29</v>
      </c>
      <c r="E192" t="s">
        <v>1954</v>
      </c>
      <c r="F192" t="s">
        <v>30</v>
      </c>
      <c r="G192" t="s">
        <v>31</v>
      </c>
      <c r="H192" t="s">
        <v>28</v>
      </c>
      <c r="I192" t="s">
        <v>32</v>
      </c>
      <c r="J192" t="s">
        <v>33</v>
      </c>
      <c r="K192">
        <v>3415026259</v>
      </c>
      <c r="L192" t="s">
        <v>34</v>
      </c>
      <c r="M192" t="s">
        <v>35</v>
      </c>
      <c r="N192" t="s">
        <v>36</v>
      </c>
      <c r="O192">
        <v>3413630911</v>
      </c>
      <c r="P192" t="s">
        <v>37</v>
      </c>
      <c r="Q192" t="s">
        <v>38</v>
      </c>
      <c r="R192">
        <v>18</v>
      </c>
      <c r="S192">
        <v>6</v>
      </c>
      <c r="T192">
        <v>95</v>
      </c>
      <c r="U192">
        <v>40</v>
      </c>
      <c r="V192">
        <v>65</v>
      </c>
      <c r="W192">
        <v>27</v>
      </c>
    </row>
    <row r="193" spans="1:23" x14ac:dyDescent="0.2">
      <c r="A193" s="6">
        <v>45784.731874999998</v>
      </c>
      <c r="B193" t="s">
        <v>39</v>
      </c>
      <c r="C193">
        <v>820061900</v>
      </c>
      <c r="D193" t="s">
        <v>40</v>
      </c>
      <c r="E193" t="s">
        <v>41</v>
      </c>
      <c r="F193" t="s">
        <v>42</v>
      </c>
      <c r="G193">
        <v>3415646099</v>
      </c>
      <c r="H193" t="s">
        <v>39</v>
      </c>
      <c r="I193" t="s">
        <v>43</v>
      </c>
      <c r="J193" t="s">
        <v>33</v>
      </c>
      <c r="K193">
        <v>3476358198</v>
      </c>
      <c r="L193" t="s">
        <v>44</v>
      </c>
      <c r="M193" t="s">
        <v>43</v>
      </c>
      <c r="N193" t="s">
        <v>8</v>
      </c>
      <c r="O193">
        <v>3476358198</v>
      </c>
      <c r="P193" t="s">
        <v>44</v>
      </c>
      <c r="Q193" t="s">
        <v>45</v>
      </c>
      <c r="R193">
        <v>14</v>
      </c>
      <c r="S193">
        <v>4</v>
      </c>
      <c r="T193">
        <v>40</v>
      </c>
      <c r="U193">
        <v>42</v>
      </c>
      <c r="V193">
        <v>35</v>
      </c>
      <c r="W193">
        <v>16</v>
      </c>
    </row>
    <row r="194" spans="1:23" x14ac:dyDescent="0.2">
      <c r="A194" s="6">
        <v>45784.736863425926</v>
      </c>
      <c r="B194" t="s">
        <v>39</v>
      </c>
      <c r="C194">
        <v>820061901</v>
      </c>
      <c r="D194" t="s">
        <v>46</v>
      </c>
      <c r="E194" t="s">
        <v>47</v>
      </c>
      <c r="F194" t="s">
        <v>48</v>
      </c>
      <c r="G194">
        <v>3415646099</v>
      </c>
      <c r="H194" t="s">
        <v>39</v>
      </c>
      <c r="I194" t="s">
        <v>49</v>
      </c>
      <c r="J194" t="s">
        <v>6</v>
      </c>
      <c r="K194">
        <v>3412107249</v>
      </c>
      <c r="L194" t="s">
        <v>50</v>
      </c>
      <c r="M194" t="s">
        <v>43</v>
      </c>
      <c r="N194" t="s">
        <v>8</v>
      </c>
      <c r="O194">
        <v>3476358198</v>
      </c>
      <c r="P194" t="s">
        <v>44</v>
      </c>
      <c r="Q194" t="s">
        <v>45</v>
      </c>
      <c r="R194">
        <v>40</v>
      </c>
      <c r="S194">
        <v>10</v>
      </c>
      <c r="T194">
        <v>110</v>
      </c>
      <c r="U194">
        <v>84</v>
      </c>
      <c r="V194">
        <v>77</v>
      </c>
      <c r="W194">
        <v>17</v>
      </c>
    </row>
    <row r="195" spans="1:23" x14ac:dyDescent="0.2">
      <c r="A195" s="6">
        <v>45784.776585648149</v>
      </c>
      <c r="B195" t="s">
        <v>51</v>
      </c>
      <c r="C195">
        <v>820381400</v>
      </c>
      <c r="D195" t="s">
        <v>52</v>
      </c>
      <c r="E195" t="s">
        <v>1955</v>
      </c>
      <c r="F195" t="s">
        <v>53</v>
      </c>
      <c r="G195" t="s">
        <v>1956</v>
      </c>
      <c r="H195" t="s">
        <v>51</v>
      </c>
      <c r="I195" t="s">
        <v>1957</v>
      </c>
      <c r="J195" t="s">
        <v>6</v>
      </c>
      <c r="K195" t="s">
        <v>1958</v>
      </c>
      <c r="L195" t="s">
        <v>54</v>
      </c>
      <c r="M195" t="s">
        <v>1959</v>
      </c>
      <c r="N195" t="s">
        <v>55</v>
      </c>
      <c r="O195" t="s">
        <v>56</v>
      </c>
      <c r="P195" t="s">
        <v>57</v>
      </c>
      <c r="Q195" t="s">
        <v>58</v>
      </c>
      <c r="R195">
        <v>16</v>
      </c>
      <c r="S195">
        <v>3</v>
      </c>
      <c r="T195">
        <v>51</v>
      </c>
      <c r="U195">
        <v>34</v>
      </c>
      <c r="V195">
        <v>29</v>
      </c>
      <c r="W195">
        <v>31</v>
      </c>
    </row>
    <row r="196" spans="1:23" ht="108" x14ac:dyDescent="0.2">
      <c r="A196" s="6">
        <v>45784.830949074072</v>
      </c>
      <c r="B196" t="s">
        <v>2315</v>
      </c>
      <c r="C196">
        <v>140463300</v>
      </c>
      <c r="D196" s="7" t="s">
        <v>59</v>
      </c>
      <c r="E196" t="s">
        <v>60</v>
      </c>
      <c r="F196" t="s">
        <v>61</v>
      </c>
      <c r="G196">
        <v>358464627080</v>
      </c>
      <c r="H196" t="s">
        <v>62</v>
      </c>
      <c r="I196" t="s">
        <v>63</v>
      </c>
      <c r="J196" t="s">
        <v>33</v>
      </c>
      <c r="K196">
        <v>3585093150</v>
      </c>
      <c r="L196" t="s">
        <v>64</v>
      </c>
      <c r="M196" t="s">
        <v>63</v>
      </c>
      <c r="N196" t="s">
        <v>8</v>
      </c>
      <c r="O196">
        <v>3585093150</v>
      </c>
      <c r="P196" t="s">
        <v>64</v>
      </c>
      <c r="Q196" t="s">
        <v>65</v>
      </c>
      <c r="R196">
        <v>17</v>
      </c>
      <c r="S196">
        <v>7</v>
      </c>
      <c r="T196">
        <v>57</v>
      </c>
      <c r="U196">
        <v>42</v>
      </c>
      <c r="V196">
        <v>31</v>
      </c>
      <c r="W196">
        <v>36</v>
      </c>
    </row>
    <row r="197" spans="1:23" x14ac:dyDescent="0.2">
      <c r="A197" s="6">
        <v>45785.49386574074</v>
      </c>
      <c r="B197" t="s">
        <v>66</v>
      </c>
      <c r="C197">
        <v>61578100</v>
      </c>
      <c r="D197" t="s">
        <v>67</v>
      </c>
      <c r="E197" t="s">
        <v>1960</v>
      </c>
      <c r="F197" t="s">
        <v>68</v>
      </c>
      <c r="H197" t="s">
        <v>69</v>
      </c>
      <c r="I197" t="s">
        <v>70</v>
      </c>
      <c r="J197" t="s">
        <v>33</v>
      </c>
      <c r="K197">
        <v>1563519924</v>
      </c>
      <c r="L197" t="s">
        <v>66</v>
      </c>
      <c r="M197" t="s">
        <v>71</v>
      </c>
      <c r="N197" t="s">
        <v>17</v>
      </c>
      <c r="O197">
        <v>5491160332054</v>
      </c>
      <c r="P197" t="s">
        <v>72</v>
      </c>
      <c r="Q197" t="s">
        <v>1961</v>
      </c>
      <c r="R197">
        <v>21</v>
      </c>
      <c r="S197">
        <v>11</v>
      </c>
      <c r="T197">
        <v>60</v>
      </c>
      <c r="U197">
        <v>45</v>
      </c>
      <c r="V197">
        <v>30</v>
      </c>
      <c r="W197">
        <v>42</v>
      </c>
    </row>
    <row r="198" spans="1:23" x14ac:dyDescent="0.2">
      <c r="A198" s="6">
        <v>45785.496712962966</v>
      </c>
      <c r="B198" t="s">
        <v>2316</v>
      </c>
      <c r="C198">
        <v>60831300</v>
      </c>
      <c r="D198" t="s">
        <v>73</v>
      </c>
      <c r="E198" t="s">
        <v>74</v>
      </c>
      <c r="F198" t="s">
        <v>75</v>
      </c>
      <c r="G198">
        <v>42443105</v>
      </c>
      <c r="H198" t="s">
        <v>76</v>
      </c>
      <c r="I198" t="s">
        <v>77</v>
      </c>
      <c r="J198" t="s">
        <v>33</v>
      </c>
      <c r="K198">
        <v>1157602891</v>
      </c>
      <c r="L198" t="s">
        <v>78</v>
      </c>
      <c r="M198" t="s">
        <v>79</v>
      </c>
      <c r="N198" t="s">
        <v>36</v>
      </c>
      <c r="O198">
        <v>1141942911</v>
      </c>
      <c r="P198" t="s">
        <v>80</v>
      </c>
      <c r="Q198" t="s">
        <v>1962</v>
      </c>
      <c r="R198">
        <v>18</v>
      </c>
      <c r="S198">
        <v>9</v>
      </c>
      <c r="T198">
        <v>94</v>
      </c>
      <c r="U198">
        <v>59</v>
      </c>
      <c r="V198">
        <v>50</v>
      </c>
      <c r="W198">
        <v>22</v>
      </c>
    </row>
    <row r="199" spans="1:23" x14ac:dyDescent="0.2">
      <c r="A199" s="6">
        <v>45785.560682870368</v>
      </c>
      <c r="B199" t="s">
        <v>81</v>
      </c>
      <c r="C199">
        <v>820188401</v>
      </c>
      <c r="D199" t="s">
        <v>82</v>
      </c>
      <c r="E199" t="s">
        <v>83</v>
      </c>
      <c r="F199" t="s">
        <v>84</v>
      </c>
      <c r="G199" t="s">
        <v>1963</v>
      </c>
      <c r="H199" t="s">
        <v>85</v>
      </c>
      <c r="I199" t="s">
        <v>86</v>
      </c>
      <c r="J199" t="s">
        <v>6</v>
      </c>
      <c r="K199" t="s">
        <v>87</v>
      </c>
      <c r="L199" t="s">
        <v>81</v>
      </c>
      <c r="M199" t="s">
        <v>88</v>
      </c>
      <c r="N199" t="s">
        <v>6</v>
      </c>
      <c r="O199" t="s">
        <v>87</v>
      </c>
      <c r="P199" t="s">
        <v>81</v>
      </c>
      <c r="Q199" t="s">
        <v>89</v>
      </c>
      <c r="R199">
        <v>16</v>
      </c>
      <c r="S199">
        <v>4</v>
      </c>
      <c r="T199">
        <v>43</v>
      </c>
      <c r="U199">
        <v>33</v>
      </c>
      <c r="V199">
        <v>30</v>
      </c>
      <c r="W199">
        <v>17</v>
      </c>
    </row>
    <row r="200" spans="1:23" ht="135" x14ac:dyDescent="0.2">
      <c r="A200" s="6">
        <v>45785.600069444445</v>
      </c>
      <c r="B200" t="s">
        <v>90</v>
      </c>
      <c r="C200">
        <v>61337200</v>
      </c>
      <c r="D200" s="7" t="s">
        <v>91</v>
      </c>
      <c r="E200" t="s">
        <v>1964</v>
      </c>
      <c r="F200" t="s">
        <v>92</v>
      </c>
      <c r="G200" t="s">
        <v>93</v>
      </c>
      <c r="H200" t="s">
        <v>94</v>
      </c>
      <c r="I200" t="s">
        <v>95</v>
      </c>
      <c r="J200" t="s">
        <v>33</v>
      </c>
      <c r="K200" t="s">
        <v>96</v>
      </c>
      <c r="L200" t="s">
        <v>90</v>
      </c>
      <c r="M200" t="s">
        <v>97</v>
      </c>
      <c r="N200" t="s">
        <v>98</v>
      </c>
      <c r="O200" t="s">
        <v>99</v>
      </c>
      <c r="P200" t="s">
        <v>100</v>
      </c>
      <c r="Q200" t="s">
        <v>101</v>
      </c>
      <c r="R200">
        <v>11</v>
      </c>
      <c r="S200">
        <v>5</v>
      </c>
      <c r="T200">
        <v>25</v>
      </c>
      <c r="U200">
        <v>20</v>
      </c>
      <c r="V200">
        <v>15</v>
      </c>
      <c r="W200">
        <v>16</v>
      </c>
    </row>
    <row r="201" spans="1:23" x14ac:dyDescent="0.2">
      <c r="A201" s="6">
        <v>45785.606446759259</v>
      </c>
      <c r="B201" t="s">
        <v>102</v>
      </c>
      <c r="C201">
        <v>20245000</v>
      </c>
      <c r="D201" t="s">
        <v>103</v>
      </c>
      <c r="E201" t="s">
        <v>1965</v>
      </c>
      <c r="F201" t="s">
        <v>104</v>
      </c>
      <c r="G201" t="s">
        <v>1966</v>
      </c>
      <c r="H201" t="s">
        <v>102</v>
      </c>
      <c r="I201" t="s">
        <v>105</v>
      </c>
      <c r="J201" t="s">
        <v>6</v>
      </c>
      <c r="K201" t="s">
        <v>106</v>
      </c>
      <c r="L201" t="s">
        <v>107</v>
      </c>
      <c r="M201" t="s">
        <v>108</v>
      </c>
      <c r="N201" t="s">
        <v>8</v>
      </c>
      <c r="O201" t="s">
        <v>109</v>
      </c>
      <c r="P201" t="s">
        <v>110</v>
      </c>
      <c r="Q201" t="s">
        <v>111</v>
      </c>
      <c r="R201">
        <v>15</v>
      </c>
      <c r="S201">
        <v>4</v>
      </c>
      <c r="T201">
        <v>36</v>
      </c>
      <c r="U201">
        <v>31</v>
      </c>
      <c r="V201">
        <v>37</v>
      </c>
      <c r="W201">
        <v>13</v>
      </c>
    </row>
    <row r="202" spans="1:23" ht="54.75" x14ac:dyDescent="0.2">
      <c r="A202" s="6">
        <v>45785.62363425926</v>
      </c>
      <c r="B202" t="s">
        <v>112</v>
      </c>
      <c r="C202">
        <v>300201100</v>
      </c>
      <c r="D202" t="s">
        <v>1967</v>
      </c>
      <c r="E202" t="s">
        <v>113</v>
      </c>
      <c r="F202" t="s">
        <v>114</v>
      </c>
      <c r="G202">
        <v>3454213349</v>
      </c>
      <c r="H202" t="s">
        <v>1968</v>
      </c>
      <c r="I202" t="s">
        <v>1969</v>
      </c>
      <c r="J202" t="s">
        <v>6</v>
      </c>
      <c r="K202">
        <v>3454184052</v>
      </c>
      <c r="L202" t="s">
        <v>112</v>
      </c>
      <c r="M202" t="s">
        <v>1969</v>
      </c>
      <c r="N202" t="s">
        <v>6</v>
      </c>
      <c r="O202">
        <v>3454184052</v>
      </c>
      <c r="P202" t="s">
        <v>112</v>
      </c>
      <c r="Q202" s="7" t="s">
        <v>1970</v>
      </c>
      <c r="R202">
        <v>35</v>
      </c>
      <c r="S202">
        <v>9</v>
      </c>
      <c r="T202">
        <v>157</v>
      </c>
      <c r="U202">
        <v>53</v>
      </c>
      <c r="V202">
        <v>53</v>
      </c>
      <c r="W202">
        <v>46</v>
      </c>
    </row>
    <row r="203" spans="1:23" x14ac:dyDescent="0.2">
      <c r="A203" s="6">
        <v>45785.626898148148</v>
      </c>
      <c r="B203" t="s">
        <v>115</v>
      </c>
      <c r="C203">
        <v>20174400</v>
      </c>
      <c r="D203" t="s">
        <v>116</v>
      </c>
      <c r="E203" t="s">
        <v>1971</v>
      </c>
      <c r="F203" t="s">
        <v>117</v>
      </c>
      <c r="G203" t="s">
        <v>1972</v>
      </c>
      <c r="H203" t="s">
        <v>118</v>
      </c>
      <c r="I203" t="s">
        <v>1973</v>
      </c>
      <c r="J203" t="s">
        <v>6</v>
      </c>
      <c r="K203">
        <v>1158072426</v>
      </c>
      <c r="L203" t="s">
        <v>115</v>
      </c>
      <c r="M203" t="s">
        <v>119</v>
      </c>
      <c r="N203" t="s">
        <v>17</v>
      </c>
      <c r="O203">
        <v>1131003925</v>
      </c>
      <c r="P203" t="s">
        <v>120</v>
      </c>
      <c r="Q203" t="s">
        <v>1974</v>
      </c>
      <c r="R203">
        <v>26</v>
      </c>
      <c r="S203">
        <v>16</v>
      </c>
      <c r="T203">
        <v>69</v>
      </c>
      <c r="U203">
        <v>84</v>
      </c>
      <c r="V203">
        <v>89</v>
      </c>
      <c r="W203">
        <v>84</v>
      </c>
    </row>
    <row r="204" spans="1:23" x14ac:dyDescent="0.2">
      <c r="A204" s="6">
        <v>45785.682905092595</v>
      </c>
      <c r="B204" t="s">
        <v>121</v>
      </c>
      <c r="C204">
        <v>20053100</v>
      </c>
      <c r="D204" t="s">
        <v>122</v>
      </c>
      <c r="E204" t="s">
        <v>1975</v>
      </c>
      <c r="F204" t="s">
        <v>123</v>
      </c>
      <c r="G204">
        <v>1125032111</v>
      </c>
      <c r="H204" t="s">
        <v>121</v>
      </c>
      <c r="I204" t="s">
        <v>124</v>
      </c>
      <c r="J204" t="s">
        <v>6</v>
      </c>
      <c r="K204">
        <v>1152603912</v>
      </c>
      <c r="L204" t="s">
        <v>121</v>
      </c>
      <c r="M204" t="s">
        <v>125</v>
      </c>
      <c r="N204" t="s">
        <v>8</v>
      </c>
      <c r="O204">
        <v>1161743845</v>
      </c>
      <c r="P204" t="s">
        <v>126</v>
      </c>
      <c r="Q204" t="s">
        <v>127</v>
      </c>
      <c r="R204">
        <v>10</v>
      </c>
      <c r="S204">
        <v>12</v>
      </c>
      <c r="T204">
        <v>94</v>
      </c>
      <c r="U204">
        <v>84</v>
      </c>
      <c r="V204">
        <v>87</v>
      </c>
      <c r="W204">
        <v>71</v>
      </c>
    </row>
    <row r="205" spans="1:23" x14ac:dyDescent="0.2">
      <c r="A205" s="6">
        <v>45785.696550925924</v>
      </c>
      <c r="B205" t="s">
        <v>128</v>
      </c>
      <c r="C205">
        <v>20304900</v>
      </c>
      <c r="D205" t="s">
        <v>129</v>
      </c>
      <c r="E205" t="s">
        <v>1976</v>
      </c>
      <c r="F205" t="s">
        <v>130</v>
      </c>
      <c r="G205">
        <v>8103336337</v>
      </c>
      <c r="H205" t="s">
        <v>131</v>
      </c>
      <c r="I205" t="s">
        <v>132</v>
      </c>
      <c r="J205" t="s">
        <v>6</v>
      </c>
      <c r="K205">
        <v>1150632839</v>
      </c>
      <c r="L205" t="s">
        <v>128</v>
      </c>
      <c r="M205" t="s">
        <v>132</v>
      </c>
      <c r="N205" t="s">
        <v>6</v>
      </c>
      <c r="O205">
        <v>1150632839</v>
      </c>
      <c r="P205" t="s">
        <v>128</v>
      </c>
      <c r="Q205" t="s">
        <v>133</v>
      </c>
      <c r="R205">
        <v>19</v>
      </c>
      <c r="S205">
        <v>14</v>
      </c>
      <c r="T205">
        <v>65</v>
      </c>
      <c r="U205">
        <v>55</v>
      </c>
      <c r="V205">
        <v>67</v>
      </c>
      <c r="W205">
        <v>19</v>
      </c>
    </row>
    <row r="206" spans="1:23" ht="108" x14ac:dyDescent="0.2">
      <c r="A206" s="6">
        <v>45785.697164351855</v>
      </c>
      <c r="B206" t="s">
        <v>2317</v>
      </c>
      <c r="C206">
        <v>61185300</v>
      </c>
      <c r="D206" s="7" t="s">
        <v>134</v>
      </c>
      <c r="E206" t="s">
        <v>135</v>
      </c>
      <c r="F206" t="s">
        <v>136</v>
      </c>
      <c r="G206" t="s">
        <v>1977</v>
      </c>
      <c r="H206" t="s">
        <v>137</v>
      </c>
      <c r="I206" t="s">
        <v>138</v>
      </c>
      <c r="J206" t="s">
        <v>33</v>
      </c>
      <c r="K206" t="s">
        <v>139</v>
      </c>
      <c r="L206" t="s">
        <v>140</v>
      </c>
      <c r="M206" t="s">
        <v>141</v>
      </c>
      <c r="N206" t="s">
        <v>6</v>
      </c>
      <c r="O206" t="s">
        <v>142</v>
      </c>
      <c r="P206" t="s">
        <v>143</v>
      </c>
      <c r="Q206" t="s">
        <v>144</v>
      </c>
      <c r="R206">
        <v>32</v>
      </c>
      <c r="S206">
        <v>15</v>
      </c>
      <c r="T206">
        <v>82</v>
      </c>
      <c r="U206">
        <v>44</v>
      </c>
      <c r="V206">
        <v>49</v>
      </c>
      <c r="W206">
        <v>45</v>
      </c>
    </row>
    <row r="207" spans="1:23" x14ac:dyDescent="0.2">
      <c r="A207" s="6">
        <v>45785.706608796296</v>
      </c>
      <c r="B207" t="s">
        <v>145</v>
      </c>
      <c r="C207">
        <v>140488900</v>
      </c>
      <c r="D207" t="s">
        <v>146</v>
      </c>
      <c r="E207" t="s">
        <v>147</v>
      </c>
      <c r="F207" t="s">
        <v>148</v>
      </c>
      <c r="G207" t="s">
        <v>1978</v>
      </c>
      <c r="H207" t="s">
        <v>145</v>
      </c>
      <c r="I207" t="s">
        <v>149</v>
      </c>
      <c r="J207" t="s">
        <v>33</v>
      </c>
      <c r="K207" t="s">
        <v>150</v>
      </c>
      <c r="L207" t="s">
        <v>151</v>
      </c>
      <c r="M207" t="s">
        <v>152</v>
      </c>
      <c r="N207" t="s">
        <v>17</v>
      </c>
      <c r="O207" t="s">
        <v>153</v>
      </c>
      <c r="P207" t="s">
        <v>154</v>
      </c>
      <c r="Q207" t="s">
        <v>1979</v>
      </c>
      <c r="R207">
        <v>14</v>
      </c>
      <c r="S207">
        <v>3</v>
      </c>
      <c r="T207">
        <v>34</v>
      </c>
      <c r="U207">
        <v>23</v>
      </c>
      <c r="V207">
        <v>24</v>
      </c>
      <c r="W207">
        <v>33</v>
      </c>
    </row>
    <row r="208" spans="1:23" x14ac:dyDescent="0.2">
      <c r="A208" s="6">
        <v>45785.717962962961</v>
      </c>
      <c r="B208" t="s">
        <v>155</v>
      </c>
      <c r="C208">
        <v>20089000</v>
      </c>
      <c r="D208" t="s">
        <v>156</v>
      </c>
      <c r="E208" t="s">
        <v>1942</v>
      </c>
      <c r="F208" t="s">
        <v>157</v>
      </c>
      <c r="G208">
        <v>1159698262</v>
      </c>
      <c r="H208" t="s">
        <v>155</v>
      </c>
      <c r="I208" t="s">
        <v>1980</v>
      </c>
      <c r="J208" t="s">
        <v>6</v>
      </c>
      <c r="K208">
        <v>1153420107</v>
      </c>
      <c r="L208" t="s">
        <v>158</v>
      </c>
      <c r="M208" t="s">
        <v>159</v>
      </c>
      <c r="N208" t="s">
        <v>8</v>
      </c>
      <c r="O208">
        <v>1159698262</v>
      </c>
      <c r="P208" t="s">
        <v>155</v>
      </c>
      <c r="Q208" t="s">
        <v>160</v>
      </c>
      <c r="R208">
        <v>34</v>
      </c>
      <c r="S208">
        <v>13</v>
      </c>
      <c r="T208">
        <v>137</v>
      </c>
      <c r="U208">
        <v>153</v>
      </c>
      <c r="V208">
        <v>109</v>
      </c>
      <c r="W208">
        <v>49</v>
      </c>
    </row>
    <row r="209" spans="1:23" x14ac:dyDescent="0.2">
      <c r="A209" s="6">
        <v>45785.733298611114</v>
      </c>
      <c r="B209" t="s">
        <v>161</v>
      </c>
      <c r="C209">
        <v>20314900</v>
      </c>
      <c r="D209" t="s">
        <v>162</v>
      </c>
      <c r="E209" t="s">
        <v>1981</v>
      </c>
      <c r="F209" t="s">
        <v>163</v>
      </c>
      <c r="G209" t="s">
        <v>164</v>
      </c>
      <c r="H209" t="s">
        <v>161</v>
      </c>
      <c r="I209" t="s">
        <v>1982</v>
      </c>
      <c r="J209" t="s">
        <v>6</v>
      </c>
      <c r="K209" t="s">
        <v>164</v>
      </c>
      <c r="L209" t="s">
        <v>161</v>
      </c>
      <c r="M209" t="s">
        <v>165</v>
      </c>
      <c r="N209" t="s">
        <v>17</v>
      </c>
      <c r="O209" t="s">
        <v>164</v>
      </c>
      <c r="P209" t="s">
        <v>161</v>
      </c>
      <c r="Q209" t="s">
        <v>166</v>
      </c>
      <c r="R209">
        <v>16</v>
      </c>
      <c r="S209">
        <v>7</v>
      </c>
      <c r="T209">
        <v>63</v>
      </c>
      <c r="U209">
        <v>33</v>
      </c>
      <c r="V209">
        <v>36</v>
      </c>
      <c r="W209">
        <v>15</v>
      </c>
    </row>
    <row r="210" spans="1:23" ht="135" x14ac:dyDescent="0.2">
      <c r="A210" s="6">
        <v>45785.782187500001</v>
      </c>
      <c r="B210" t="s">
        <v>167</v>
      </c>
      <c r="C210">
        <v>820188402</v>
      </c>
      <c r="D210" s="7" t="s">
        <v>168</v>
      </c>
      <c r="E210" t="s">
        <v>1983</v>
      </c>
      <c r="F210" t="s">
        <v>169</v>
      </c>
      <c r="G210">
        <v>3408420392</v>
      </c>
      <c r="H210" t="s">
        <v>167</v>
      </c>
      <c r="I210" t="s">
        <v>170</v>
      </c>
      <c r="J210" t="s">
        <v>6</v>
      </c>
      <c r="K210">
        <v>3408680068</v>
      </c>
      <c r="L210" t="s">
        <v>171</v>
      </c>
      <c r="M210" t="s">
        <v>170</v>
      </c>
      <c r="N210" t="s">
        <v>6</v>
      </c>
      <c r="O210">
        <v>3408680068</v>
      </c>
      <c r="P210" t="s">
        <v>171</v>
      </c>
      <c r="Q210" t="s">
        <v>172</v>
      </c>
      <c r="R210">
        <v>14</v>
      </c>
      <c r="S210">
        <v>4</v>
      </c>
      <c r="T210">
        <v>44</v>
      </c>
      <c r="U210">
        <v>26</v>
      </c>
      <c r="V210">
        <v>30</v>
      </c>
      <c r="W210">
        <v>30</v>
      </c>
    </row>
    <row r="211" spans="1:23" x14ac:dyDescent="0.2">
      <c r="A211" s="6">
        <v>45786.302361111113</v>
      </c>
      <c r="B211" t="s">
        <v>173</v>
      </c>
      <c r="C211">
        <v>300251300</v>
      </c>
      <c r="D211" t="s">
        <v>174</v>
      </c>
      <c r="E211" t="s">
        <v>175</v>
      </c>
      <c r="F211" t="s">
        <v>176</v>
      </c>
      <c r="G211" t="s">
        <v>177</v>
      </c>
      <c r="H211" t="s">
        <v>173</v>
      </c>
      <c r="I211" t="s">
        <v>178</v>
      </c>
      <c r="J211" t="s">
        <v>6</v>
      </c>
      <c r="K211" t="s">
        <v>179</v>
      </c>
      <c r="L211" t="s">
        <v>180</v>
      </c>
      <c r="M211" t="s">
        <v>178</v>
      </c>
      <c r="N211" t="s">
        <v>6</v>
      </c>
      <c r="O211" t="s">
        <v>179</v>
      </c>
      <c r="P211" t="s">
        <v>180</v>
      </c>
      <c r="Q211" t="s">
        <v>181</v>
      </c>
      <c r="R211">
        <v>21</v>
      </c>
      <c r="S211">
        <v>4</v>
      </c>
      <c r="T211">
        <v>45</v>
      </c>
      <c r="U211">
        <v>40</v>
      </c>
      <c r="V211">
        <v>32</v>
      </c>
      <c r="W211">
        <v>19</v>
      </c>
    </row>
    <row r="212" spans="1:23" x14ac:dyDescent="0.2">
      <c r="A212" s="6">
        <v>45786.415219907409</v>
      </c>
      <c r="B212" t="s">
        <v>182</v>
      </c>
      <c r="C212">
        <v>20142000</v>
      </c>
      <c r="D212" t="s">
        <v>183</v>
      </c>
      <c r="E212" t="s">
        <v>1984</v>
      </c>
      <c r="F212" t="s">
        <v>184</v>
      </c>
      <c r="G212" t="s">
        <v>185</v>
      </c>
      <c r="H212" t="s">
        <v>182</v>
      </c>
      <c r="I212" t="s">
        <v>1985</v>
      </c>
      <c r="J212" t="s">
        <v>6</v>
      </c>
      <c r="K212">
        <v>1168326747</v>
      </c>
      <c r="L212" t="s">
        <v>186</v>
      </c>
      <c r="M212" t="s">
        <v>1985</v>
      </c>
      <c r="N212" t="s">
        <v>6</v>
      </c>
      <c r="O212">
        <v>1168326747</v>
      </c>
      <c r="P212" t="s">
        <v>186</v>
      </c>
      <c r="Q212" t="s">
        <v>1986</v>
      </c>
      <c r="R212">
        <v>8</v>
      </c>
      <c r="S212">
        <v>2</v>
      </c>
      <c r="T212">
        <v>0</v>
      </c>
      <c r="U212">
        <v>8</v>
      </c>
      <c r="V212">
        <v>26</v>
      </c>
      <c r="W212">
        <v>46</v>
      </c>
    </row>
    <row r="213" spans="1:23" x14ac:dyDescent="0.2">
      <c r="A213" s="6">
        <v>45786.501122685186</v>
      </c>
      <c r="B213" t="s">
        <v>187</v>
      </c>
      <c r="C213">
        <v>180143000</v>
      </c>
      <c r="D213" t="s">
        <v>188</v>
      </c>
      <c r="E213" t="s">
        <v>189</v>
      </c>
      <c r="F213" t="s">
        <v>190</v>
      </c>
      <c r="H213" t="s">
        <v>187</v>
      </c>
      <c r="I213" t="s">
        <v>191</v>
      </c>
      <c r="J213" t="s">
        <v>6</v>
      </c>
      <c r="K213">
        <v>3794340448</v>
      </c>
      <c r="L213" t="s">
        <v>187</v>
      </c>
      <c r="M213" t="s">
        <v>192</v>
      </c>
      <c r="N213" t="s">
        <v>8</v>
      </c>
      <c r="O213">
        <v>3794569700</v>
      </c>
      <c r="P213" t="s">
        <v>193</v>
      </c>
      <c r="Q213" t="s">
        <v>194</v>
      </c>
      <c r="R213">
        <v>31</v>
      </c>
      <c r="S213">
        <v>16</v>
      </c>
      <c r="T213">
        <v>91</v>
      </c>
      <c r="U213">
        <v>46</v>
      </c>
      <c r="V213">
        <v>79</v>
      </c>
      <c r="W213">
        <v>26</v>
      </c>
    </row>
    <row r="214" spans="1:23" x14ac:dyDescent="0.2">
      <c r="A214" s="6">
        <v>45786.659270833334</v>
      </c>
      <c r="B214" t="s">
        <v>195</v>
      </c>
      <c r="C214">
        <v>180121600</v>
      </c>
      <c r="D214" t="s">
        <v>196</v>
      </c>
      <c r="E214" t="s">
        <v>197</v>
      </c>
      <c r="F214" t="s">
        <v>198</v>
      </c>
      <c r="G214" t="s">
        <v>199</v>
      </c>
      <c r="H214" t="s">
        <v>195</v>
      </c>
      <c r="I214" t="s">
        <v>200</v>
      </c>
      <c r="J214" t="s">
        <v>6</v>
      </c>
      <c r="K214" t="s">
        <v>201</v>
      </c>
      <c r="L214" t="s">
        <v>202</v>
      </c>
      <c r="M214" t="s">
        <v>203</v>
      </c>
      <c r="N214" t="s">
        <v>17</v>
      </c>
      <c r="O214" t="s">
        <v>204</v>
      </c>
      <c r="P214" t="s">
        <v>205</v>
      </c>
      <c r="Q214" t="s">
        <v>206</v>
      </c>
      <c r="R214">
        <v>12</v>
      </c>
      <c r="S214">
        <v>3</v>
      </c>
      <c r="T214">
        <v>73</v>
      </c>
      <c r="U214">
        <v>49</v>
      </c>
      <c r="V214">
        <v>22</v>
      </c>
      <c r="W214">
        <v>23</v>
      </c>
    </row>
    <row r="215" spans="1:23" x14ac:dyDescent="0.2">
      <c r="A215" s="6">
        <v>45786.775289351855</v>
      </c>
      <c r="B215" t="s">
        <v>207</v>
      </c>
      <c r="C215">
        <v>820412100</v>
      </c>
      <c r="D215" t="s">
        <v>208</v>
      </c>
      <c r="E215" t="s">
        <v>209</v>
      </c>
      <c r="F215" t="s">
        <v>210</v>
      </c>
      <c r="G215">
        <v>3424566787</v>
      </c>
      <c r="H215" t="s">
        <v>207</v>
      </c>
      <c r="I215" t="s">
        <v>211</v>
      </c>
      <c r="J215" t="s">
        <v>1987</v>
      </c>
      <c r="K215">
        <v>3425010603</v>
      </c>
      <c r="L215" t="s">
        <v>212</v>
      </c>
      <c r="M215" t="s">
        <v>213</v>
      </c>
      <c r="N215" t="s">
        <v>8</v>
      </c>
      <c r="O215">
        <v>3424458648</v>
      </c>
      <c r="P215" t="s">
        <v>214</v>
      </c>
      <c r="Q215" t="s">
        <v>215</v>
      </c>
      <c r="R215">
        <v>26</v>
      </c>
      <c r="S215">
        <v>8</v>
      </c>
      <c r="T215">
        <v>220</v>
      </c>
      <c r="U215">
        <v>180</v>
      </c>
      <c r="V215">
        <v>90</v>
      </c>
      <c r="W215">
        <v>32</v>
      </c>
    </row>
    <row r="216" spans="1:23" x14ac:dyDescent="0.2">
      <c r="A216" s="6">
        <v>45786.839895833335</v>
      </c>
      <c r="B216" t="s">
        <v>216</v>
      </c>
      <c r="C216">
        <v>140261700</v>
      </c>
      <c r="D216" t="s">
        <v>217</v>
      </c>
      <c r="E216" t="s">
        <v>218</v>
      </c>
      <c r="F216" t="s">
        <v>219</v>
      </c>
      <c r="G216">
        <v>3533402945</v>
      </c>
      <c r="H216" t="s">
        <v>216</v>
      </c>
      <c r="I216" t="s">
        <v>220</v>
      </c>
      <c r="J216" t="s">
        <v>33</v>
      </c>
      <c r="K216">
        <v>3533689245</v>
      </c>
      <c r="L216" t="s">
        <v>221</v>
      </c>
      <c r="M216" t="s">
        <v>222</v>
      </c>
      <c r="N216" t="s">
        <v>17</v>
      </c>
      <c r="O216">
        <v>3533404587</v>
      </c>
      <c r="P216" t="s">
        <v>223</v>
      </c>
      <c r="Q216" t="s">
        <v>224</v>
      </c>
      <c r="R216">
        <v>5</v>
      </c>
      <c r="S216">
        <v>1</v>
      </c>
      <c r="T216">
        <v>39</v>
      </c>
      <c r="U216">
        <v>0</v>
      </c>
      <c r="V216">
        <v>0</v>
      </c>
      <c r="W216">
        <v>22</v>
      </c>
    </row>
    <row r="217" spans="1:23" x14ac:dyDescent="0.2">
      <c r="A217" s="6">
        <v>45787.615451388891</v>
      </c>
      <c r="B217" t="s">
        <v>225</v>
      </c>
      <c r="C217">
        <v>60611700</v>
      </c>
      <c r="D217" t="s">
        <v>226</v>
      </c>
      <c r="E217" t="s">
        <v>227</v>
      </c>
      <c r="F217" t="s">
        <v>228</v>
      </c>
      <c r="G217">
        <v>37547350</v>
      </c>
      <c r="H217" t="s">
        <v>229</v>
      </c>
      <c r="I217" t="s">
        <v>230</v>
      </c>
      <c r="J217" t="s">
        <v>33</v>
      </c>
      <c r="K217" t="s">
        <v>231</v>
      </c>
      <c r="L217" t="s">
        <v>225</v>
      </c>
      <c r="M217" t="s">
        <v>232</v>
      </c>
      <c r="N217" t="s">
        <v>17</v>
      </c>
      <c r="O217">
        <v>1141767235</v>
      </c>
      <c r="P217" t="s">
        <v>233</v>
      </c>
      <c r="Q217" t="s">
        <v>234</v>
      </c>
      <c r="R217">
        <v>32</v>
      </c>
      <c r="S217">
        <v>15</v>
      </c>
      <c r="T217">
        <v>95</v>
      </c>
      <c r="U217">
        <v>69</v>
      </c>
      <c r="V217">
        <v>71</v>
      </c>
      <c r="W217">
        <v>45</v>
      </c>
    </row>
    <row r="218" spans="1:23" x14ac:dyDescent="0.2">
      <c r="A218" s="6">
        <v>45788.733090277776</v>
      </c>
      <c r="B218" t="s">
        <v>235</v>
      </c>
      <c r="C218">
        <v>660117400</v>
      </c>
      <c r="D218" t="s">
        <v>1988</v>
      </c>
      <c r="E218" t="s">
        <v>236</v>
      </c>
      <c r="F218" t="s">
        <v>237</v>
      </c>
      <c r="G218">
        <v>3874318963</v>
      </c>
      <c r="H218" t="s">
        <v>235</v>
      </c>
      <c r="I218" t="s">
        <v>238</v>
      </c>
      <c r="J218" t="s">
        <v>6</v>
      </c>
      <c r="K218">
        <v>3874872615</v>
      </c>
      <c r="L218" t="s">
        <v>235</v>
      </c>
      <c r="M218" t="s">
        <v>239</v>
      </c>
      <c r="N218" t="s">
        <v>17</v>
      </c>
      <c r="O218">
        <v>3874403056</v>
      </c>
      <c r="P218" t="s">
        <v>240</v>
      </c>
      <c r="Q218" t="s">
        <v>241</v>
      </c>
      <c r="R218">
        <v>44</v>
      </c>
      <c r="S218">
        <v>36</v>
      </c>
      <c r="T218">
        <v>210</v>
      </c>
      <c r="U218">
        <v>245</v>
      </c>
      <c r="V218">
        <v>236</v>
      </c>
      <c r="W218">
        <v>125</v>
      </c>
    </row>
    <row r="219" spans="1:23" x14ac:dyDescent="0.2">
      <c r="A219" s="6">
        <v>45789.445497685185</v>
      </c>
      <c r="B219" t="s">
        <v>242</v>
      </c>
      <c r="C219">
        <v>540027900</v>
      </c>
      <c r="D219" t="s">
        <v>243</v>
      </c>
      <c r="E219" t="s">
        <v>1989</v>
      </c>
      <c r="F219" t="s">
        <v>244</v>
      </c>
      <c r="G219" t="s">
        <v>1990</v>
      </c>
      <c r="H219" t="s">
        <v>245</v>
      </c>
      <c r="I219" t="s">
        <v>246</v>
      </c>
      <c r="J219" t="s">
        <v>6</v>
      </c>
      <c r="K219" t="s">
        <v>247</v>
      </c>
      <c r="L219" t="s">
        <v>248</v>
      </c>
      <c r="M219" t="s">
        <v>249</v>
      </c>
      <c r="N219" t="s">
        <v>17</v>
      </c>
      <c r="O219">
        <v>93754442544</v>
      </c>
      <c r="P219" t="s">
        <v>242</v>
      </c>
      <c r="Q219" t="s">
        <v>250</v>
      </c>
      <c r="R219">
        <v>14</v>
      </c>
      <c r="S219">
        <v>5</v>
      </c>
      <c r="T219">
        <v>72</v>
      </c>
      <c r="U219">
        <v>46</v>
      </c>
      <c r="V219">
        <v>35</v>
      </c>
      <c r="W219">
        <v>19</v>
      </c>
    </row>
    <row r="220" spans="1:23" x14ac:dyDescent="0.2">
      <c r="A220" s="6">
        <v>45789.55736111111</v>
      </c>
      <c r="B220" t="s">
        <v>251</v>
      </c>
      <c r="C220">
        <v>60800900</v>
      </c>
      <c r="D220" t="s">
        <v>1991</v>
      </c>
      <c r="E220" t="s">
        <v>252</v>
      </c>
      <c r="F220" t="s">
        <v>253</v>
      </c>
      <c r="G220" t="s">
        <v>1992</v>
      </c>
      <c r="H220" t="s">
        <v>251</v>
      </c>
      <c r="I220" t="s">
        <v>254</v>
      </c>
      <c r="J220" t="s">
        <v>33</v>
      </c>
      <c r="K220" t="s">
        <v>255</v>
      </c>
      <c r="L220" t="s">
        <v>251</v>
      </c>
      <c r="M220" t="s">
        <v>256</v>
      </c>
      <c r="N220" t="s">
        <v>27</v>
      </c>
      <c r="O220" t="s">
        <v>257</v>
      </c>
      <c r="P220" t="s">
        <v>251</v>
      </c>
      <c r="Q220" t="s">
        <v>258</v>
      </c>
      <c r="R220">
        <v>12</v>
      </c>
      <c r="S220">
        <v>7</v>
      </c>
      <c r="T220">
        <v>62</v>
      </c>
      <c r="U220">
        <v>38</v>
      </c>
      <c r="V220">
        <v>38</v>
      </c>
      <c r="W220">
        <v>17</v>
      </c>
    </row>
    <row r="221" spans="1:23" ht="121.5" x14ac:dyDescent="0.2">
      <c r="A221" s="6">
        <v>45789.582511574074</v>
      </c>
      <c r="B221" t="s">
        <v>2318</v>
      </c>
      <c r="C221">
        <v>61233400</v>
      </c>
      <c r="D221" s="7" t="s">
        <v>259</v>
      </c>
      <c r="E221" t="s">
        <v>260</v>
      </c>
      <c r="F221" t="s">
        <v>261</v>
      </c>
      <c r="G221">
        <v>47437487</v>
      </c>
      <c r="H221" t="s">
        <v>262</v>
      </c>
      <c r="I221" t="s">
        <v>263</v>
      </c>
      <c r="J221" t="s">
        <v>33</v>
      </c>
      <c r="K221">
        <v>1156368517</v>
      </c>
      <c r="L221" t="s">
        <v>262</v>
      </c>
      <c r="M221" t="s">
        <v>232</v>
      </c>
      <c r="N221" t="s">
        <v>17</v>
      </c>
      <c r="O221">
        <v>1141767235</v>
      </c>
      <c r="P221" t="s">
        <v>264</v>
      </c>
      <c r="Q221" t="s">
        <v>1993</v>
      </c>
      <c r="R221">
        <v>20</v>
      </c>
      <c r="S221">
        <v>13</v>
      </c>
      <c r="T221">
        <v>35</v>
      </c>
      <c r="U221">
        <v>61</v>
      </c>
      <c r="V221">
        <v>68</v>
      </c>
      <c r="W221">
        <v>52</v>
      </c>
    </row>
    <row r="222" spans="1:23" x14ac:dyDescent="0.2">
      <c r="A222" s="6">
        <v>45789.607847222222</v>
      </c>
      <c r="B222" t="s">
        <v>265</v>
      </c>
      <c r="C222">
        <v>60167400</v>
      </c>
      <c r="D222" t="s">
        <v>266</v>
      </c>
      <c r="E222" t="s">
        <v>1994</v>
      </c>
      <c r="F222" t="s">
        <v>267</v>
      </c>
      <c r="G222" t="s">
        <v>1995</v>
      </c>
      <c r="H222" t="s">
        <v>265</v>
      </c>
      <c r="I222" t="s">
        <v>268</v>
      </c>
      <c r="J222" t="s">
        <v>33</v>
      </c>
      <c r="K222" t="s">
        <v>269</v>
      </c>
      <c r="L222" t="s">
        <v>270</v>
      </c>
      <c r="M222" t="s">
        <v>271</v>
      </c>
      <c r="N222" t="s">
        <v>55</v>
      </c>
      <c r="O222" t="s">
        <v>272</v>
      </c>
      <c r="P222" t="s">
        <v>273</v>
      </c>
      <c r="Q222" t="s">
        <v>274</v>
      </c>
      <c r="R222">
        <v>15</v>
      </c>
      <c r="S222">
        <v>6</v>
      </c>
      <c r="T222">
        <v>45</v>
      </c>
      <c r="U222">
        <v>36</v>
      </c>
      <c r="V222">
        <v>36</v>
      </c>
      <c r="W222">
        <v>39</v>
      </c>
    </row>
    <row r="223" spans="1:23" x14ac:dyDescent="0.2">
      <c r="A223" s="6">
        <v>45789.785196759258</v>
      </c>
      <c r="B223" t="s">
        <v>275</v>
      </c>
      <c r="C223">
        <v>140322200</v>
      </c>
      <c r="D223" t="s">
        <v>276</v>
      </c>
      <c r="E223" t="s">
        <v>277</v>
      </c>
      <c r="F223" t="s">
        <v>278</v>
      </c>
      <c r="G223" t="s">
        <v>1996</v>
      </c>
      <c r="H223" t="s">
        <v>275</v>
      </c>
      <c r="I223" t="s">
        <v>279</v>
      </c>
      <c r="J223" t="s">
        <v>33</v>
      </c>
      <c r="K223" t="s">
        <v>280</v>
      </c>
      <c r="L223" t="s">
        <v>281</v>
      </c>
      <c r="M223" t="s">
        <v>282</v>
      </c>
      <c r="N223" t="s">
        <v>17</v>
      </c>
      <c r="O223" t="s">
        <v>283</v>
      </c>
      <c r="P223" t="s">
        <v>275</v>
      </c>
      <c r="Q223" t="s">
        <v>771</v>
      </c>
      <c r="R223">
        <v>13</v>
      </c>
      <c r="S223">
        <v>2</v>
      </c>
      <c r="T223">
        <v>42</v>
      </c>
      <c r="U223">
        <v>20</v>
      </c>
      <c r="V223">
        <v>29</v>
      </c>
      <c r="W223">
        <v>33</v>
      </c>
    </row>
    <row r="224" spans="1:23" x14ac:dyDescent="0.2">
      <c r="A224" s="6">
        <v>45789.811967592592</v>
      </c>
      <c r="B224" t="s">
        <v>284</v>
      </c>
      <c r="C224">
        <v>60011700</v>
      </c>
      <c r="D224" t="s">
        <v>285</v>
      </c>
      <c r="E224" t="s">
        <v>1997</v>
      </c>
      <c r="F224" t="s">
        <v>286</v>
      </c>
      <c r="G224">
        <v>1152949019</v>
      </c>
      <c r="H224" t="s">
        <v>284</v>
      </c>
      <c r="I224" t="s">
        <v>287</v>
      </c>
      <c r="J224" t="s">
        <v>33</v>
      </c>
      <c r="K224">
        <v>1158865307</v>
      </c>
      <c r="L224" t="s">
        <v>288</v>
      </c>
      <c r="M224" t="s">
        <v>289</v>
      </c>
      <c r="N224" t="s">
        <v>55</v>
      </c>
      <c r="O224">
        <v>1149469060</v>
      </c>
      <c r="P224" t="s">
        <v>290</v>
      </c>
      <c r="Q224" t="s">
        <v>291</v>
      </c>
      <c r="R224">
        <v>12</v>
      </c>
      <c r="S224">
        <v>4</v>
      </c>
      <c r="T224">
        <v>0</v>
      </c>
      <c r="U224">
        <v>25</v>
      </c>
      <c r="V224">
        <v>32</v>
      </c>
      <c r="W224">
        <v>12</v>
      </c>
    </row>
    <row r="225" spans="1:23" x14ac:dyDescent="0.2">
      <c r="A225" s="6">
        <v>45790.406597222223</v>
      </c>
      <c r="B225" t="s">
        <v>292</v>
      </c>
      <c r="C225">
        <v>60643100</v>
      </c>
      <c r="D225" t="s">
        <v>293</v>
      </c>
      <c r="E225" t="s">
        <v>294</v>
      </c>
      <c r="F225" t="s">
        <v>295</v>
      </c>
      <c r="G225">
        <v>2214271917</v>
      </c>
      <c r="H225" t="s">
        <v>292</v>
      </c>
      <c r="I225" t="s">
        <v>296</v>
      </c>
      <c r="J225" t="s">
        <v>33</v>
      </c>
      <c r="K225">
        <v>2345429100</v>
      </c>
      <c r="L225" t="s">
        <v>297</v>
      </c>
      <c r="M225" t="s">
        <v>298</v>
      </c>
      <c r="N225" t="s">
        <v>17</v>
      </c>
      <c r="O225">
        <v>2215526140</v>
      </c>
      <c r="P225" t="s">
        <v>299</v>
      </c>
      <c r="Q225" t="s">
        <v>300</v>
      </c>
      <c r="R225">
        <v>13</v>
      </c>
      <c r="S225">
        <v>8</v>
      </c>
      <c r="T225">
        <v>28</v>
      </c>
      <c r="U225">
        <v>19</v>
      </c>
      <c r="V225">
        <v>22</v>
      </c>
      <c r="W225">
        <v>38</v>
      </c>
    </row>
    <row r="226" spans="1:23" x14ac:dyDescent="0.2">
      <c r="A226" s="6">
        <v>45790.746516203704</v>
      </c>
      <c r="B226" t="s">
        <v>301</v>
      </c>
      <c r="C226">
        <v>500132400</v>
      </c>
      <c r="D226" t="s">
        <v>302</v>
      </c>
      <c r="E226" t="s">
        <v>1998</v>
      </c>
      <c r="F226" t="s">
        <v>303</v>
      </c>
      <c r="G226">
        <v>2604421079</v>
      </c>
      <c r="H226" t="s">
        <v>301</v>
      </c>
      <c r="I226" t="s">
        <v>304</v>
      </c>
      <c r="J226" t="s">
        <v>6</v>
      </c>
      <c r="K226">
        <v>2604320557</v>
      </c>
      <c r="L226" t="s">
        <v>305</v>
      </c>
      <c r="M226" t="s">
        <v>304</v>
      </c>
      <c r="N226" t="s">
        <v>6</v>
      </c>
      <c r="O226">
        <v>2604320557</v>
      </c>
      <c r="P226" t="s">
        <v>305</v>
      </c>
      <c r="Q226" t="s">
        <v>306</v>
      </c>
      <c r="R226">
        <v>24</v>
      </c>
      <c r="S226">
        <v>4</v>
      </c>
      <c r="T226">
        <v>94</v>
      </c>
      <c r="U226">
        <v>56</v>
      </c>
      <c r="V226">
        <v>56</v>
      </c>
      <c r="W226">
        <v>56</v>
      </c>
    </row>
    <row r="227" spans="1:23" x14ac:dyDescent="0.2">
      <c r="A227" s="6">
        <v>45792.471979166665</v>
      </c>
      <c r="B227" t="s">
        <v>307</v>
      </c>
      <c r="C227">
        <v>20299400</v>
      </c>
      <c r="D227" t="s">
        <v>308</v>
      </c>
      <c r="E227" t="s">
        <v>1942</v>
      </c>
      <c r="F227" t="s">
        <v>309</v>
      </c>
      <c r="G227" t="s">
        <v>310</v>
      </c>
      <c r="H227" t="s">
        <v>307</v>
      </c>
      <c r="I227" t="s">
        <v>311</v>
      </c>
      <c r="J227" t="s">
        <v>6</v>
      </c>
      <c r="K227" t="s">
        <v>310</v>
      </c>
      <c r="L227" t="s">
        <v>307</v>
      </c>
      <c r="M227" t="s">
        <v>311</v>
      </c>
      <c r="N227" t="s">
        <v>6</v>
      </c>
      <c r="O227" t="s">
        <v>310</v>
      </c>
      <c r="P227" t="s">
        <v>307</v>
      </c>
      <c r="Q227" t="s">
        <v>312</v>
      </c>
      <c r="R227">
        <v>24</v>
      </c>
      <c r="S227">
        <v>9</v>
      </c>
      <c r="T227">
        <v>45</v>
      </c>
      <c r="U227">
        <v>49</v>
      </c>
      <c r="V227">
        <v>31</v>
      </c>
      <c r="W227">
        <v>19</v>
      </c>
    </row>
    <row r="228" spans="1:23" x14ac:dyDescent="0.2">
      <c r="A228" s="6">
        <v>45792.868692129632</v>
      </c>
      <c r="B228" t="s">
        <v>313</v>
      </c>
      <c r="C228">
        <v>820104900</v>
      </c>
      <c r="D228" t="s">
        <v>1999</v>
      </c>
      <c r="E228" t="s">
        <v>314</v>
      </c>
      <c r="F228" t="s">
        <v>315</v>
      </c>
      <c r="G228" t="s">
        <v>316</v>
      </c>
      <c r="H228" t="s">
        <v>317</v>
      </c>
      <c r="I228" t="s">
        <v>318</v>
      </c>
      <c r="J228" t="s">
        <v>33</v>
      </c>
      <c r="K228">
        <v>3482641553</v>
      </c>
      <c r="L228" t="s">
        <v>313</v>
      </c>
      <c r="M228" t="s">
        <v>319</v>
      </c>
      <c r="N228" t="s">
        <v>17</v>
      </c>
      <c r="O228">
        <v>3482655187</v>
      </c>
      <c r="P228" t="s">
        <v>320</v>
      </c>
      <c r="Q228" t="s">
        <v>321</v>
      </c>
      <c r="R228">
        <v>13</v>
      </c>
      <c r="S228">
        <v>6</v>
      </c>
      <c r="T228">
        <v>44</v>
      </c>
      <c r="U228">
        <v>89</v>
      </c>
      <c r="V228">
        <v>3</v>
      </c>
      <c r="W228">
        <v>18</v>
      </c>
    </row>
    <row r="229" spans="1:23" x14ac:dyDescent="0.2">
      <c r="A229" s="6">
        <v>45793.405601851853</v>
      </c>
      <c r="B229" t="s">
        <v>322</v>
      </c>
      <c r="C229">
        <v>580075500</v>
      </c>
      <c r="D229" t="s">
        <v>323</v>
      </c>
      <c r="E229" t="s">
        <v>324</v>
      </c>
      <c r="F229" t="s">
        <v>325</v>
      </c>
      <c r="G229" t="s">
        <v>326</v>
      </c>
      <c r="H229" t="s">
        <v>327</v>
      </c>
      <c r="I229" t="s">
        <v>328</v>
      </c>
      <c r="J229" t="s">
        <v>33</v>
      </c>
      <c r="K229" t="s">
        <v>329</v>
      </c>
      <c r="L229" t="s">
        <v>322</v>
      </c>
      <c r="M229" t="s">
        <v>328</v>
      </c>
      <c r="N229" t="s">
        <v>8</v>
      </c>
      <c r="O229" t="s">
        <v>329</v>
      </c>
      <c r="P229" t="s">
        <v>322</v>
      </c>
      <c r="Q229" t="s">
        <v>330</v>
      </c>
      <c r="R229">
        <v>16</v>
      </c>
      <c r="S229">
        <v>9</v>
      </c>
      <c r="T229">
        <v>137</v>
      </c>
      <c r="U229">
        <v>79</v>
      </c>
      <c r="V229">
        <v>61</v>
      </c>
      <c r="W229">
        <v>47</v>
      </c>
    </row>
    <row r="230" spans="1:23" x14ac:dyDescent="0.2">
      <c r="A230" s="6">
        <v>45793.611921296295</v>
      </c>
      <c r="B230" t="s">
        <v>2319</v>
      </c>
      <c r="C230">
        <v>62385500</v>
      </c>
      <c r="D230" t="s">
        <v>427</v>
      </c>
      <c r="E230" t="s">
        <v>428</v>
      </c>
      <c r="F230" t="s">
        <v>429</v>
      </c>
      <c r="G230">
        <v>2234390547</v>
      </c>
      <c r="H230" t="s">
        <v>430</v>
      </c>
      <c r="I230" t="s">
        <v>431</v>
      </c>
      <c r="J230" t="s">
        <v>33</v>
      </c>
      <c r="K230">
        <v>234904</v>
      </c>
      <c r="L230" t="s">
        <v>430</v>
      </c>
      <c r="M230" t="s">
        <v>432</v>
      </c>
      <c r="N230" t="s">
        <v>55</v>
      </c>
      <c r="O230">
        <v>22352270</v>
      </c>
      <c r="P230" t="s">
        <v>433</v>
      </c>
      <c r="Q230" t="s">
        <v>434</v>
      </c>
      <c r="R230">
        <v>17</v>
      </c>
      <c r="S230">
        <v>7</v>
      </c>
      <c r="T230">
        <v>25</v>
      </c>
      <c r="U230">
        <v>30</v>
      </c>
      <c r="V230">
        <v>39</v>
      </c>
      <c r="W230">
        <v>37</v>
      </c>
    </row>
    <row r="231" spans="1:23" x14ac:dyDescent="0.2">
      <c r="A231" s="6">
        <v>45793.685266203705</v>
      </c>
      <c r="B231" t="s">
        <v>2320</v>
      </c>
      <c r="C231">
        <v>140532900</v>
      </c>
      <c r="D231" t="s">
        <v>357</v>
      </c>
      <c r="E231" t="s">
        <v>2000</v>
      </c>
      <c r="F231" t="s">
        <v>358</v>
      </c>
      <c r="G231">
        <v>3564504942</v>
      </c>
      <c r="H231" t="s">
        <v>359</v>
      </c>
      <c r="I231" t="s">
        <v>360</v>
      </c>
      <c r="J231" t="s">
        <v>33</v>
      </c>
      <c r="K231">
        <v>3564571932</v>
      </c>
      <c r="L231" t="s">
        <v>361</v>
      </c>
      <c r="M231" t="s">
        <v>362</v>
      </c>
      <c r="N231" t="s">
        <v>8</v>
      </c>
      <c r="O231">
        <v>3564571932</v>
      </c>
      <c r="P231" t="s">
        <v>361</v>
      </c>
      <c r="Q231" t="s">
        <v>363</v>
      </c>
      <c r="R231">
        <v>15</v>
      </c>
      <c r="S231">
        <v>3</v>
      </c>
      <c r="T231">
        <v>34</v>
      </c>
      <c r="U231">
        <v>36</v>
      </c>
      <c r="V231">
        <v>26</v>
      </c>
      <c r="W231">
        <v>31</v>
      </c>
    </row>
    <row r="232" spans="1:23" x14ac:dyDescent="0.2">
      <c r="A232" s="6">
        <v>45793.693518518521</v>
      </c>
      <c r="B232" t="s">
        <v>331</v>
      </c>
      <c r="C232">
        <v>140333900</v>
      </c>
      <c r="D232" t="s">
        <v>332</v>
      </c>
      <c r="E232" t="s">
        <v>333</v>
      </c>
      <c r="F232" t="s">
        <v>334</v>
      </c>
      <c r="G232">
        <v>3513514869</v>
      </c>
      <c r="H232" t="s">
        <v>335</v>
      </c>
      <c r="I232" t="s">
        <v>2001</v>
      </c>
      <c r="J232" t="s">
        <v>33</v>
      </c>
      <c r="K232">
        <v>3512772841</v>
      </c>
      <c r="L232" t="s">
        <v>336</v>
      </c>
      <c r="M232" t="s">
        <v>337</v>
      </c>
      <c r="N232" t="s">
        <v>36</v>
      </c>
      <c r="O232">
        <v>3515555102</v>
      </c>
      <c r="P232" t="s">
        <v>331</v>
      </c>
      <c r="Q232" t="s">
        <v>338</v>
      </c>
      <c r="R232">
        <v>18</v>
      </c>
      <c r="S232">
        <v>12</v>
      </c>
      <c r="T232">
        <v>91</v>
      </c>
      <c r="U232">
        <v>88</v>
      </c>
      <c r="V232">
        <v>58</v>
      </c>
      <c r="W232">
        <v>49</v>
      </c>
    </row>
    <row r="233" spans="1:23" x14ac:dyDescent="0.2">
      <c r="A233" s="6">
        <v>45793.710393518515</v>
      </c>
      <c r="B233" t="s">
        <v>339</v>
      </c>
      <c r="C233">
        <v>140510100</v>
      </c>
      <c r="D233" t="s">
        <v>340</v>
      </c>
      <c r="E233" t="s">
        <v>333</v>
      </c>
      <c r="F233" t="s">
        <v>341</v>
      </c>
      <c r="G233">
        <v>3516430818</v>
      </c>
      <c r="H233" t="s">
        <v>342</v>
      </c>
      <c r="I233" t="s">
        <v>343</v>
      </c>
      <c r="J233" t="s">
        <v>33</v>
      </c>
      <c r="K233">
        <v>3516430818</v>
      </c>
      <c r="L233" t="s">
        <v>342</v>
      </c>
      <c r="M233" t="s">
        <v>344</v>
      </c>
      <c r="N233" t="s">
        <v>17</v>
      </c>
      <c r="O233" t="s">
        <v>345</v>
      </c>
      <c r="P233" t="s">
        <v>346</v>
      </c>
      <c r="Q233" t="s">
        <v>101</v>
      </c>
      <c r="R233">
        <v>98</v>
      </c>
      <c r="S233">
        <v>15</v>
      </c>
      <c r="T233">
        <v>242</v>
      </c>
      <c r="U233">
        <v>80</v>
      </c>
      <c r="V233">
        <v>92</v>
      </c>
      <c r="W233">
        <v>137</v>
      </c>
    </row>
    <row r="234" spans="1:23" x14ac:dyDescent="0.2">
      <c r="A234" s="6">
        <v>45793.726550925923</v>
      </c>
      <c r="B234" t="s">
        <v>347</v>
      </c>
      <c r="C234">
        <v>140510106</v>
      </c>
      <c r="D234" t="s">
        <v>348</v>
      </c>
      <c r="E234" t="s">
        <v>2002</v>
      </c>
      <c r="F234" t="s">
        <v>349</v>
      </c>
      <c r="G234">
        <v>3584209354</v>
      </c>
      <c r="H234" t="s">
        <v>347</v>
      </c>
      <c r="I234" t="s">
        <v>350</v>
      </c>
      <c r="J234" t="s">
        <v>33</v>
      </c>
      <c r="K234">
        <v>3516430818</v>
      </c>
      <c r="L234" t="s">
        <v>351</v>
      </c>
      <c r="M234" t="s">
        <v>352</v>
      </c>
      <c r="N234" t="s">
        <v>17</v>
      </c>
      <c r="O234">
        <v>3584209354</v>
      </c>
      <c r="P234" t="s">
        <v>347</v>
      </c>
      <c r="Q234" t="s">
        <v>353</v>
      </c>
      <c r="R234">
        <v>11</v>
      </c>
      <c r="S234">
        <v>1</v>
      </c>
      <c r="T234">
        <v>23</v>
      </c>
      <c r="U234">
        <v>32</v>
      </c>
      <c r="V234">
        <v>31</v>
      </c>
      <c r="W234">
        <v>21</v>
      </c>
    </row>
    <row r="235" spans="1:23" x14ac:dyDescent="0.2">
      <c r="A235" s="6">
        <v>45793.739340277774</v>
      </c>
      <c r="B235" t="s">
        <v>354</v>
      </c>
      <c r="C235">
        <v>140510105</v>
      </c>
      <c r="D235" t="s">
        <v>355</v>
      </c>
      <c r="E235" t="s">
        <v>2259</v>
      </c>
      <c r="F235" t="s">
        <v>2321</v>
      </c>
      <c r="G235">
        <v>3472422119</v>
      </c>
      <c r="H235" t="s">
        <v>354</v>
      </c>
      <c r="I235" t="s">
        <v>343</v>
      </c>
      <c r="J235" t="s">
        <v>33</v>
      </c>
      <c r="K235">
        <v>3514202600</v>
      </c>
      <c r="L235" t="s">
        <v>2322</v>
      </c>
      <c r="M235" t="s">
        <v>356</v>
      </c>
      <c r="N235" t="s">
        <v>17</v>
      </c>
      <c r="O235">
        <v>3472625539</v>
      </c>
      <c r="P235" t="s">
        <v>354</v>
      </c>
      <c r="Q235" t="s">
        <v>2323</v>
      </c>
      <c r="R235">
        <v>8</v>
      </c>
      <c r="S235">
        <v>1</v>
      </c>
      <c r="T235">
        <v>23</v>
      </c>
      <c r="U235">
        <v>14</v>
      </c>
      <c r="V235">
        <v>14</v>
      </c>
      <c r="W235">
        <v>13</v>
      </c>
    </row>
    <row r="236" spans="1:23" x14ac:dyDescent="0.2">
      <c r="A236" s="6">
        <v>45793.744120370371</v>
      </c>
      <c r="B236" t="s">
        <v>364</v>
      </c>
      <c r="C236">
        <v>140510103</v>
      </c>
      <c r="D236" t="s">
        <v>365</v>
      </c>
      <c r="E236" t="s">
        <v>366</v>
      </c>
      <c r="F236" t="s">
        <v>367</v>
      </c>
      <c r="G236">
        <v>3532408119</v>
      </c>
      <c r="H236" t="s">
        <v>364</v>
      </c>
      <c r="I236" t="s">
        <v>343</v>
      </c>
      <c r="J236" t="s">
        <v>33</v>
      </c>
      <c r="K236">
        <v>3516430818</v>
      </c>
      <c r="L236" t="s">
        <v>339</v>
      </c>
      <c r="M236" t="s">
        <v>368</v>
      </c>
      <c r="N236" t="s">
        <v>17</v>
      </c>
      <c r="O236">
        <v>3532408119</v>
      </c>
      <c r="P236" t="s">
        <v>364</v>
      </c>
      <c r="Q236" t="s">
        <v>369</v>
      </c>
      <c r="R236">
        <v>11</v>
      </c>
      <c r="S236">
        <v>1</v>
      </c>
      <c r="T236">
        <v>20</v>
      </c>
      <c r="U236">
        <v>11</v>
      </c>
      <c r="V236">
        <v>11</v>
      </c>
      <c r="W236">
        <v>12</v>
      </c>
    </row>
    <row r="237" spans="1:23" x14ac:dyDescent="0.2">
      <c r="A237" s="6">
        <v>45793.755613425928</v>
      </c>
      <c r="B237" t="s">
        <v>370</v>
      </c>
      <c r="C237">
        <v>140319700</v>
      </c>
      <c r="D237" t="s">
        <v>371</v>
      </c>
      <c r="E237" t="s">
        <v>2003</v>
      </c>
      <c r="F237" t="s">
        <v>372</v>
      </c>
      <c r="G237">
        <v>3564424556</v>
      </c>
      <c r="H237" t="s">
        <v>370</v>
      </c>
      <c r="I237" t="s">
        <v>373</v>
      </c>
      <c r="J237" t="s">
        <v>33</v>
      </c>
      <c r="K237">
        <v>3564564320</v>
      </c>
      <c r="L237" t="s">
        <v>370</v>
      </c>
      <c r="M237" t="s">
        <v>374</v>
      </c>
      <c r="N237" t="s">
        <v>17</v>
      </c>
      <c r="O237">
        <v>3564690570</v>
      </c>
      <c r="P237" t="s">
        <v>375</v>
      </c>
      <c r="Q237" t="s">
        <v>376</v>
      </c>
      <c r="R237">
        <v>19</v>
      </c>
      <c r="S237">
        <v>3</v>
      </c>
      <c r="T237">
        <v>17</v>
      </c>
      <c r="U237">
        <v>12</v>
      </c>
      <c r="V237">
        <v>10</v>
      </c>
      <c r="W237">
        <v>10</v>
      </c>
    </row>
    <row r="238" spans="1:23" x14ac:dyDescent="0.2">
      <c r="A238" s="6">
        <v>45793.759097222224</v>
      </c>
      <c r="B238" t="s">
        <v>2324</v>
      </c>
      <c r="C238">
        <v>140510108</v>
      </c>
      <c r="D238" t="s">
        <v>377</v>
      </c>
      <c r="E238" t="s">
        <v>2004</v>
      </c>
      <c r="F238" t="s">
        <v>378</v>
      </c>
      <c r="G238" t="s">
        <v>379</v>
      </c>
      <c r="H238" t="s">
        <v>380</v>
      </c>
      <c r="I238" t="s">
        <v>381</v>
      </c>
      <c r="J238" t="s">
        <v>33</v>
      </c>
      <c r="K238" t="s">
        <v>382</v>
      </c>
      <c r="L238" t="s">
        <v>339</v>
      </c>
      <c r="M238" t="s">
        <v>383</v>
      </c>
      <c r="N238" t="s">
        <v>17</v>
      </c>
      <c r="O238" t="s">
        <v>384</v>
      </c>
      <c r="P238" t="s">
        <v>380</v>
      </c>
      <c r="Q238" t="s">
        <v>385</v>
      </c>
      <c r="R238">
        <v>10</v>
      </c>
      <c r="S238">
        <v>2</v>
      </c>
      <c r="T238">
        <v>42</v>
      </c>
      <c r="U238">
        <v>23</v>
      </c>
      <c r="V238">
        <v>17</v>
      </c>
      <c r="W238">
        <v>27</v>
      </c>
    </row>
    <row r="239" spans="1:23" x14ac:dyDescent="0.2">
      <c r="A239" s="6">
        <v>45793.760046296295</v>
      </c>
      <c r="B239" t="s">
        <v>2325</v>
      </c>
      <c r="C239">
        <v>140510102</v>
      </c>
      <c r="D239" t="s">
        <v>386</v>
      </c>
      <c r="E239" t="s">
        <v>2005</v>
      </c>
      <c r="F239" t="s">
        <v>387</v>
      </c>
      <c r="G239" t="s">
        <v>388</v>
      </c>
      <c r="H239" t="s">
        <v>389</v>
      </c>
      <c r="I239" t="s">
        <v>390</v>
      </c>
      <c r="J239" t="s">
        <v>33</v>
      </c>
      <c r="K239">
        <v>3516430818</v>
      </c>
      <c r="L239" t="s">
        <v>339</v>
      </c>
      <c r="M239" t="s">
        <v>391</v>
      </c>
      <c r="N239" t="s">
        <v>17</v>
      </c>
      <c r="O239">
        <v>3525410202</v>
      </c>
      <c r="P239" t="s">
        <v>389</v>
      </c>
      <c r="Q239" t="s">
        <v>392</v>
      </c>
      <c r="R239">
        <v>10</v>
      </c>
      <c r="S239">
        <v>2</v>
      </c>
      <c r="T239">
        <v>41</v>
      </c>
      <c r="U239">
        <v>32</v>
      </c>
      <c r="V239">
        <v>36</v>
      </c>
      <c r="W239">
        <v>38</v>
      </c>
    </row>
    <row r="240" spans="1:23" x14ac:dyDescent="0.2">
      <c r="A240" s="6">
        <v>45793.767013888886</v>
      </c>
      <c r="B240" t="s">
        <v>393</v>
      </c>
      <c r="C240">
        <v>660063300</v>
      </c>
      <c r="D240" t="s">
        <v>2006</v>
      </c>
      <c r="E240" t="s">
        <v>2007</v>
      </c>
      <c r="F240" t="s">
        <v>394</v>
      </c>
      <c r="G240">
        <v>3874214433</v>
      </c>
      <c r="H240" t="s">
        <v>395</v>
      </c>
      <c r="I240" t="s">
        <v>2008</v>
      </c>
      <c r="J240" t="s">
        <v>6</v>
      </c>
      <c r="K240">
        <v>3875352871</v>
      </c>
      <c r="L240" t="s">
        <v>393</v>
      </c>
      <c r="M240" t="s">
        <v>2009</v>
      </c>
      <c r="N240" t="s">
        <v>17</v>
      </c>
      <c r="O240">
        <v>3875787564</v>
      </c>
      <c r="P240" t="s">
        <v>396</v>
      </c>
      <c r="Q240" t="s">
        <v>2010</v>
      </c>
      <c r="R240">
        <v>66</v>
      </c>
      <c r="S240">
        <v>33</v>
      </c>
      <c r="T240">
        <v>251</v>
      </c>
      <c r="U240">
        <v>207</v>
      </c>
      <c r="V240">
        <v>251</v>
      </c>
      <c r="W240">
        <v>165</v>
      </c>
    </row>
    <row r="241" spans="1:30" x14ac:dyDescent="0.2">
      <c r="A241" s="6">
        <v>45793.782905092594</v>
      </c>
      <c r="B241" t="s">
        <v>397</v>
      </c>
      <c r="C241">
        <v>140510101</v>
      </c>
      <c r="D241" t="s">
        <v>398</v>
      </c>
      <c r="E241" t="s">
        <v>399</v>
      </c>
      <c r="F241" t="s">
        <v>400</v>
      </c>
      <c r="G241" t="s">
        <v>2011</v>
      </c>
      <c r="H241" t="s">
        <v>397</v>
      </c>
      <c r="I241" t="s">
        <v>401</v>
      </c>
      <c r="J241" t="s">
        <v>33</v>
      </c>
      <c r="K241">
        <v>3516430818</v>
      </c>
      <c r="L241" t="s">
        <v>339</v>
      </c>
      <c r="M241" t="s">
        <v>402</v>
      </c>
      <c r="N241" t="s">
        <v>17</v>
      </c>
      <c r="O241">
        <v>3541512904</v>
      </c>
      <c r="P241" t="s">
        <v>403</v>
      </c>
      <c r="Q241" t="s">
        <v>404</v>
      </c>
      <c r="R241">
        <v>8</v>
      </c>
      <c r="S241">
        <v>9</v>
      </c>
      <c r="T241">
        <v>50</v>
      </c>
      <c r="U241">
        <v>40</v>
      </c>
      <c r="V241">
        <v>38</v>
      </c>
      <c r="W241">
        <v>28</v>
      </c>
    </row>
    <row r="242" spans="1:30" x14ac:dyDescent="0.2">
      <c r="A242" s="6">
        <v>45793.783252314817</v>
      </c>
      <c r="B242" t="s">
        <v>2326</v>
      </c>
      <c r="C242">
        <v>140510107</v>
      </c>
      <c r="D242" t="s">
        <v>405</v>
      </c>
      <c r="E242" t="s">
        <v>886</v>
      </c>
      <c r="F242" t="s">
        <v>406</v>
      </c>
      <c r="G242">
        <v>3534534846</v>
      </c>
      <c r="H242" t="s">
        <v>407</v>
      </c>
      <c r="I242" t="s">
        <v>408</v>
      </c>
      <c r="J242" t="s">
        <v>33</v>
      </c>
      <c r="K242">
        <v>3534534846</v>
      </c>
      <c r="L242" t="s">
        <v>407</v>
      </c>
      <c r="M242" t="s">
        <v>409</v>
      </c>
      <c r="N242" t="s">
        <v>17</v>
      </c>
      <c r="O242">
        <v>3535648046</v>
      </c>
      <c r="P242" t="s">
        <v>410</v>
      </c>
      <c r="Q242" t="s">
        <v>411</v>
      </c>
      <c r="R242">
        <v>10</v>
      </c>
      <c r="S242">
        <v>1</v>
      </c>
      <c r="T242">
        <v>11</v>
      </c>
      <c r="U242">
        <v>12</v>
      </c>
      <c r="V242">
        <v>12</v>
      </c>
      <c r="W242">
        <v>9</v>
      </c>
    </row>
    <row r="243" spans="1:30" x14ac:dyDescent="0.2">
      <c r="A243" s="6">
        <v>45793.9221875</v>
      </c>
      <c r="B243" t="s">
        <v>412</v>
      </c>
      <c r="C243">
        <v>62111300</v>
      </c>
      <c r="D243" t="s">
        <v>413</v>
      </c>
      <c r="E243" t="s">
        <v>74</v>
      </c>
      <c r="F243" t="s">
        <v>414</v>
      </c>
      <c r="G243">
        <v>1161589453</v>
      </c>
      <c r="H243" t="s">
        <v>412</v>
      </c>
      <c r="I243" t="s">
        <v>415</v>
      </c>
      <c r="J243" t="s">
        <v>33</v>
      </c>
      <c r="K243">
        <v>1144739714</v>
      </c>
      <c r="L243" t="s">
        <v>416</v>
      </c>
      <c r="M243" t="s">
        <v>417</v>
      </c>
      <c r="N243" t="s">
        <v>17</v>
      </c>
      <c r="O243">
        <v>1140837109</v>
      </c>
      <c r="P243" t="s">
        <v>418</v>
      </c>
      <c r="Q243" t="s">
        <v>419</v>
      </c>
      <c r="R243">
        <v>23</v>
      </c>
      <c r="S243">
        <v>8</v>
      </c>
      <c r="T243">
        <v>42</v>
      </c>
      <c r="U243">
        <v>29</v>
      </c>
      <c r="V243">
        <v>27</v>
      </c>
      <c r="W243">
        <v>20</v>
      </c>
    </row>
    <row r="244" spans="1:30" x14ac:dyDescent="0.2">
      <c r="A244" s="6">
        <v>45794.493703703702</v>
      </c>
      <c r="B244" t="s">
        <v>2327</v>
      </c>
      <c r="C244">
        <v>20096900</v>
      </c>
      <c r="D244" t="s">
        <v>420</v>
      </c>
      <c r="E244" t="s">
        <v>1942</v>
      </c>
      <c r="F244" t="s">
        <v>421</v>
      </c>
      <c r="G244">
        <v>1138640707</v>
      </c>
      <c r="H244" t="s">
        <v>422</v>
      </c>
      <c r="I244" t="s">
        <v>423</v>
      </c>
      <c r="J244" t="s">
        <v>6</v>
      </c>
      <c r="K244" t="s">
        <v>424</v>
      </c>
      <c r="L244" t="s">
        <v>425</v>
      </c>
      <c r="M244" t="s">
        <v>423</v>
      </c>
      <c r="N244" t="s">
        <v>6</v>
      </c>
      <c r="O244" t="s">
        <v>424</v>
      </c>
      <c r="P244" t="s">
        <v>425</v>
      </c>
      <c r="Q244" t="s">
        <v>426</v>
      </c>
      <c r="R244">
        <v>15</v>
      </c>
      <c r="S244">
        <v>3</v>
      </c>
      <c r="T244">
        <v>15</v>
      </c>
      <c r="U244">
        <v>15</v>
      </c>
      <c r="V244">
        <v>16</v>
      </c>
      <c r="W244">
        <v>16</v>
      </c>
    </row>
    <row r="245" spans="1:30" x14ac:dyDescent="0.2">
      <c r="A245" s="6">
        <v>45796.425474537034</v>
      </c>
      <c r="B245" t="s">
        <v>435</v>
      </c>
      <c r="C245">
        <v>20224200</v>
      </c>
      <c r="D245" t="s">
        <v>436</v>
      </c>
      <c r="E245" t="s">
        <v>1971</v>
      </c>
      <c r="F245" t="s">
        <v>437</v>
      </c>
      <c r="G245">
        <v>53546641</v>
      </c>
      <c r="H245" t="s">
        <v>438</v>
      </c>
      <c r="I245" t="s">
        <v>439</v>
      </c>
      <c r="J245" t="s">
        <v>6</v>
      </c>
      <c r="K245" t="s">
        <v>440</v>
      </c>
      <c r="L245" t="s">
        <v>438</v>
      </c>
      <c r="M245" t="s">
        <v>441</v>
      </c>
      <c r="N245" t="s">
        <v>8</v>
      </c>
      <c r="O245" t="s">
        <v>442</v>
      </c>
      <c r="P245" t="s">
        <v>435</v>
      </c>
      <c r="Q245" t="s">
        <v>443</v>
      </c>
      <c r="R245">
        <v>22</v>
      </c>
      <c r="S245">
        <v>8</v>
      </c>
      <c r="T245">
        <v>19</v>
      </c>
      <c r="U245">
        <v>25</v>
      </c>
      <c r="V245">
        <v>47</v>
      </c>
      <c r="W245">
        <v>26</v>
      </c>
      <c r="X245">
        <v>50000</v>
      </c>
      <c r="Y245">
        <v>55000</v>
      </c>
      <c r="Z245">
        <v>10</v>
      </c>
      <c r="AA245" t="s">
        <v>444</v>
      </c>
      <c r="AB245">
        <v>0</v>
      </c>
      <c r="AC245">
        <v>0</v>
      </c>
    </row>
    <row r="246" spans="1:30" x14ac:dyDescent="0.2">
      <c r="A246" s="6">
        <v>45796.438842592594</v>
      </c>
      <c r="B246" t="s">
        <v>445</v>
      </c>
      <c r="C246">
        <v>580108100</v>
      </c>
      <c r="D246" t="s">
        <v>446</v>
      </c>
      <c r="E246" t="s">
        <v>2012</v>
      </c>
      <c r="F246" t="s">
        <v>447</v>
      </c>
      <c r="G246" t="s">
        <v>448</v>
      </c>
      <c r="H246" t="s">
        <v>445</v>
      </c>
      <c r="I246" t="s">
        <v>449</v>
      </c>
      <c r="J246" t="s">
        <v>33</v>
      </c>
      <c r="K246" t="s">
        <v>450</v>
      </c>
      <c r="L246" t="s">
        <v>451</v>
      </c>
      <c r="M246" t="s">
        <v>452</v>
      </c>
      <c r="N246" t="s">
        <v>98</v>
      </c>
      <c r="O246" t="s">
        <v>453</v>
      </c>
      <c r="P246" t="s">
        <v>445</v>
      </c>
      <c r="Q246" t="s">
        <v>454</v>
      </c>
      <c r="R246">
        <v>38</v>
      </c>
      <c r="S246">
        <v>23</v>
      </c>
      <c r="T246">
        <v>103</v>
      </c>
      <c r="U246">
        <v>215</v>
      </c>
      <c r="V246">
        <v>91</v>
      </c>
      <c r="W246">
        <v>61</v>
      </c>
      <c r="X246" s="5">
        <v>50000</v>
      </c>
      <c r="Y246" s="5">
        <v>50000</v>
      </c>
      <c r="Z246">
        <v>11</v>
      </c>
      <c r="AA246" t="s">
        <v>444</v>
      </c>
      <c r="AB246">
        <v>0</v>
      </c>
      <c r="AC246">
        <v>0</v>
      </c>
    </row>
    <row r="247" spans="1:30" x14ac:dyDescent="0.2">
      <c r="A247" s="6">
        <v>45796.741099537037</v>
      </c>
      <c r="B247" t="s">
        <v>455</v>
      </c>
      <c r="C247">
        <v>820413900</v>
      </c>
      <c r="D247" t="s">
        <v>456</v>
      </c>
      <c r="E247" t="s">
        <v>209</v>
      </c>
      <c r="F247" t="s">
        <v>2013</v>
      </c>
      <c r="G247" t="s">
        <v>457</v>
      </c>
      <c r="H247" t="s">
        <v>455</v>
      </c>
      <c r="I247" t="s">
        <v>2014</v>
      </c>
      <c r="J247" t="s">
        <v>33</v>
      </c>
      <c r="K247">
        <v>3425063982</v>
      </c>
      <c r="L247" t="s">
        <v>458</v>
      </c>
      <c r="M247" t="s">
        <v>2015</v>
      </c>
      <c r="N247" t="s">
        <v>17</v>
      </c>
      <c r="O247">
        <v>3425365401</v>
      </c>
      <c r="P247" t="s">
        <v>459</v>
      </c>
      <c r="Q247" t="s">
        <v>2016</v>
      </c>
      <c r="R247">
        <v>24</v>
      </c>
      <c r="S247">
        <v>7</v>
      </c>
      <c r="T247">
        <v>67</v>
      </c>
      <c r="U247">
        <v>51</v>
      </c>
      <c r="V247">
        <v>39</v>
      </c>
      <c r="W247">
        <v>32</v>
      </c>
      <c r="X247" s="5">
        <v>135000</v>
      </c>
      <c r="Y247" s="5">
        <v>135000</v>
      </c>
      <c r="Z247">
        <v>10</v>
      </c>
      <c r="AA247" t="s">
        <v>444</v>
      </c>
      <c r="AB247">
        <v>0</v>
      </c>
      <c r="AC247">
        <v>0</v>
      </c>
    </row>
    <row r="248" spans="1:30" x14ac:dyDescent="0.2">
      <c r="A248" s="6">
        <v>45796.780115740738</v>
      </c>
      <c r="B248" t="s">
        <v>2328</v>
      </c>
      <c r="C248">
        <v>60863000</v>
      </c>
      <c r="D248" t="s">
        <v>460</v>
      </c>
      <c r="E248" t="s">
        <v>461</v>
      </c>
      <c r="F248" t="s">
        <v>462</v>
      </c>
      <c r="G248">
        <v>47572625</v>
      </c>
      <c r="H248" t="s">
        <v>463</v>
      </c>
      <c r="I248" t="s">
        <v>464</v>
      </c>
      <c r="J248" t="s">
        <v>33</v>
      </c>
      <c r="K248">
        <v>1156417981</v>
      </c>
      <c r="L248" t="s">
        <v>465</v>
      </c>
      <c r="M248" t="s">
        <v>466</v>
      </c>
      <c r="N248" t="s">
        <v>17</v>
      </c>
      <c r="O248">
        <v>1141767235</v>
      </c>
      <c r="P248" t="s">
        <v>264</v>
      </c>
      <c r="Q248" t="s">
        <v>467</v>
      </c>
      <c r="R248">
        <v>18</v>
      </c>
      <c r="S248">
        <v>9</v>
      </c>
      <c r="T248">
        <v>55</v>
      </c>
      <c r="U248">
        <v>43</v>
      </c>
      <c r="V248">
        <v>35</v>
      </c>
      <c r="W248">
        <v>49</v>
      </c>
      <c r="X248">
        <v>80000</v>
      </c>
      <c r="Y248">
        <v>58000</v>
      </c>
      <c r="Z248">
        <v>11</v>
      </c>
      <c r="AA248" t="s">
        <v>444</v>
      </c>
      <c r="AB248">
        <v>0</v>
      </c>
      <c r="AC248">
        <v>0</v>
      </c>
      <c r="AD248" t="s">
        <v>444</v>
      </c>
    </row>
    <row r="249" spans="1:30" x14ac:dyDescent="0.2">
      <c r="A249" s="6">
        <v>45796.790914351855</v>
      </c>
      <c r="B249" t="s">
        <v>2329</v>
      </c>
      <c r="C249">
        <v>300029300</v>
      </c>
      <c r="D249" t="s">
        <v>468</v>
      </c>
      <c r="E249" t="s">
        <v>2017</v>
      </c>
      <c r="F249" t="s">
        <v>469</v>
      </c>
      <c r="G249">
        <v>3434310100</v>
      </c>
      <c r="H249" t="s">
        <v>470</v>
      </c>
      <c r="I249" t="s">
        <v>471</v>
      </c>
      <c r="J249" t="s">
        <v>6</v>
      </c>
      <c r="K249">
        <v>343154257387</v>
      </c>
      <c r="L249" t="s">
        <v>472</v>
      </c>
      <c r="M249" t="s">
        <v>473</v>
      </c>
      <c r="N249" t="s">
        <v>98</v>
      </c>
      <c r="O249">
        <v>344515416295</v>
      </c>
      <c r="P249" t="s">
        <v>474</v>
      </c>
      <c r="Q249" t="s">
        <v>475</v>
      </c>
      <c r="R249">
        <v>36</v>
      </c>
      <c r="S249">
        <v>9</v>
      </c>
      <c r="T249">
        <v>65</v>
      </c>
      <c r="U249">
        <v>48</v>
      </c>
      <c r="V249">
        <v>40</v>
      </c>
      <c r="W249">
        <v>47</v>
      </c>
      <c r="X249" s="5">
        <v>100000</v>
      </c>
      <c r="Y249" s="5">
        <v>55000</v>
      </c>
      <c r="Z249">
        <v>10</v>
      </c>
      <c r="AA249" t="s">
        <v>444</v>
      </c>
      <c r="AB249">
        <v>0</v>
      </c>
      <c r="AC249">
        <v>0</v>
      </c>
      <c r="AD249" t="s">
        <v>2330</v>
      </c>
    </row>
    <row r="250" spans="1:30" x14ac:dyDescent="0.2">
      <c r="A250" s="6">
        <v>45796.808437500003</v>
      </c>
      <c r="B250" t="s">
        <v>476</v>
      </c>
      <c r="C250">
        <v>20234600</v>
      </c>
      <c r="D250" t="s">
        <v>2018</v>
      </c>
      <c r="E250" t="s">
        <v>1942</v>
      </c>
      <c r="F250" t="s">
        <v>477</v>
      </c>
      <c r="G250">
        <v>1146446117</v>
      </c>
      <c r="H250" t="s">
        <v>476</v>
      </c>
      <c r="I250" t="s">
        <v>478</v>
      </c>
      <c r="J250" t="s">
        <v>6</v>
      </c>
      <c r="K250">
        <v>1166079393</v>
      </c>
      <c r="L250" t="s">
        <v>479</v>
      </c>
      <c r="M250" t="s">
        <v>480</v>
      </c>
      <c r="N250" t="s">
        <v>98</v>
      </c>
      <c r="O250">
        <v>1141932903</v>
      </c>
      <c r="P250" t="s">
        <v>481</v>
      </c>
      <c r="Q250" t="s">
        <v>482</v>
      </c>
      <c r="R250">
        <v>10</v>
      </c>
      <c r="S250">
        <v>3</v>
      </c>
      <c r="T250">
        <v>16</v>
      </c>
      <c r="U250">
        <v>12</v>
      </c>
      <c r="V250">
        <v>14</v>
      </c>
      <c r="W250">
        <v>14</v>
      </c>
      <c r="X250">
        <v>90000</v>
      </c>
      <c r="Y250">
        <v>100000</v>
      </c>
      <c r="Z250">
        <v>10</v>
      </c>
      <c r="AA250" t="s">
        <v>444</v>
      </c>
      <c r="AB250">
        <v>0</v>
      </c>
      <c r="AC250">
        <v>0</v>
      </c>
    </row>
    <row r="251" spans="1:30" x14ac:dyDescent="0.2">
      <c r="A251" s="6">
        <v>45796.822025462963</v>
      </c>
      <c r="B251" t="s">
        <v>483</v>
      </c>
      <c r="C251">
        <v>20282300</v>
      </c>
      <c r="D251" t="s">
        <v>484</v>
      </c>
      <c r="E251" t="s">
        <v>1942</v>
      </c>
      <c r="F251" t="s">
        <v>485</v>
      </c>
      <c r="G251">
        <f>5411-49826336</f>
        <v>-49820925</v>
      </c>
      <c r="H251" t="s">
        <v>483</v>
      </c>
      <c r="I251" t="s">
        <v>486</v>
      </c>
      <c r="J251" t="s">
        <v>6</v>
      </c>
      <c r="K251" t="s">
        <v>487</v>
      </c>
      <c r="L251" t="s">
        <v>488</v>
      </c>
      <c r="M251" t="s">
        <v>489</v>
      </c>
      <c r="N251" t="s">
        <v>27</v>
      </c>
      <c r="O251" t="s">
        <v>487</v>
      </c>
      <c r="P251" t="s">
        <v>490</v>
      </c>
      <c r="Q251" t="s">
        <v>491</v>
      </c>
      <c r="R251">
        <v>4</v>
      </c>
      <c r="S251">
        <v>1</v>
      </c>
      <c r="T251">
        <v>0</v>
      </c>
      <c r="U251">
        <v>0</v>
      </c>
      <c r="V251">
        <v>3</v>
      </c>
      <c r="W251">
        <v>4</v>
      </c>
      <c r="X251" s="5">
        <v>120000</v>
      </c>
      <c r="Y251" s="5">
        <v>80000</v>
      </c>
      <c r="Z251">
        <v>10</v>
      </c>
      <c r="AA251" t="s">
        <v>444</v>
      </c>
      <c r="AB251">
        <v>0</v>
      </c>
      <c r="AC251">
        <v>0</v>
      </c>
    </row>
    <row r="252" spans="1:30" x14ac:dyDescent="0.2">
      <c r="A252" s="6">
        <v>45796.850682870368</v>
      </c>
      <c r="B252" t="s">
        <v>492</v>
      </c>
      <c r="C252">
        <v>60021000</v>
      </c>
      <c r="D252" t="s">
        <v>2019</v>
      </c>
      <c r="E252" t="s">
        <v>428</v>
      </c>
      <c r="F252" t="s">
        <v>493</v>
      </c>
      <c r="G252">
        <v>2234893459</v>
      </c>
      <c r="H252" t="s">
        <v>492</v>
      </c>
      <c r="I252" t="s">
        <v>494</v>
      </c>
      <c r="J252" t="s">
        <v>33</v>
      </c>
      <c r="K252">
        <v>2236689498</v>
      </c>
      <c r="L252" t="s">
        <v>495</v>
      </c>
      <c r="M252" t="s">
        <v>496</v>
      </c>
      <c r="N252" t="s">
        <v>6</v>
      </c>
      <c r="O252">
        <v>2235381773</v>
      </c>
      <c r="P252" t="s">
        <v>497</v>
      </c>
      <c r="Q252" t="s">
        <v>498</v>
      </c>
      <c r="R252">
        <v>16</v>
      </c>
      <c r="S252">
        <v>4</v>
      </c>
      <c r="T252">
        <v>35</v>
      </c>
      <c r="U252">
        <v>26</v>
      </c>
      <c r="V252">
        <v>41</v>
      </c>
      <c r="W252">
        <v>7</v>
      </c>
      <c r="X252">
        <v>0</v>
      </c>
      <c r="Y252">
        <v>0</v>
      </c>
      <c r="Z252">
        <v>0</v>
      </c>
      <c r="AA252" t="s">
        <v>444</v>
      </c>
      <c r="AB252">
        <v>0</v>
      </c>
      <c r="AC252">
        <v>0</v>
      </c>
    </row>
    <row r="253" spans="1:30" ht="135" x14ac:dyDescent="0.2">
      <c r="A253" s="6">
        <v>45796.904814814814</v>
      </c>
      <c r="B253" t="s">
        <v>499</v>
      </c>
      <c r="C253">
        <v>20053900</v>
      </c>
      <c r="D253" t="s">
        <v>500</v>
      </c>
      <c r="E253" t="s">
        <v>2020</v>
      </c>
      <c r="F253" t="s">
        <v>501</v>
      </c>
      <c r="G253" t="s">
        <v>2021</v>
      </c>
      <c r="H253" t="s">
        <v>502</v>
      </c>
      <c r="I253" t="s">
        <v>503</v>
      </c>
      <c r="J253" t="s">
        <v>6</v>
      </c>
      <c r="K253" t="s">
        <v>504</v>
      </c>
      <c r="L253" t="s">
        <v>499</v>
      </c>
      <c r="M253" t="s">
        <v>505</v>
      </c>
      <c r="N253" t="s">
        <v>17</v>
      </c>
      <c r="O253" t="s">
        <v>506</v>
      </c>
      <c r="P253" t="s">
        <v>507</v>
      </c>
      <c r="Q253" s="7" t="s">
        <v>508</v>
      </c>
      <c r="R253">
        <v>28</v>
      </c>
      <c r="S253">
        <v>20</v>
      </c>
      <c r="T253">
        <v>117</v>
      </c>
      <c r="U253">
        <v>116</v>
      </c>
      <c r="V253">
        <v>87</v>
      </c>
      <c r="W253">
        <v>111</v>
      </c>
      <c r="X253">
        <v>145000</v>
      </c>
      <c r="Y253">
        <v>93800</v>
      </c>
      <c r="Z253">
        <v>10</v>
      </c>
      <c r="AA253" t="s">
        <v>2331</v>
      </c>
      <c r="AB253">
        <v>5</v>
      </c>
      <c r="AC253" s="5">
        <v>23897</v>
      </c>
      <c r="AD253" t="s">
        <v>2332</v>
      </c>
    </row>
    <row r="254" spans="1:30" x14ac:dyDescent="0.2">
      <c r="A254" s="6">
        <v>45796.915138888886</v>
      </c>
      <c r="B254" t="s">
        <v>509</v>
      </c>
      <c r="C254">
        <v>20286200</v>
      </c>
      <c r="D254" t="s">
        <v>510</v>
      </c>
      <c r="E254" t="s">
        <v>1942</v>
      </c>
      <c r="F254" t="s">
        <v>511</v>
      </c>
      <c r="G254" t="s">
        <v>2022</v>
      </c>
      <c r="H254" t="s">
        <v>509</v>
      </c>
      <c r="I254" t="s">
        <v>512</v>
      </c>
      <c r="J254" t="s">
        <v>6</v>
      </c>
      <c r="K254" t="s">
        <v>513</v>
      </c>
      <c r="L254" t="s">
        <v>509</v>
      </c>
      <c r="M254" t="s">
        <v>514</v>
      </c>
      <c r="N254" t="s">
        <v>17</v>
      </c>
      <c r="O254" t="s">
        <v>515</v>
      </c>
      <c r="P254" t="s">
        <v>516</v>
      </c>
      <c r="Q254" t="s">
        <v>517</v>
      </c>
      <c r="R254">
        <v>16</v>
      </c>
      <c r="S254">
        <v>7</v>
      </c>
      <c r="T254">
        <v>68</v>
      </c>
      <c r="U254">
        <v>62</v>
      </c>
      <c r="V254">
        <v>36</v>
      </c>
      <c r="W254">
        <v>38</v>
      </c>
      <c r="X254" s="5">
        <v>32000</v>
      </c>
      <c r="Y254" s="5">
        <v>47500</v>
      </c>
      <c r="Z254">
        <v>10</v>
      </c>
      <c r="AA254" t="s">
        <v>444</v>
      </c>
      <c r="AB254">
        <v>0</v>
      </c>
      <c r="AC254">
        <v>0</v>
      </c>
    </row>
    <row r="255" spans="1:30" x14ac:dyDescent="0.2">
      <c r="A255" s="6">
        <v>45797.351041666669</v>
      </c>
      <c r="B255" t="s">
        <v>2333</v>
      </c>
      <c r="C255">
        <v>20024000</v>
      </c>
      <c r="D255" t="s">
        <v>518</v>
      </c>
      <c r="E255" t="s">
        <v>1942</v>
      </c>
      <c r="F255" t="s">
        <v>519</v>
      </c>
      <c r="G255">
        <v>1149144459</v>
      </c>
      <c r="H255" t="s">
        <v>520</v>
      </c>
      <c r="I255" t="s">
        <v>521</v>
      </c>
      <c r="J255" t="s">
        <v>6</v>
      </c>
      <c r="K255">
        <v>1132109143</v>
      </c>
      <c r="L255" t="s">
        <v>522</v>
      </c>
      <c r="M255" t="s">
        <v>523</v>
      </c>
      <c r="N255" t="s">
        <v>98</v>
      </c>
      <c r="O255">
        <v>1149144459</v>
      </c>
      <c r="P255" t="s">
        <v>520</v>
      </c>
      <c r="Q255" t="s">
        <v>2023</v>
      </c>
      <c r="R255">
        <v>36</v>
      </c>
      <c r="S255">
        <v>10</v>
      </c>
      <c r="T255">
        <v>70</v>
      </c>
      <c r="U255">
        <v>84</v>
      </c>
      <c r="V255">
        <v>66</v>
      </c>
      <c r="W255">
        <v>55</v>
      </c>
      <c r="X255">
        <v>140000</v>
      </c>
      <c r="Y255">
        <v>66300</v>
      </c>
      <c r="Z255">
        <v>10</v>
      </c>
      <c r="AA255" t="s">
        <v>444</v>
      </c>
      <c r="AB255">
        <v>0</v>
      </c>
      <c r="AC255">
        <v>0</v>
      </c>
    </row>
    <row r="256" spans="1:30" ht="54.75" x14ac:dyDescent="0.2">
      <c r="A256" s="6">
        <v>45797.389120370368</v>
      </c>
      <c r="B256" t="s">
        <v>524</v>
      </c>
      <c r="C256">
        <v>820188400</v>
      </c>
      <c r="D256" t="s">
        <v>525</v>
      </c>
      <c r="E256" t="s">
        <v>209</v>
      </c>
      <c r="F256" t="s">
        <v>526</v>
      </c>
      <c r="G256" t="s">
        <v>527</v>
      </c>
      <c r="H256" t="s">
        <v>528</v>
      </c>
      <c r="I256" t="s">
        <v>529</v>
      </c>
      <c r="J256" t="s">
        <v>6</v>
      </c>
      <c r="K256" t="s">
        <v>530</v>
      </c>
      <c r="L256" t="s">
        <v>524</v>
      </c>
      <c r="M256" t="s">
        <v>529</v>
      </c>
      <c r="N256" t="s">
        <v>6</v>
      </c>
      <c r="O256" t="s">
        <v>530</v>
      </c>
      <c r="P256" t="s">
        <v>524</v>
      </c>
      <c r="Q256" s="7" t="s">
        <v>531</v>
      </c>
      <c r="R256">
        <v>69</v>
      </c>
      <c r="S256">
        <v>17</v>
      </c>
      <c r="T256">
        <v>237</v>
      </c>
      <c r="U256">
        <v>108</v>
      </c>
      <c r="V256">
        <v>141</v>
      </c>
      <c r="W256">
        <v>103</v>
      </c>
      <c r="X256">
        <v>150000</v>
      </c>
      <c r="Y256">
        <v>86000</v>
      </c>
      <c r="Z256">
        <v>10</v>
      </c>
      <c r="AA256" t="s">
        <v>444</v>
      </c>
      <c r="AB256">
        <v>0</v>
      </c>
      <c r="AC256">
        <v>0</v>
      </c>
    </row>
    <row r="257" spans="1:30" x14ac:dyDescent="0.2">
      <c r="A257" s="6">
        <v>45797.455011574071</v>
      </c>
      <c r="B257" t="s">
        <v>532</v>
      </c>
      <c r="C257">
        <v>380081401</v>
      </c>
      <c r="D257" t="s">
        <v>2024</v>
      </c>
      <c r="E257" t="s">
        <v>2025</v>
      </c>
      <c r="F257" t="s">
        <v>533</v>
      </c>
      <c r="G257" t="s">
        <v>534</v>
      </c>
      <c r="H257" t="s">
        <v>532</v>
      </c>
      <c r="I257" t="s">
        <v>2026</v>
      </c>
      <c r="J257" t="s">
        <v>6</v>
      </c>
      <c r="K257" t="s">
        <v>535</v>
      </c>
      <c r="L257" t="s">
        <v>536</v>
      </c>
      <c r="M257" t="s">
        <v>2027</v>
      </c>
      <c r="N257" t="s">
        <v>6</v>
      </c>
      <c r="O257" t="s">
        <v>535</v>
      </c>
      <c r="P257" t="s">
        <v>536</v>
      </c>
      <c r="Q257" t="s">
        <v>2028</v>
      </c>
      <c r="R257">
        <v>14</v>
      </c>
      <c r="S257">
        <v>3</v>
      </c>
      <c r="T257">
        <v>120</v>
      </c>
      <c r="U257">
        <v>128</v>
      </c>
      <c r="V257">
        <v>0</v>
      </c>
      <c r="W257">
        <v>44</v>
      </c>
      <c r="X257" s="5">
        <v>50000</v>
      </c>
      <c r="Y257" s="5">
        <v>70000</v>
      </c>
      <c r="Z257">
        <v>10</v>
      </c>
      <c r="AA257" t="s">
        <v>444</v>
      </c>
      <c r="AB257">
        <v>0</v>
      </c>
      <c r="AC257">
        <v>0</v>
      </c>
      <c r="AD257" t="s">
        <v>2334</v>
      </c>
    </row>
    <row r="258" spans="1:30" x14ac:dyDescent="0.2">
      <c r="A258" s="6">
        <v>45797.486990740741</v>
      </c>
      <c r="B258" t="s">
        <v>537</v>
      </c>
      <c r="C258">
        <v>500238900</v>
      </c>
      <c r="D258" t="s">
        <v>538</v>
      </c>
      <c r="E258" t="s">
        <v>539</v>
      </c>
      <c r="F258" t="s">
        <v>540</v>
      </c>
      <c r="G258">
        <v>2617602800</v>
      </c>
      <c r="H258" t="s">
        <v>537</v>
      </c>
      <c r="I258" t="s">
        <v>541</v>
      </c>
      <c r="J258" t="s">
        <v>6</v>
      </c>
      <c r="K258">
        <v>2615933753</v>
      </c>
      <c r="L258" t="s">
        <v>542</v>
      </c>
      <c r="M258" t="s">
        <v>543</v>
      </c>
      <c r="N258" t="s">
        <v>17</v>
      </c>
      <c r="O258">
        <v>2615155946</v>
      </c>
      <c r="P258" t="s">
        <v>544</v>
      </c>
      <c r="Q258" t="s">
        <v>545</v>
      </c>
      <c r="R258">
        <v>24</v>
      </c>
      <c r="S258">
        <v>5</v>
      </c>
      <c r="T258">
        <v>62</v>
      </c>
      <c r="U258">
        <v>47</v>
      </c>
      <c r="V258">
        <v>35</v>
      </c>
      <c r="W258">
        <v>40</v>
      </c>
      <c r="X258" s="5">
        <v>70000</v>
      </c>
      <c r="Y258" s="5">
        <v>75000</v>
      </c>
      <c r="Z258">
        <v>12</v>
      </c>
      <c r="AA258" t="s">
        <v>444</v>
      </c>
      <c r="AB258">
        <v>0</v>
      </c>
      <c r="AC258">
        <v>0</v>
      </c>
    </row>
    <row r="259" spans="1:30" x14ac:dyDescent="0.2">
      <c r="A259" s="6">
        <v>45797.62263888889</v>
      </c>
      <c r="B259" t="s">
        <v>546</v>
      </c>
      <c r="C259">
        <v>60652600</v>
      </c>
      <c r="D259" t="s">
        <v>547</v>
      </c>
      <c r="E259" t="s">
        <v>2029</v>
      </c>
      <c r="F259" t="s">
        <v>548</v>
      </c>
      <c r="G259">
        <v>1147445959</v>
      </c>
      <c r="H259" t="s">
        <v>546</v>
      </c>
      <c r="I259" t="s">
        <v>549</v>
      </c>
      <c r="J259" t="s">
        <v>33</v>
      </c>
      <c r="K259">
        <v>1124503909</v>
      </c>
      <c r="L259" t="s">
        <v>550</v>
      </c>
      <c r="M259" t="s">
        <v>551</v>
      </c>
      <c r="N259" t="s">
        <v>55</v>
      </c>
      <c r="O259">
        <v>1144354047</v>
      </c>
      <c r="P259" t="s">
        <v>552</v>
      </c>
      <c r="Q259" t="s">
        <v>2030</v>
      </c>
      <c r="R259">
        <v>23</v>
      </c>
      <c r="S259">
        <v>13</v>
      </c>
      <c r="T259">
        <v>96</v>
      </c>
      <c r="U259">
        <v>55</v>
      </c>
      <c r="V259">
        <v>53</v>
      </c>
      <c r="W259">
        <v>39</v>
      </c>
      <c r="X259" s="5">
        <v>53400</v>
      </c>
      <c r="Y259" s="5">
        <v>41500</v>
      </c>
      <c r="Z259">
        <v>10</v>
      </c>
      <c r="AA259" t="s">
        <v>444</v>
      </c>
      <c r="AB259">
        <v>0</v>
      </c>
      <c r="AC259">
        <v>0</v>
      </c>
    </row>
    <row r="260" spans="1:30" x14ac:dyDescent="0.2">
      <c r="A260" s="6">
        <v>45797.648599537039</v>
      </c>
      <c r="B260" t="s">
        <v>2035</v>
      </c>
      <c r="C260">
        <v>380092800</v>
      </c>
      <c r="D260" t="s">
        <v>2031</v>
      </c>
      <c r="E260" t="s">
        <v>553</v>
      </c>
      <c r="F260" t="s">
        <v>2032</v>
      </c>
      <c r="G260">
        <v>3884887133</v>
      </c>
      <c r="H260" t="s">
        <v>2033</v>
      </c>
      <c r="I260" t="s">
        <v>2034</v>
      </c>
      <c r="J260" t="s">
        <v>6</v>
      </c>
      <c r="K260">
        <v>3874827107</v>
      </c>
      <c r="L260" t="s">
        <v>2035</v>
      </c>
      <c r="M260" t="s">
        <v>2036</v>
      </c>
      <c r="N260" t="s">
        <v>98</v>
      </c>
      <c r="O260">
        <v>3884841800</v>
      </c>
      <c r="P260" t="s">
        <v>2037</v>
      </c>
      <c r="Q260" t="s">
        <v>2038</v>
      </c>
      <c r="R260">
        <v>10</v>
      </c>
      <c r="S260">
        <v>4</v>
      </c>
      <c r="T260">
        <v>36</v>
      </c>
      <c r="U260">
        <v>0</v>
      </c>
      <c r="V260">
        <v>38</v>
      </c>
      <c r="W260">
        <v>36</v>
      </c>
      <c r="X260">
        <v>68</v>
      </c>
      <c r="Y260">
        <v>68</v>
      </c>
      <c r="Z260">
        <v>10</v>
      </c>
      <c r="AA260" t="s">
        <v>444</v>
      </c>
      <c r="AB260">
        <v>0</v>
      </c>
      <c r="AC260">
        <v>0</v>
      </c>
      <c r="AD260" t="s">
        <v>2335</v>
      </c>
    </row>
    <row r="261" spans="1:30" x14ac:dyDescent="0.2">
      <c r="A261" s="6">
        <v>45797.659560185188</v>
      </c>
      <c r="B261" t="s">
        <v>554</v>
      </c>
      <c r="C261">
        <v>60877900</v>
      </c>
      <c r="D261" t="s">
        <v>555</v>
      </c>
      <c r="E261" t="s">
        <v>556</v>
      </c>
      <c r="F261" t="s">
        <v>557</v>
      </c>
      <c r="G261" t="s">
        <v>2039</v>
      </c>
      <c r="H261" t="s">
        <v>554</v>
      </c>
      <c r="I261" t="s">
        <v>558</v>
      </c>
      <c r="J261" t="s">
        <v>33</v>
      </c>
      <c r="K261" t="s">
        <v>559</v>
      </c>
      <c r="L261" t="s">
        <v>560</v>
      </c>
      <c r="M261" t="s">
        <v>558</v>
      </c>
      <c r="N261" t="s">
        <v>8</v>
      </c>
      <c r="O261" t="s">
        <v>559</v>
      </c>
      <c r="P261" t="s">
        <v>560</v>
      </c>
      <c r="Q261" t="s">
        <v>2040</v>
      </c>
      <c r="R261">
        <v>10</v>
      </c>
      <c r="S261">
        <v>5</v>
      </c>
      <c r="T261">
        <v>34</v>
      </c>
      <c r="U261">
        <v>29</v>
      </c>
      <c r="V261">
        <v>19</v>
      </c>
      <c r="W261">
        <v>15</v>
      </c>
      <c r="X261">
        <v>59751</v>
      </c>
      <c r="Y261">
        <v>45195</v>
      </c>
      <c r="Z261">
        <v>10</v>
      </c>
      <c r="AA261" t="s">
        <v>444</v>
      </c>
      <c r="AB261">
        <v>0</v>
      </c>
      <c r="AC261">
        <v>0</v>
      </c>
    </row>
    <row r="262" spans="1:30" x14ac:dyDescent="0.2">
      <c r="A262" s="6">
        <v>45797.717974537038</v>
      </c>
      <c r="B262" t="s">
        <v>561</v>
      </c>
      <c r="C262">
        <v>2</v>
      </c>
      <c r="D262" t="s">
        <v>2336</v>
      </c>
      <c r="E262" t="s">
        <v>562</v>
      </c>
      <c r="F262" t="s">
        <v>563</v>
      </c>
      <c r="G262">
        <v>3884640279</v>
      </c>
      <c r="H262" t="s">
        <v>561</v>
      </c>
      <c r="I262" t="s">
        <v>2337</v>
      </c>
      <c r="J262" t="s">
        <v>6</v>
      </c>
      <c r="K262">
        <v>3885718538</v>
      </c>
      <c r="L262" t="s">
        <v>536</v>
      </c>
      <c r="M262" t="s">
        <v>2337</v>
      </c>
      <c r="N262" t="s">
        <v>6</v>
      </c>
      <c r="O262">
        <v>3885718538</v>
      </c>
      <c r="P262" t="s">
        <v>536</v>
      </c>
      <c r="Q262" t="s">
        <v>2338</v>
      </c>
      <c r="R262">
        <v>12</v>
      </c>
      <c r="S262">
        <v>8</v>
      </c>
      <c r="T262">
        <v>76</v>
      </c>
      <c r="U262">
        <v>67</v>
      </c>
      <c r="V262">
        <v>0</v>
      </c>
      <c r="W262">
        <v>23</v>
      </c>
      <c r="X262" s="5">
        <v>50000</v>
      </c>
      <c r="Y262" s="5">
        <v>70000</v>
      </c>
      <c r="Z262">
        <v>10</v>
      </c>
      <c r="AA262" t="s">
        <v>444</v>
      </c>
      <c r="AB262">
        <v>0</v>
      </c>
      <c r="AC262">
        <v>0</v>
      </c>
    </row>
    <row r="263" spans="1:30" x14ac:dyDescent="0.2">
      <c r="A263" s="6">
        <v>45797.761886574073</v>
      </c>
      <c r="B263" t="s">
        <v>564</v>
      </c>
      <c r="C263">
        <v>500180400</v>
      </c>
      <c r="D263" t="s">
        <v>565</v>
      </c>
      <c r="E263" t="s">
        <v>1173</v>
      </c>
      <c r="F263" t="s">
        <v>566</v>
      </c>
      <c r="G263">
        <v>2615326701</v>
      </c>
      <c r="H263" t="s">
        <v>564</v>
      </c>
      <c r="I263" t="s">
        <v>2041</v>
      </c>
      <c r="J263" t="s">
        <v>6</v>
      </c>
      <c r="K263">
        <v>2615326701</v>
      </c>
      <c r="L263" t="s">
        <v>564</v>
      </c>
      <c r="M263" t="s">
        <v>2042</v>
      </c>
      <c r="N263" t="s">
        <v>98</v>
      </c>
      <c r="O263">
        <v>2615326701</v>
      </c>
      <c r="P263" t="s">
        <v>564</v>
      </c>
      <c r="Q263" t="s">
        <v>567</v>
      </c>
      <c r="R263">
        <v>25</v>
      </c>
      <c r="S263">
        <v>15</v>
      </c>
      <c r="T263">
        <v>300</v>
      </c>
      <c r="U263">
        <v>200</v>
      </c>
      <c r="V263">
        <v>250</v>
      </c>
      <c r="W263">
        <v>178</v>
      </c>
      <c r="X263" s="5">
        <v>40000</v>
      </c>
      <c r="Y263" s="5">
        <v>56000</v>
      </c>
      <c r="Z263">
        <v>12</v>
      </c>
      <c r="AA263" t="s">
        <v>444</v>
      </c>
      <c r="AB263">
        <v>0</v>
      </c>
      <c r="AC263">
        <v>0</v>
      </c>
    </row>
    <row r="264" spans="1:30" ht="81" x14ac:dyDescent="0.2">
      <c r="A264" s="6">
        <v>45797.766099537039</v>
      </c>
      <c r="B264" t="s">
        <v>564</v>
      </c>
      <c r="C264">
        <v>500180401</v>
      </c>
      <c r="D264" t="s">
        <v>568</v>
      </c>
      <c r="E264" t="s">
        <v>1604</v>
      </c>
      <c r="F264" s="7" t="s">
        <v>569</v>
      </c>
      <c r="G264">
        <v>2615326701</v>
      </c>
      <c r="H264" t="s">
        <v>564</v>
      </c>
      <c r="I264" t="s">
        <v>2041</v>
      </c>
      <c r="J264" t="s">
        <v>6</v>
      </c>
      <c r="K264">
        <v>2615326701</v>
      </c>
      <c r="L264" t="s">
        <v>570</v>
      </c>
      <c r="M264" t="s">
        <v>2042</v>
      </c>
      <c r="N264" t="s">
        <v>98</v>
      </c>
      <c r="O264">
        <v>2615326701</v>
      </c>
      <c r="P264" t="s">
        <v>564</v>
      </c>
      <c r="Q264" t="s">
        <v>571</v>
      </c>
      <c r="R264">
        <v>25</v>
      </c>
      <c r="S264">
        <v>15</v>
      </c>
      <c r="T264">
        <v>90</v>
      </c>
      <c r="U264">
        <v>100</v>
      </c>
      <c r="V264">
        <v>78</v>
      </c>
      <c r="W264">
        <v>52</v>
      </c>
      <c r="X264" s="5">
        <v>40000</v>
      </c>
      <c r="Y264" s="5">
        <v>56000</v>
      </c>
      <c r="Z264">
        <v>12</v>
      </c>
      <c r="AA264" t="s">
        <v>444</v>
      </c>
      <c r="AB264">
        <v>0</v>
      </c>
      <c r="AC264">
        <v>0</v>
      </c>
    </row>
    <row r="265" spans="1:30" ht="41.25" x14ac:dyDescent="0.2">
      <c r="A265" s="6">
        <v>45797.771122685182</v>
      </c>
      <c r="B265" t="s">
        <v>564</v>
      </c>
      <c r="C265">
        <v>500180402</v>
      </c>
      <c r="D265" t="s">
        <v>572</v>
      </c>
      <c r="E265" t="s">
        <v>2043</v>
      </c>
      <c r="F265" s="7" t="s">
        <v>573</v>
      </c>
      <c r="G265">
        <v>2615326701</v>
      </c>
      <c r="H265" t="s">
        <v>564</v>
      </c>
      <c r="I265" t="s">
        <v>2041</v>
      </c>
      <c r="J265" t="s">
        <v>6</v>
      </c>
      <c r="K265">
        <v>2615326701</v>
      </c>
      <c r="L265" t="s">
        <v>570</v>
      </c>
      <c r="M265" t="s">
        <v>2042</v>
      </c>
      <c r="N265" t="s">
        <v>98</v>
      </c>
      <c r="O265">
        <v>2615326701</v>
      </c>
      <c r="P265" t="s">
        <v>564</v>
      </c>
      <c r="Q265" t="s">
        <v>574</v>
      </c>
      <c r="R265">
        <v>25</v>
      </c>
      <c r="S265">
        <v>15</v>
      </c>
      <c r="T265">
        <v>98</v>
      </c>
      <c r="U265">
        <v>56</v>
      </c>
      <c r="V265">
        <v>44</v>
      </c>
      <c r="W265">
        <v>25</v>
      </c>
      <c r="X265" s="5">
        <v>40000</v>
      </c>
      <c r="Y265" s="5">
        <v>56000</v>
      </c>
      <c r="Z265">
        <v>12</v>
      </c>
      <c r="AA265" t="s">
        <v>444</v>
      </c>
      <c r="AB265">
        <v>0</v>
      </c>
      <c r="AC265">
        <v>0</v>
      </c>
    </row>
    <row r="266" spans="1:30" x14ac:dyDescent="0.2">
      <c r="A266" s="6">
        <v>45797.77584490741</v>
      </c>
      <c r="B266" t="s">
        <v>112</v>
      </c>
      <c r="C266">
        <v>300201100</v>
      </c>
      <c r="D266" t="s">
        <v>2339</v>
      </c>
      <c r="E266" t="s">
        <v>113</v>
      </c>
      <c r="F266" t="s">
        <v>114</v>
      </c>
      <c r="G266">
        <v>3454213349</v>
      </c>
      <c r="H266" t="s">
        <v>112</v>
      </c>
      <c r="I266" t="s">
        <v>2340</v>
      </c>
      <c r="J266" t="s">
        <v>6</v>
      </c>
      <c r="K266">
        <v>3454184052</v>
      </c>
      <c r="L266" t="s">
        <v>112</v>
      </c>
      <c r="M266" t="s">
        <v>2340</v>
      </c>
      <c r="N266" t="s">
        <v>6</v>
      </c>
      <c r="O266">
        <v>3454213349</v>
      </c>
      <c r="P266" t="s">
        <v>112</v>
      </c>
      <c r="Q266" t="s">
        <v>2341</v>
      </c>
      <c r="R266">
        <v>36</v>
      </c>
      <c r="S266">
        <v>9</v>
      </c>
      <c r="T266">
        <v>161</v>
      </c>
      <c r="U266">
        <v>55</v>
      </c>
      <c r="V266">
        <v>53</v>
      </c>
      <c r="W266">
        <v>46</v>
      </c>
      <c r="X266">
        <v>80000</v>
      </c>
      <c r="Y266">
        <v>50000</v>
      </c>
      <c r="Z266">
        <v>10</v>
      </c>
      <c r="AA266" t="s">
        <v>444</v>
      </c>
      <c r="AB266">
        <v>0</v>
      </c>
      <c r="AC266">
        <v>0</v>
      </c>
      <c r="AD266" t="s">
        <v>2342</v>
      </c>
    </row>
    <row r="267" spans="1:30" ht="41.25" x14ac:dyDescent="0.2">
      <c r="A267" s="6">
        <v>45797.777337962965</v>
      </c>
      <c r="B267" t="s">
        <v>564</v>
      </c>
      <c r="C267">
        <v>500180404</v>
      </c>
      <c r="D267" t="s">
        <v>575</v>
      </c>
      <c r="E267" t="s">
        <v>2044</v>
      </c>
      <c r="F267" s="7" t="s">
        <v>576</v>
      </c>
      <c r="G267">
        <v>2615326701</v>
      </c>
      <c r="H267" t="s">
        <v>564</v>
      </c>
      <c r="I267" t="s">
        <v>2041</v>
      </c>
      <c r="J267" t="s">
        <v>6</v>
      </c>
      <c r="K267">
        <v>2615326701</v>
      </c>
      <c r="L267" t="s">
        <v>570</v>
      </c>
      <c r="M267" t="s">
        <v>2042</v>
      </c>
      <c r="N267" t="s">
        <v>98</v>
      </c>
      <c r="O267">
        <v>2615326701</v>
      </c>
      <c r="P267" t="s">
        <v>564</v>
      </c>
      <c r="Q267" t="s">
        <v>574</v>
      </c>
      <c r="R267">
        <v>25</v>
      </c>
      <c r="S267">
        <v>15</v>
      </c>
      <c r="T267">
        <v>40</v>
      </c>
      <c r="U267">
        <v>27</v>
      </c>
      <c r="V267">
        <v>27</v>
      </c>
      <c r="W267">
        <v>20</v>
      </c>
      <c r="X267" s="5">
        <v>40000</v>
      </c>
      <c r="Y267" s="5">
        <v>56000</v>
      </c>
      <c r="Z267">
        <v>12</v>
      </c>
      <c r="AA267" t="s">
        <v>444</v>
      </c>
      <c r="AB267">
        <v>0</v>
      </c>
      <c r="AC267">
        <v>0</v>
      </c>
    </row>
    <row r="268" spans="1:30" ht="41.25" x14ac:dyDescent="0.2">
      <c r="A268" s="6">
        <v>45797.7809837963</v>
      </c>
      <c r="B268" t="s">
        <v>564</v>
      </c>
      <c r="C268">
        <v>500180406</v>
      </c>
      <c r="D268" t="s">
        <v>577</v>
      </c>
      <c r="E268" t="s">
        <v>877</v>
      </c>
      <c r="F268" s="7" t="s">
        <v>578</v>
      </c>
      <c r="G268">
        <v>2615326701</v>
      </c>
      <c r="H268" t="s">
        <v>564</v>
      </c>
      <c r="I268" t="s">
        <v>2041</v>
      </c>
      <c r="J268" t="s">
        <v>6</v>
      </c>
      <c r="K268">
        <v>2615326701</v>
      </c>
      <c r="L268" t="s">
        <v>570</v>
      </c>
      <c r="M268" t="s">
        <v>2042</v>
      </c>
      <c r="N268" t="s">
        <v>98</v>
      </c>
      <c r="O268">
        <v>2615326701</v>
      </c>
      <c r="P268" t="s">
        <v>564</v>
      </c>
      <c r="Q268" t="s">
        <v>574</v>
      </c>
      <c r="R268">
        <v>25</v>
      </c>
      <c r="S268">
        <v>15</v>
      </c>
      <c r="T268">
        <v>34</v>
      </c>
      <c r="U268">
        <v>32</v>
      </c>
      <c r="V268">
        <v>31</v>
      </c>
      <c r="W268">
        <v>19</v>
      </c>
      <c r="X268" s="5">
        <v>40000</v>
      </c>
      <c r="Y268" s="5">
        <v>56000</v>
      </c>
      <c r="Z268">
        <v>12</v>
      </c>
      <c r="AA268" t="s">
        <v>444</v>
      </c>
      <c r="AB268">
        <v>0</v>
      </c>
      <c r="AC268">
        <v>0</v>
      </c>
    </row>
    <row r="269" spans="1:30" ht="68.25" x14ac:dyDescent="0.2">
      <c r="A269" s="6">
        <v>45797.784247685187</v>
      </c>
      <c r="B269" t="s">
        <v>564</v>
      </c>
      <c r="C269">
        <v>500180407</v>
      </c>
      <c r="D269" t="s">
        <v>579</v>
      </c>
      <c r="E269" t="s">
        <v>2045</v>
      </c>
      <c r="F269" s="7" t="s">
        <v>580</v>
      </c>
      <c r="G269">
        <v>2615326701</v>
      </c>
      <c r="H269" t="s">
        <v>564</v>
      </c>
      <c r="I269" t="s">
        <v>581</v>
      </c>
      <c r="J269" t="s">
        <v>6</v>
      </c>
      <c r="K269">
        <v>2615326701</v>
      </c>
      <c r="L269" t="s">
        <v>570</v>
      </c>
      <c r="M269" t="s">
        <v>2042</v>
      </c>
      <c r="N269" t="s">
        <v>98</v>
      </c>
      <c r="O269">
        <v>2615326701</v>
      </c>
      <c r="P269" t="s">
        <v>564</v>
      </c>
      <c r="Q269" t="s">
        <v>582</v>
      </c>
      <c r="R269">
        <v>15</v>
      </c>
      <c r="S269">
        <v>10</v>
      </c>
      <c r="T269">
        <v>50</v>
      </c>
      <c r="U269">
        <v>50</v>
      </c>
      <c r="V269">
        <v>0</v>
      </c>
      <c r="W269">
        <v>26</v>
      </c>
      <c r="X269" s="5">
        <v>40000</v>
      </c>
      <c r="Y269" s="5">
        <v>56000</v>
      </c>
      <c r="Z269">
        <v>12</v>
      </c>
      <c r="AA269" t="s">
        <v>444</v>
      </c>
      <c r="AB269">
        <v>0</v>
      </c>
      <c r="AC269">
        <v>0</v>
      </c>
    </row>
    <row r="270" spans="1:30" ht="94.5" x14ac:dyDescent="0.2">
      <c r="A270" s="6">
        <v>45798.580868055556</v>
      </c>
      <c r="B270" t="s">
        <v>561</v>
      </c>
      <c r="C270">
        <v>380081402</v>
      </c>
      <c r="D270" t="s">
        <v>2046</v>
      </c>
      <c r="E270" t="s">
        <v>562</v>
      </c>
      <c r="F270" t="s">
        <v>563</v>
      </c>
      <c r="G270">
        <v>5493884640279</v>
      </c>
      <c r="H270" t="s">
        <v>561</v>
      </c>
      <c r="I270" t="s">
        <v>2047</v>
      </c>
      <c r="J270" t="s">
        <v>6</v>
      </c>
      <c r="K270">
        <v>5493883440555</v>
      </c>
      <c r="L270" t="s">
        <v>561</v>
      </c>
      <c r="M270" t="s">
        <v>2048</v>
      </c>
      <c r="N270" t="s">
        <v>17</v>
      </c>
      <c r="O270">
        <v>5493884134412</v>
      </c>
      <c r="P270" t="s">
        <v>561</v>
      </c>
      <c r="Q270" s="7" t="s">
        <v>2049</v>
      </c>
      <c r="R270">
        <v>12</v>
      </c>
      <c r="S270">
        <v>2</v>
      </c>
      <c r="T270">
        <v>76</v>
      </c>
      <c r="U270">
        <v>67</v>
      </c>
      <c r="V270">
        <v>0</v>
      </c>
      <c r="W270">
        <v>23</v>
      </c>
      <c r="X270">
        <v>50</v>
      </c>
      <c r="Y270">
        <v>70</v>
      </c>
      <c r="Z270">
        <v>9</v>
      </c>
      <c r="AA270" t="s">
        <v>444</v>
      </c>
      <c r="AB270">
        <v>0</v>
      </c>
      <c r="AC270">
        <v>0</v>
      </c>
    </row>
    <row r="271" spans="1:30" x14ac:dyDescent="0.2">
      <c r="A271" s="6">
        <v>45798.835185185184</v>
      </c>
      <c r="B271" t="s">
        <v>532</v>
      </c>
      <c r="C271">
        <v>380081400</v>
      </c>
      <c r="D271" t="s">
        <v>1723</v>
      </c>
      <c r="E271" t="s">
        <v>2050</v>
      </c>
      <c r="F271" t="s">
        <v>1724</v>
      </c>
      <c r="G271" t="s">
        <v>1725</v>
      </c>
      <c r="H271" t="s">
        <v>532</v>
      </c>
      <c r="I271" t="s">
        <v>1726</v>
      </c>
      <c r="J271" t="s">
        <v>6</v>
      </c>
      <c r="K271">
        <v>3885718538</v>
      </c>
      <c r="L271" t="s">
        <v>536</v>
      </c>
      <c r="M271" t="s">
        <v>1726</v>
      </c>
      <c r="N271" t="s">
        <v>6</v>
      </c>
      <c r="O271">
        <v>3885718538</v>
      </c>
      <c r="P271" t="s">
        <v>1727</v>
      </c>
      <c r="Q271" t="s">
        <v>1728</v>
      </c>
      <c r="R271">
        <v>27</v>
      </c>
      <c r="S271">
        <v>3</v>
      </c>
      <c r="T271">
        <v>325</v>
      </c>
      <c r="U271">
        <v>426</v>
      </c>
      <c r="V271">
        <v>288</v>
      </c>
      <c r="W271">
        <v>52</v>
      </c>
      <c r="X271" s="5">
        <v>50000</v>
      </c>
      <c r="Y271" s="5">
        <v>70000</v>
      </c>
      <c r="Z271">
        <v>10</v>
      </c>
      <c r="AA271" t="s">
        <v>444</v>
      </c>
      <c r="AB271">
        <v>0</v>
      </c>
      <c r="AC271">
        <v>0</v>
      </c>
    </row>
    <row r="272" spans="1:30" x14ac:dyDescent="0.2">
      <c r="A272" s="6">
        <v>45798.872037037036</v>
      </c>
      <c r="B272" t="s">
        <v>532</v>
      </c>
      <c r="C272">
        <v>380081401</v>
      </c>
      <c r="D272" t="s">
        <v>2343</v>
      </c>
      <c r="E272" t="s">
        <v>2025</v>
      </c>
      <c r="F272" t="s">
        <v>533</v>
      </c>
      <c r="G272" t="s">
        <v>534</v>
      </c>
      <c r="H272" t="s">
        <v>532</v>
      </c>
      <c r="I272" t="s">
        <v>2344</v>
      </c>
      <c r="J272" t="s">
        <v>6</v>
      </c>
      <c r="K272">
        <v>3885718538</v>
      </c>
      <c r="L272" t="s">
        <v>536</v>
      </c>
      <c r="M272" t="s">
        <v>2344</v>
      </c>
      <c r="N272" t="s">
        <v>6</v>
      </c>
      <c r="O272" t="s">
        <v>535</v>
      </c>
      <c r="P272" t="s">
        <v>532</v>
      </c>
      <c r="Q272" t="s">
        <v>2345</v>
      </c>
      <c r="R272">
        <v>14</v>
      </c>
      <c r="S272">
        <v>3</v>
      </c>
      <c r="T272">
        <v>120</v>
      </c>
      <c r="U272">
        <v>128</v>
      </c>
      <c r="V272">
        <v>0</v>
      </c>
      <c r="W272">
        <v>44</v>
      </c>
      <c r="X272" s="5">
        <v>50000</v>
      </c>
      <c r="Y272" s="5">
        <v>70000</v>
      </c>
      <c r="Z272">
        <v>10</v>
      </c>
      <c r="AA272" t="s">
        <v>444</v>
      </c>
      <c r="AB272">
        <v>0</v>
      </c>
      <c r="AC272">
        <v>0</v>
      </c>
    </row>
    <row r="273" spans="1:30" x14ac:dyDescent="0.2">
      <c r="A273" s="6">
        <v>45799.413171296299</v>
      </c>
      <c r="B273" t="s">
        <v>1815</v>
      </c>
      <c r="C273">
        <v>620100300</v>
      </c>
      <c r="D273" t="s">
        <v>1816</v>
      </c>
      <c r="E273" t="s">
        <v>2051</v>
      </c>
      <c r="F273" t="s">
        <v>1817</v>
      </c>
      <c r="G273">
        <v>2984336468</v>
      </c>
      <c r="H273" t="s">
        <v>1815</v>
      </c>
      <c r="I273" t="s">
        <v>1818</v>
      </c>
      <c r="J273" t="s">
        <v>33</v>
      </c>
      <c r="K273">
        <v>2984336468</v>
      </c>
      <c r="L273" t="s">
        <v>1815</v>
      </c>
      <c r="M273" t="s">
        <v>1819</v>
      </c>
      <c r="N273" t="s">
        <v>17</v>
      </c>
      <c r="O273">
        <v>2984336468</v>
      </c>
      <c r="P273" t="s">
        <v>1815</v>
      </c>
      <c r="Q273" t="s">
        <v>1820</v>
      </c>
      <c r="R273">
        <v>16</v>
      </c>
      <c r="S273">
        <v>4</v>
      </c>
      <c r="T273">
        <v>27</v>
      </c>
      <c r="U273">
        <v>25</v>
      </c>
      <c r="V273">
        <v>25</v>
      </c>
      <c r="W273">
        <v>20</v>
      </c>
      <c r="X273" s="5">
        <v>78000</v>
      </c>
      <c r="Y273" s="5">
        <v>103000</v>
      </c>
      <c r="Z273">
        <v>12</v>
      </c>
      <c r="AA273" t="s">
        <v>444</v>
      </c>
      <c r="AB273">
        <v>0</v>
      </c>
      <c r="AC273">
        <v>0</v>
      </c>
      <c r="AD273" t="s">
        <v>2346</v>
      </c>
    </row>
    <row r="274" spans="1:30" x14ac:dyDescent="0.2">
      <c r="A274" s="6">
        <v>45799.418923611112</v>
      </c>
      <c r="B274" t="s">
        <v>1815</v>
      </c>
      <c r="C274">
        <v>620100302</v>
      </c>
      <c r="D274" t="s">
        <v>1821</v>
      </c>
      <c r="E274" t="s">
        <v>2052</v>
      </c>
      <c r="F274" t="s">
        <v>1822</v>
      </c>
      <c r="G274">
        <v>2984281131</v>
      </c>
      <c r="H274" t="s">
        <v>1823</v>
      </c>
      <c r="I274" t="s">
        <v>1824</v>
      </c>
      <c r="J274" t="s">
        <v>33</v>
      </c>
      <c r="K274">
        <v>2984336468</v>
      </c>
      <c r="L274" t="s">
        <v>1815</v>
      </c>
      <c r="M274" t="s">
        <v>1824</v>
      </c>
      <c r="N274" t="s">
        <v>8</v>
      </c>
      <c r="O274">
        <v>2984336468</v>
      </c>
      <c r="P274" t="s">
        <v>1815</v>
      </c>
      <c r="Q274" t="s">
        <v>1820</v>
      </c>
      <c r="R274">
        <v>15</v>
      </c>
      <c r="S274">
        <v>2</v>
      </c>
      <c r="T274">
        <v>33</v>
      </c>
      <c r="U274">
        <v>27</v>
      </c>
      <c r="V274">
        <v>36</v>
      </c>
      <c r="W274">
        <v>14</v>
      </c>
      <c r="X274">
        <v>78000</v>
      </c>
      <c r="Y274">
        <v>103000</v>
      </c>
      <c r="Z274">
        <v>12</v>
      </c>
      <c r="AA274" t="s">
        <v>444</v>
      </c>
      <c r="AB274">
        <v>0</v>
      </c>
      <c r="AC274">
        <v>0</v>
      </c>
      <c r="AD274" t="s">
        <v>2347</v>
      </c>
    </row>
    <row r="275" spans="1:30" x14ac:dyDescent="0.2">
      <c r="A275" s="6">
        <v>45799.423414351855</v>
      </c>
      <c r="B275" t="s">
        <v>1815</v>
      </c>
      <c r="C275">
        <v>620100305</v>
      </c>
      <c r="D275" t="s">
        <v>1825</v>
      </c>
      <c r="E275" t="s">
        <v>2053</v>
      </c>
      <c r="F275" t="s">
        <v>1826</v>
      </c>
      <c r="G275">
        <v>2984336468</v>
      </c>
      <c r="H275" t="s">
        <v>1827</v>
      </c>
      <c r="I275" t="s">
        <v>1828</v>
      </c>
      <c r="J275" t="s">
        <v>33</v>
      </c>
      <c r="K275">
        <v>2984336468</v>
      </c>
      <c r="L275" t="s">
        <v>1815</v>
      </c>
      <c r="M275" t="s">
        <v>1829</v>
      </c>
      <c r="N275" t="s">
        <v>17</v>
      </c>
      <c r="O275">
        <v>2984336468</v>
      </c>
      <c r="P275" t="s">
        <v>1815</v>
      </c>
      <c r="Q275" t="s">
        <v>1830</v>
      </c>
      <c r="R275">
        <v>9</v>
      </c>
      <c r="S275">
        <v>2</v>
      </c>
      <c r="T275">
        <v>0</v>
      </c>
      <c r="U275">
        <v>12</v>
      </c>
      <c r="V275">
        <v>13</v>
      </c>
      <c r="W275">
        <v>16</v>
      </c>
      <c r="X275">
        <v>78000</v>
      </c>
      <c r="Y275">
        <v>103000</v>
      </c>
      <c r="Z275">
        <v>12</v>
      </c>
      <c r="AA275" t="s">
        <v>444</v>
      </c>
      <c r="AB275">
        <v>0</v>
      </c>
      <c r="AC275">
        <v>0</v>
      </c>
      <c r="AD275">
        <v>0</v>
      </c>
    </row>
    <row r="276" spans="1:30" x14ac:dyDescent="0.2">
      <c r="A276" s="6">
        <v>45799.427199074074</v>
      </c>
      <c r="B276" t="s">
        <v>1815</v>
      </c>
      <c r="C276">
        <v>620100306</v>
      </c>
      <c r="D276" t="s">
        <v>1831</v>
      </c>
      <c r="E276" t="s">
        <v>2054</v>
      </c>
      <c r="F276" t="s">
        <v>1832</v>
      </c>
      <c r="G276">
        <v>2984336468</v>
      </c>
      <c r="H276" t="s">
        <v>1815</v>
      </c>
      <c r="I276" t="s">
        <v>1829</v>
      </c>
      <c r="J276" t="s">
        <v>33</v>
      </c>
      <c r="K276">
        <v>2984336468</v>
      </c>
      <c r="L276" t="s">
        <v>1815</v>
      </c>
      <c r="M276" t="s">
        <v>1828</v>
      </c>
      <c r="N276" t="s">
        <v>8</v>
      </c>
      <c r="O276">
        <v>2984336468</v>
      </c>
      <c r="P276" t="s">
        <v>1815</v>
      </c>
      <c r="Q276" t="s">
        <v>1833</v>
      </c>
      <c r="R276">
        <v>5</v>
      </c>
      <c r="S276">
        <v>2</v>
      </c>
      <c r="T276">
        <v>0</v>
      </c>
      <c r="U276">
        <v>0</v>
      </c>
      <c r="V276">
        <v>0</v>
      </c>
      <c r="W276">
        <v>17</v>
      </c>
      <c r="X276">
        <v>78000</v>
      </c>
      <c r="Y276">
        <v>103000</v>
      </c>
      <c r="Z276">
        <v>12</v>
      </c>
      <c r="AA276" t="s">
        <v>444</v>
      </c>
      <c r="AB276">
        <v>0</v>
      </c>
      <c r="AC276">
        <v>0</v>
      </c>
      <c r="AD276">
        <v>0</v>
      </c>
    </row>
    <row r="277" spans="1:30" x14ac:dyDescent="0.2">
      <c r="A277" s="6">
        <v>45799.515138888892</v>
      </c>
      <c r="B277" t="s">
        <v>354</v>
      </c>
      <c r="C277">
        <v>140510105</v>
      </c>
      <c r="D277" t="s">
        <v>340</v>
      </c>
      <c r="E277" t="s">
        <v>2055</v>
      </c>
      <c r="F277" t="s">
        <v>2056</v>
      </c>
      <c r="G277" t="s">
        <v>2348</v>
      </c>
      <c r="H277" t="s">
        <v>354</v>
      </c>
      <c r="I277" t="s">
        <v>2057</v>
      </c>
      <c r="J277" t="s">
        <v>33</v>
      </c>
      <c r="K277" t="s">
        <v>2349</v>
      </c>
      <c r="L277" t="s">
        <v>2350</v>
      </c>
      <c r="M277" t="s">
        <v>356</v>
      </c>
      <c r="N277" t="s">
        <v>17</v>
      </c>
      <c r="O277" t="s">
        <v>2351</v>
      </c>
      <c r="P277" t="s">
        <v>354</v>
      </c>
      <c r="Q277" t="s">
        <v>2058</v>
      </c>
      <c r="R277">
        <v>8</v>
      </c>
      <c r="S277">
        <v>1</v>
      </c>
      <c r="T277">
        <v>26</v>
      </c>
      <c r="U277">
        <v>13</v>
      </c>
      <c r="V277">
        <v>14</v>
      </c>
      <c r="W277">
        <v>13</v>
      </c>
      <c r="X277">
        <v>70</v>
      </c>
      <c r="Y277">
        <v>65</v>
      </c>
      <c r="Z277">
        <v>10</v>
      </c>
      <c r="AA277" t="s">
        <v>444</v>
      </c>
      <c r="AB277">
        <v>0</v>
      </c>
      <c r="AC277">
        <v>0</v>
      </c>
    </row>
    <row r="278" spans="1:30" x14ac:dyDescent="0.2">
      <c r="A278" s="6">
        <v>45799.517951388887</v>
      </c>
      <c r="B278" t="s">
        <v>1836</v>
      </c>
      <c r="C278">
        <v>140443800</v>
      </c>
      <c r="D278" t="s">
        <v>1834</v>
      </c>
      <c r="E278" t="s">
        <v>333</v>
      </c>
      <c r="F278" t="s">
        <v>1835</v>
      </c>
      <c r="G278">
        <v>3517516762</v>
      </c>
      <c r="H278" t="s">
        <v>1836</v>
      </c>
      <c r="I278" t="s">
        <v>1837</v>
      </c>
      <c r="J278" t="s">
        <v>33</v>
      </c>
      <c r="K278">
        <v>3517516762</v>
      </c>
      <c r="L278" t="s">
        <v>1836</v>
      </c>
      <c r="M278" t="s">
        <v>1838</v>
      </c>
      <c r="N278" t="s">
        <v>17</v>
      </c>
      <c r="O278">
        <v>3515376550</v>
      </c>
      <c r="P278" t="s">
        <v>1839</v>
      </c>
      <c r="Q278" t="s">
        <v>1840</v>
      </c>
      <c r="R278">
        <v>10</v>
      </c>
      <c r="S278">
        <v>8</v>
      </c>
      <c r="T278">
        <v>62</v>
      </c>
      <c r="U278">
        <v>48</v>
      </c>
      <c r="V278">
        <v>68</v>
      </c>
      <c r="W278">
        <v>40</v>
      </c>
      <c r="X278">
        <v>27000</v>
      </c>
      <c r="Y278">
        <v>114000</v>
      </c>
      <c r="Z278">
        <v>10</v>
      </c>
      <c r="AA278" t="s">
        <v>444</v>
      </c>
      <c r="AB278">
        <v>0</v>
      </c>
      <c r="AC278">
        <v>0</v>
      </c>
    </row>
    <row r="279" spans="1:30" x14ac:dyDescent="0.2">
      <c r="A279" s="6">
        <v>45799.520462962966</v>
      </c>
      <c r="B279" t="s">
        <v>354</v>
      </c>
      <c r="C279">
        <v>140510105</v>
      </c>
      <c r="D279" t="s">
        <v>355</v>
      </c>
      <c r="E279" t="s">
        <v>2055</v>
      </c>
      <c r="F279" t="s">
        <v>2056</v>
      </c>
      <c r="G279" t="s">
        <v>2059</v>
      </c>
      <c r="H279" t="s">
        <v>354</v>
      </c>
      <c r="I279" t="s">
        <v>2057</v>
      </c>
      <c r="J279" t="s">
        <v>6</v>
      </c>
      <c r="K279" t="s">
        <v>2060</v>
      </c>
      <c r="L279" t="s">
        <v>339</v>
      </c>
      <c r="M279" t="s">
        <v>356</v>
      </c>
      <c r="N279" t="s">
        <v>17</v>
      </c>
      <c r="O279" t="s">
        <v>2061</v>
      </c>
      <c r="P279" t="s">
        <v>354</v>
      </c>
      <c r="Q279" t="s">
        <v>2058</v>
      </c>
      <c r="R279">
        <v>8</v>
      </c>
      <c r="S279">
        <v>1</v>
      </c>
      <c r="T279">
        <v>26</v>
      </c>
      <c r="U279">
        <v>13</v>
      </c>
      <c r="V279">
        <v>14</v>
      </c>
      <c r="W279">
        <v>13</v>
      </c>
      <c r="X279">
        <v>70</v>
      </c>
      <c r="Y279">
        <v>65</v>
      </c>
      <c r="Z279">
        <v>10</v>
      </c>
      <c r="AA279" t="s">
        <v>444</v>
      </c>
      <c r="AB279">
        <v>0</v>
      </c>
      <c r="AC279">
        <v>0</v>
      </c>
    </row>
    <row r="280" spans="1:30" x14ac:dyDescent="0.2">
      <c r="A280" s="6">
        <v>45799.754918981482</v>
      </c>
      <c r="B280" t="s">
        <v>1843</v>
      </c>
      <c r="C280">
        <v>620100301</v>
      </c>
      <c r="D280" t="s">
        <v>1841</v>
      </c>
      <c r="E280" t="s">
        <v>2062</v>
      </c>
      <c r="F280" t="s">
        <v>1842</v>
      </c>
      <c r="G280">
        <v>2984336468</v>
      </c>
      <c r="H280" t="s">
        <v>1843</v>
      </c>
      <c r="I280" t="s">
        <v>1829</v>
      </c>
      <c r="J280" t="s">
        <v>33</v>
      </c>
      <c r="K280">
        <v>2984336468</v>
      </c>
      <c r="L280" t="s">
        <v>1815</v>
      </c>
      <c r="M280" t="s">
        <v>1824</v>
      </c>
      <c r="N280" t="s">
        <v>8</v>
      </c>
      <c r="O280">
        <v>2984336468</v>
      </c>
      <c r="P280" t="s">
        <v>1815</v>
      </c>
      <c r="Q280" t="s">
        <v>1820</v>
      </c>
      <c r="R280">
        <v>9</v>
      </c>
      <c r="S280">
        <v>2</v>
      </c>
      <c r="T280">
        <v>13</v>
      </c>
      <c r="U280">
        <v>13</v>
      </c>
      <c r="V280">
        <v>25</v>
      </c>
      <c r="W280">
        <v>12</v>
      </c>
      <c r="X280">
        <v>78000</v>
      </c>
      <c r="Y280">
        <v>103000</v>
      </c>
      <c r="Z280">
        <v>12</v>
      </c>
      <c r="AA280" t="s">
        <v>444</v>
      </c>
      <c r="AB280">
        <v>0</v>
      </c>
      <c r="AC280">
        <v>0</v>
      </c>
    </row>
    <row r="281" spans="1:30" ht="68.25" x14ac:dyDescent="0.2">
      <c r="A281" s="6">
        <v>45800.570520833331</v>
      </c>
      <c r="B281" t="s">
        <v>1870</v>
      </c>
      <c r="C281">
        <v>380098400</v>
      </c>
      <c r="D281" t="s">
        <v>1868</v>
      </c>
      <c r="E281" t="s">
        <v>2063</v>
      </c>
      <c r="F281" s="7" t="s">
        <v>1869</v>
      </c>
      <c r="G281">
        <v>3885006672</v>
      </c>
      <c r="H281" t="s">
        <v>1870</v>
      </c>
      <c r="I281" t="s">
        <v>1871</v>
      </c>
      <c r="J281" t="s">
        <v>6</v>
      </c>
      <c r="K281" t="s">
        <v>1872</v>
      </c>
      <c r="L281" t="s">
        <v>1873</v>
      </c>
      <c r="M281" t="s">
        <v>1874</v>
      </c>
      <c r="N281" t="s">
        <v>17</v>
      </c>
      <c r="O281">
        <v>3883388385</v>
      </c>
      <c r="P281" t="s">
        <v>1875</v>
      </c>
      <c r="Q281" t="s">
        <v>1876</v>
      </c>
      <c r="R281">
        <v>20</v>
      </c>
      <c r="S281">
        <v>5</v>
      </c>
      <c r="T281">
        <v>35</v>
      </c>
      <c r="U281">
        <v>35</v>
      </c>
      <c r="V281">
        <v>50</v>
      </c>
      <c r="W281">
        <v>3</v>
      </c>
      <c r="X281">
        <v>65000</v>
      </c>
      <c r="Y281">
        <v>110000</v>
      </c>
      <c r="Z281">
        <v>10</v>
      </c>
      <c r="AA281" t="s">
        <v>444</v>
      </c>
      <c r="AB281">
        <v>0</v>
      </c>
      <c r="AC281">
        <v>0</v>
      </c>
      <c r="AD281" t="s">
        <v>2334</v>
      </c>
    </row>
    <row r="282" spans="1:30" x14ac:dyDescent="0.2">
      <c r="A282" s="6">
        <v>45800.661562499998</v>
      </c>
      <c r="B282" t="s">
        <v>1879</v>
      </c>
      <c r="C282">
        <v>20282200</v>
      </c>
      <c r="D282" t="s">
        <v>1877</v>
      </c>
      <c r="E282" t="s">
        <v>2064</v>
      </c>
      <c r="F282" t="s">
        <v>1878</v>
      </c>
      <c r="G282">
        <v>52737984</v>
      </c>
      <c r="H282" t="s">
        <v>1879</v>
      </c>
      <c r="I282" t="s">
        <v>1880</v>
      </c>
      <c r="J282" t="s">
        <v>6</v>
      </c>
      <c r="K282">
        <v>52737984</v>
      </c>
      <c r="L282" t="s">
        <v>1879</v>
      </c>
      <c r="M282" t="s">
        <v>1881</v>
      </c>
      <c r="N282" t="s">
        <v>8</v>
      </c>
      <c r="O282">
        <v>52737984</v>
      </c>
      <c r="P282" t="s">
        <v>1882</v>
      </c>
      <c r="Q282" t="s">
        <v>1883</v>
      </c>
      <c r="R282">
        <v>22</v>
      </c>
      <c r="S282">
        <v>9</v>
      </c>
      <c r="T282">
        <v>24</v>
      </c>
      <c r="U282">
        <v>18</v>
      </c>
      <c r="V282">
        <v>61</v>
      </c>
      <c r="W282">
        <v>60</v>
      </c>
      <c r="X282">
        <v>78000</v>
      </c>
      <c r="Y282">
        <v>85000</v>
      </c>
      <c r="Z282">
        <v>10</v>
      </c>
      <c r="AA282" t="s">
        <v>444</v>
      </c>
      <c r="AB282">
        <v>0</v>
      </c>
      <c r="AC282">
        <v>0</v>
      </c>
      <c r="AD282" t="s">
        <v>2352</v>
      </c>
    </row>
    <row r="283" spans="1:30" ht="54.75" x14ac:dyDescent="0.2">
      <c r="A283" s="6">
        <v>45803.679768518516</v>
      </c>
      <c r="B283" t="s">
        <v>1889</v>
      </c>
      <c r="C283">
        <v>140233600</v>
      </c>
      <c r="D283" t="s">
        <v>1885</v>
      </c>
      <c r="E283" t="s">
        <v>1886</v>
      </c>
      <c r="F283" t="s">
        <v>1887</v>
      </c>
      <c r="G283" t="s">
        <v>1888</v>
      </c>
      <c r="H283" t="s">
        <v>1889</v>
      </c>
      <c r="I283" t="s">
        <v>1890</v>
      </c>
      <c r="J283" t="s">
        <v>33</v>
      </c>
      <c r="K283" t="s">
        <v>1891</v>
      </c>
      <c r="L283" t="s">
        <v>1892</v>
      </c>
      <c r="M283" t="s">
        <v>1893</v>
      </c>
      <c r="N283" t="s">
        <v>55</v>
      </c>
      <c r="O283" t="s">
        <v>1894</v>
      </c>
      <c r="P283" t="s">
        <v>1895</v>
      </c>
      <c r="Q283" s="7" t="s">
        <v>1896</v>
      </c>
      <c r="R283">
        <v>15</v>
      </c>
      <c r="S283">
        <v>3</v>
      </c>
      <c r="T283">
        <v>26</v>
      </c>
      <c r="U283">
        <v>10</v>
      </c>
      <c r="V283">
        <v>12</v>
      </c>
      <c r="W283">
        <v>10</v>
      </c>
      <c r="X283">
        <v>75000</v>
      </c>
      <c r="Y283">
        <v>45000</v>
      </c>
      <c r="Z283">
        <v>10</v>
      </c>
      <c r="AA283" t="s">
        <v>444</v>
      </c>
      <c r="AB283">
        <v>0</v>
      </c>
      <c r="AC283">
        <v>0</v>
      </c>
      <c r="AD283" t="s">
        <v>2334</v>
      </c>
    </row>
    <row r="284" spans="1:30" x14ac:dyDescent="0.2">
      <c r="A284" s="6">
        <v>45804.683275462965</v>
      </c>
      <c r="B284" t="s">
        <v>1909</v>
      </c>
      <c r="C284">
        <v>20191900</v>
      </c>
      <c r="D284" t="s">
        <v>1906</v>
      </c>
      <c r="E284" t="s">
        <v>1942</v>
      </c>
      <c r="F284" t="s">
        <v>1907</v>
      </c>
      <c r="G284" t="s">
        <v>1908</v>
      </c>
      <c r="H284" t="s">
        <v>1909</v>
      </c>
      <c r="I284" t="s">
        <v>1910</v>
      </c>
      <c r="J284" t="s">
        <v>6</v>
      </c>
      <c r="K284">
        <v>1168160274</v>
      </c>
      <c r="L284" t="s">
        <v>1909</v>
      </c>
      <c r="M284" t="s">
        <v>1911</v>
      </c>
      <c r="N284" t="s">
        <v>17</v>
      </c>
      <c r="O284">
        <v>1169086864</v>
      </c>
      <c r="P284" t="s">
        <v>1912</v>
      </c>
      <c r="Q284" t="s">
        <v>1913</v>
      </c>
      <c r="R284">
        <v>24</v>
      </c>
      <c r="S284">
        <v>15</v>
      </c>
      <c r="T284">
        <v>66</v>
      </c>
      <c r="U284">
        <v>83</v>
      </c>
      <c r="V284">
        <v>114</v>
      </c>
      <c r="W284">
        <v>81</v>
      </c>
      <c r="X284" t="s">
        <v>2353</v>
      </c>
      <c r="Y284" t="s">
        <v>2354</v>
      </c>
      <c r="Z284">
        <v>10</v>
      </c>
      <c r="AA284" t="s">
        <v>2331</v>
      </c>
      <c r="AB284">
        <v>10</v>
      </c>
      <c r="AC284" t="s">
        <v>2355</v>
      </c>
      <c r="AD284" t="s">
        <v>2356</v>
      </c>
    </row>
    <row r="285" spans="1:30" x14ac:dyDescent="0.2">
      <c r="A285" s="6">
        <v>45805.479641203703</v>
      </c>
      <c r="B285" t="s">
        <v>2070</v>
      </c>
      <c r="C285">
        <v>860185300</v>
      </c>
      <c r="D285" t="s">
        <v>2065</v>
      </c>
      <c r="E285" t="s">
        <v>2066</v>
      </c>
      <c r="F285" t="s">
        <v>2067</v>
      </c>
      <c r="G285">
        <v>3854768255</v>
      </c>
      <c r="H285" t="s">
        <v>2068</v>
      </c>
      <c r="I285" t="s">
        <v>2069</v>
      </c>
      <c r="J285" t="s">
        <v>6</v>
      </c>
      <c r="K285">
        <v>3854350971</v>
      </c>
      <c r="L285" t="s">
        <v>2070</v>
      </c>
      <c r="M285" t="s">
        <v>2071</v>
      </c>
      <c r="N285" t="s">
        <v>17</v>
      </c>
      <c r="O285">
        <v>3854023801</v>
      </c>
      <c r="P285" t="s">
        <v>2072</v>
      </c>
      <c r="Q285" t="s">
        <v>2073</v>
      </c>
      <c r="R285">
        <v>14</v>
      </c>
      <c r="S285">
        <v>4</v>
      </c>
      <c r="T285">
        <v>130</v>
      </c>
      <c r="U285">
        <v>50</v>
      </c>
      <c r="V285">
        <v>20</v>
      </c>
      <c r="W285">
        <v>3</v>
      </c>
      <c r="X285" s="5">
        <v>72000</v>
      </c>
      <c r="Y285" s="5">
        <v>30000</v>
      </c>
      <c r="Z285">
        <v>10</v>
      </c>
      <c r="AA285" t="s">
        <v>444</v>
      </c>
      <c r="AB285">
        <v>0</v>
      </c>
      <c r="AC285">
        <v>0</v>
      </c>
      <c r="AD285" t="s">
        <v>2357</v>
      </c>
    </row>
    <row r="286" spans="1:30" x14ac:dyDescent="0.2">
      <c r="A286" s="6">
        <v>45805.73709490741</v>
      </c>
      <c r="B286" t="s">
        <v>1945</v>
      </c>
      <c r="C286">
        <v>20017500</v>
      </c>
      <c r="D286" t="s">
        <v>1941</v>
      </c>
      <c r="E286" t="s">
        <v>1942</v>
      </c>
      <c r="F286" t="s">
        <v>1943</v>
      </c>
      <c r="G286" t="s">
        <v>1944</v>
      </c>
      <c r="H286" t="s">
        <v>1945</v>
      </c>
      <c r="I286" t="s">
        <v>1946</v>
      </c>
      <c r="J286" t="s">
        <v>6</v>
      </c>
      <c r="K286" t="s">
        <v>1947</v>
      </c>
      <c r="L286" t="s">
        <v>1945</v>
      </c>
      <c r="M286" t="s">
        <v>1948</v>
      </c>
      <c r="N286" t="s">
        <v>8</v>
      </c>
      <c r="O286" t="s">
        <v>1949</v>
      </c>
      <c r="P286" t="s">
        <v>1950</v>
      </c>
      <c r="Q286" t="s">
        <v>1951</v>
      </c>
      <c r="R286">
        <v>34</v>
      </c>
      <c r="S286">
        <v>11</v>
      </c>
      <c r="T286">
        <v>54</v>
      </c>
      <c r="U286">
        <v>78</v>
      </c>
      <c r="V286">
        <v>100</v>
      </c>
      <c r="W286">
        <v>103</v>
      </c>
      <c r="X286" s="5">
        <v>60000</v>
      </c>
      <c r="Y286">
        <v>84516</v>
      </c>
      <c r="Z286">
        <v>10</v>
      </c>
      <c r="AA286" t="s">
        <v>444</v>
      </c>
      <c r="AB286">
        <v>0</v>
      </c>
      <c r="AC286">
        <v>0</v>
      </c>
    </row>
    <row r="287" spans="1:30" x14ac:dyDescent="0.2">
      <c r="A287" s="6">
        <v>45807.432743055557</v>
      </c>
      <c r="B287" t="s">
        <v>2070</v>
      </c>
      <c r="C287">
        <v>860185300</v>
      </c>
      <c r="D287" t="s">
        <v>2065</v>
      </c>
      <c r="E287" t="s">
        <v>2066</v>
      </c>
      <c r="F287" t="s">
        <v>2067</v>
      </c>
      <c r="G287">
        <v>3854768255</v>
      </c>
      <c r="H287" t="s">
        <v>2068</v>
      </c>
      <c r="I287" t="s">
        <v>2245</v>
      </c>
      <c r="J287" t="s">
        <v>6</v>
      </c>
      <c r="K287">
        <v>3854350971</v>
      </c>
      <c r="L287" t="s">
        <v>2070</v>
      </c>
      <c r="M287" t="s">
        <v>2246</v>
      </c>
      <c r="N287" t="s">
        <v>17</v>
      </c>
      <c r="O287">
        <v>3854023801</v>
      </c>
      <c r="P287" t="s">
        <v>2247</v>
      </c>
      <c r="Q287" t="s">
        <v>2248</v>
      </c>
      <c r="R287">
        <v>14</v>
      </c>
      <c r="S287">
        <v>4</v>
      </c>
      <c r="T287">
        <v>131</v>
      </c>
      <c r="U287">
        <v>62</v>
      </c>
      <c r="V287">
        <v>20</v>
      </c>
      <c r="W287">
        <v>3</v>
      </c>
      <c r="X287" s="5">
        <v>72000</v>
      </c>
      <c r="Y287" s="5">
        <v>30000</v>
      </c>
      <c r="Z287">
        <v>10</v>
      </c>
      <c r="AA287" t="s">
        <v>444</v>
      </c>
      <c r="AB287">
        <v>0</v>
      </c>
      <c r="AC287">
        <v>0</v>
      </c>
      <c r="AD287" t="s">
        <v>2249</v>
      </c>
    </row>
    <row r="288" spans="1:30" x14ac:dyDescent="0.2">
      <c r="A288" s="6">
        <v>45809.928101851852</v>
      </c>
      <c r="B288" t="s">
        <v>2253</v>
      </c>
      <c r="C288">
        <v>860220000</v>
      </c>
      <c r="D288" t="s">
        <v>2250</v>
      </c>
      <c r="E288" t="s">
        <v>2251</v>
      </c>
      <c r="F288" t="s">
        <v>2252</v>
      </c>
      <c r="G288">
        <v>3855752448</v>
      </c>
      <c r="H288" t="s">
        <v>2253</v>
      </c>
      <c r="I288" t="s">
        <v>2254</v>
      </c>
      <c r="J288" t="s">
        <v>6</v>
      </c>
      <c r="K288">
        <v>3855752448</v>
      </c>
      <c r="L288" t="s">
        <v>2255</v>
      </c>
      <c r="M288" t="s">
        <v>2256</v>
      </c>
      <c r="N288" t="s">
        <v>6</v>
      </c>
      <c r="O288">
        <v>3855752448</v>
      </c>
      <c r="P288" t="s">
        <v>2253</v>
      </c>
      <c r="Q288" t="s">
        <v>2257</v>
      </c>
      <c r="R288">
        <v>10</v>
      </c>
      <c r="S288">
        <v>7</v>
      </c>
      <c r="T288">
        <v>48</v>
      </c>
      <c r="U288">
        <v>45</v>
      </c>
      <c r="V288">
        <v>23</v>
      </c>
      <c r="W288">
        <v>9</v>
      </c>
      <c r="X288">
        <v>50</v>
      </c>
      <c r="Y288">
        <v>25</v>
      </c>
      <c r="Z288">
        <v>10</v>
      </c>
      <c r="AA288" t="s">
        <v>444</v>
      </c>
      <c r="AB288">
        <v>0</v>
      </c>
      <c r="AC288">
        <v>0</v>
      </c>
      <c r="AD288" t="s">
        <v>2258</v>
      </c>
    </row>
    <row r="289" spans="1:30" x14ac:dyDescent="0.2">
      <c r="A289" s="6">
        <v>45811.678622685184</v>
      </c>
      <c r="B289" t="s">
        <v>2380</v>
      </c>
      <c r="C289">
        <v>820396700</v>
      </c>
      <c r="D289" t="s">
        <v>2381</v>
      </c>
      <c r="E289" t="s">
        <v>47</v>
      </c>
      <c r="F289" t="s">
        <v>2382</v>
      </c>
      <c r="G289" t="s">
        <v>2383</v>
      </c>
      <c r="H289" t="s">
        <v>2380</v>
      </c>
      <c r="I289" t="s">
        <v>2384</v>
      </c>
      <c r="J289" t="s">
        <v>33</v>
      </c>
      <c r="K289" t="s">
        <v>2385</v>
      </c>
      <c r="L289" t="s">
        <v>2386</v>
      </c>
      <c r="M289" t="s">
        <v>2384</v>
      </c>
      <c r="N289" t="s">
        <v>8</v>
      </c>
      <c r="O289" t="s">
        <v>2385</v>
      </c>
      <c r="P289" t="s">
        <v>2386</v>
      </c>
      <c r="Q289" t="s">
        <v>2387</v>
      </c>
      <c r="R289">
        <v>16</v>
      </c>
      <c r="S289">
        <v>3</v>
      </c>
      <c r="T289">
        <v>17</v>
      </c>
      <c r="U289">
        <v>29</v>
      </c>
      <c r="V289">
        <v>35</v>
      </c>
      <c r="W289">
        <v>13</v>
      </c>
      <c r="X289">
        <v>170000</v>
      </c>
      <c r="Y289">
        <v>105000</v>
      </c>
      <c r="Z289">
        <v>10</v>
      </c>
      <c r="AA289" t="s">
        <v>444</v>
      </c>
      <c r="AB289">
        <v>0</v>
      </c>
      <c r="AC289">
        <v>0</v>
      </c>
      <c r="AD289" t="s">
        <v>2388</v>
      </c>
    </row>
    <row r="290" spans="1:30" ht="108" x14ac:dyDescent="0.2">
      <c r="A290" s="6">
        <v>45811.688576388886</v>
      </c>
      <c r="B290" t="s">
        <v>2389</v>
      </c>
      <c r="C290">
        <v>140510104</v>
      </c>
      <c r="D290" s="7" t="s">
        <v>2390</v>
      </c>
      <c r="E290" t="s">
        <v>2391</v>
      </c>
      <c r="F290" t="s">
        <v>2392</v>
      </c>
      <c r="G290">
        <v>3549421531</v>
      </c>
      <c r="H290" t="s">
        <v>2393</v>
      </c>
      <c r="I290" t="s">
        <v>343</v>
      </c>
      <c r="J290" t="s">
        <v>33</v>
      </c>
      <c r="K290">
        <v>3516430818</v>
      </c>
      <c r="L290" t="s">
        <v>339</v>
      </c>
      <c r="M290" t="s">
        <v>2394</v>
      </c>
      <c r="N290" t="s">
        <v>17</v>
      </c>
      <c r="O290">
        <v>3549418758</v>
      </c>
      <c r="P290" t="s">
        <v>2395</v>
      </c>
      <c r="Q290" t="s">
        <v>2396</v>
      </c>
      <c r="R290">
        <v>15</v>
      </c>
      <c r="S290">
        <v>3</v>
      </c>
      <c r="T290">
        <v>52</v>
      </c>
      <c r="U290">
        <v>32</v>
      </c>
      <c r="V290">
        <v>42</v>
      </c>
      <c r="W290">
        <v>32</v>
      </c>
      <c r="X290">
        <v>70000</v>
      </c>
      <c r="Y290">
        <v>65</v>
      </c>
      <c r="Z290">
        <v>10</v>
      </c>
      <c r="AA290" t="s">
        <v>444</v>
      </c>
      <c r="AB290">
        <v>0</v>
      </c>
      <c r="AC290">
        <v>0</v>
      </c>
    </row>
    <row r="291" spans="1:30" ht="121.5" x14ac:dyDescent="0.2">
      <c r="A291" s="6">
        <v>45811.556076388886</v>
      </c>
      <c r="B291" t="s">
        <v>2397</v>
      </c>
      <c r="C291">
        <v>500221200</v>
      </c>
      <c r="D291" t="s">
        <v>2398</v>
      </c>
      <c r="E291" t="s">
        <v>2399</v>
      </c>
      <c r="F291" t="s">
        <v>2400</v>
      </c>
      <c r="H291" t="s">
        <v>2397</v>
      </c>
      <c r="I291" t="s">
        <v>2401</v>
      </c>
      <c r="J291" t="s">
        <v>6</v>
      </c>
      <c r="K291">
        <v>2616979257</v>
      </c>
      <c r="L291" t="s">
        <v>2397</v>
      </c>
      <c r="M291" t="s">
        <v>2401</v>
      </c>
      <c r="N291" t="s">
        <v>6</v>
      </c>
      <c r="O291">
        <v>2616979257</v>
      </c>
      <c r="P291" t="s">
        <v>2397</v>
      </c>
      <c r="Q291" s="7" t="s">
        <v>2402</v>
      </c>
      <c r="R291">
        <v>36</v>
      </c>
      <c r="S291">
        <v>10</v>
      </c>
      <c r="T291">
        <v>169</v>
      </c>
      <c r="U291">
        <v>114</v>
      </c>
      <c r="V291">
        <v>73</v>
      </c>
      <c r="W291">
        <v>32</v>
      </c>
    </row>
    <row r="292" spans="1:30" x14ac:dyDescent="0.2">
      <c r="A292" s="6">
        <v>45811.778240740743</v>
      </c>
      <c r="B292" t="s">
        <v>2403</v>
      </c>
      <c r="C292">
        <v>860119000</v>
      </c>
      <c r="D292" t="s">
        <v>2404</v>
      </c>
      <c r="E292" t="s">
        <v>2405</v>
      </c>
      <c r="F292" t="s">
        <v>2406</v>
      </c>
      <c r="G292">
        <v>385155952783</v>
      </c>
      <c r="H292" t="s">
        <v>2403</v>
      </c>
      <c r="I292" t="s">
        <v>2407</v>
      </c>
      <c r="J292" t="s">
        <v>6</v>
      </c>
      <c r="K292">
        <v>385155952783</v>
      </c>
      <c r="L292" t="s">
        <v>2403</v>
      </c>
      <c r="M292" t="s">
        <v>2407</v>
      </c>
      <c r="N292" t="s">
        <v>6</v>
      </c>
      <c r="O292">
        <v>385155952783</v>
      </c>
      <c r="P292" t="s">
        <v>2403</v>
      </c>
      <c r="Q292" t="s">
        <v>2408</v>
      </c>
      <c r="R292">
        <v>18</v>
      </c>
      <c r="S292">
        <v>3</v>
      </c>
      <c r="T292">
        <v>70</v>
      </c>
      <c r="U292">
        <v>49</v>
      </c>
      <c r="V292">
        <v>52</v>
      </c>
      <c r="W292">
        <v>12</v>
      </c>
    </row>
    <row r="293" spans="1:30" ht="41.25" x14ac:dyDescent="0.2">
      <c r="A293" s="6">
        <v>45811.891701388886</v>
      </c>
      <c r="B293" t="s">
        <v>2409</v>
      </c>
      <c r="C293">
        <v>860020601</v>
      </c>
      <c r="D293" t="s">
        <v>2410</v>
      </c>
      <c r="E293" t="s">
        <v>2411</v>
      </c>
      <c r="F293" t="s">
        <v>2412</v>
      </c>
      <c r="G293">
        <v>3854834142</v>
      </c>
      <c r="H293" t="s">
        <v>2409</v>
      </c>
      <c r="I293" t="s">
        <v>2413</v>
      </c>
      <c r="J293" t="s">
        <v>6</v>
      </c>
      <c r="K293">
        <v>3854834142</v>
      </c>
      <c r="L293" t="s">
        <v>2414</v>
      </c>
      <c r="M293" t="s">
        <v>2415</v>
      </c>
      <c r="N293" t="s">
        <v>17</v>
      </c>
      <c r="O293">
        <v>3856889178</v>
      </c>
      <c r="P293" t="s">
        <v>2416</v>
      </c>
      <c r="Q293" s="7" t="s">
        <v>2417</v>
      </c>
      <c r="R293">
        <v>12</v>
      </c>
      <c r="S293">
        <v>2</v>
      </c>
      <c r="T293">
        <v>41</v>
      </c>
      <c r="U293">
        <v>49</v>
      </c>
      <c r="V293">
        <v>21</v>
      </c>
      <c r="W293">
        <v>7</v>
      </c>
    </row>
    <row r="294" spans="1:30" x14ac:dyDescent="0.2">
      <c r="A294" s="6">
        <v>45811.91777777778</v>
      </c>
      <c r="B294" t="s">
        <v>2418</v>
      </c>
      <c r="C294">
        <v>860108800</v>
      </c>
      <c r="D294" t="s">
        <v>2419</v>
      </c>
      <c r="E294" t="s">
        <v>2420</v>
      </c>
      <c r="F294" t="s">
        <v>2421</v>
      </c>
      <c r="G294">
        <v>3856268940</v>
      </c>
      <c r="H294" t="s">
        <v>2418</v>
      </c>
      <c r="I294" t="s">
        <v>2422</v>
      </c>
      <c r="J294" t="s">
        <v>6</v>
      </c>
      <c r="K294">
        <v>3856268940</v>
      </c>
      <c r="L294" t="s">
        <v>2418</v>
      </c>
      <c r="M294" t="s">
        <v>2423</v>
      </c>
      <c r="N294" t="s">
        <v>36</v>
      </c>
      <c r="O294">
        <v>3854188352</v>
      </c>
      <c r="P294" t="s">
        <v>2424</v>
      </c>
      <c r="Q294" t="s">
        <v>2425</v>
      </c>
      <c r="R294">
        <v>25</v>
      </c>
      <c r="S294">
        <v>5</v>
      </c>
      <c r="T294">
        <v>89</v>
      </c>
      <c r="U294">
        <v>74</v>
      </c>
      <c r="V294">
        <v>28</v>
      </c>
      <c r="W294">
        <v>26</v>
      </c>
    </row>
    <row r="295" spans="1:30" x14ac:dyDescent="0.2">
      <c r="A295" s="6">
        <v>45811.949421296296</v>
      </c>
      <c r="B295" t="s">
        <v>2426</v>
      </c>
      <c r="C295">
        <v>380052001</v>
      </c>
      <c r="D295" t="s">
        <v>2427</v>
      </c>
      <c r="E295" t="s">
        <v>2428</v>
      </c>
      <c r="F295" t="s">
        <v>2429</v>
      </c>
      <c r="G295">
        <v>3885036832</v>
      </c>
      <c r="H295" t="s">
        <v>2426</v>
      </c>
      <c r="I295" t="s">
        <v>2430</v>
      </c>
      <c r="J295" t="s">
        <v>6</v>
      </c>
      <c r="K295">
        <v>3885036832</v>
      </c>
      <c r="L295" t="s">
        <v>2426</v>
      </c>
      <c r="M295" t="s">
        <v>2431</v>
      </c>
      <c r="N295" t="s">
        <v>17</v>
      </c>
      <c r="O295">
        <v>3886651098</v>
      </c>
      <c r="P295" t="s">
        <v>2432</v>
      </c>
      <c r="Q295" t="s">
        <v>2433</v>
      </c>
      <c r="R295">
        <v>17</v>
      </c>
      <c r="S295">
        <v>3</v>
      </c>
      <c r="T295">
        <v>44</v>
      </c>
      <c r="U295">
        <v>65</v>
      </c>
      <c r="V295">
        <v>51</v>
      </c>
      <c r="W295">
        <v>0</v>
      </c>
    </row>
    <row r="296" spans="1:30" x14ac:dyDescent="0.2">
      <c r="A296" s="6">
        <v>45812.758321759262</v>
      </c>
      <c r="B296" t="s">
        <v>2832</v>
      </c>
      <c r="C296">
        <v>860187600</v>
      </c>
      <c r="D296" t="s">
        <v>2833</v>
      </c>
      <c r="E296" t="s">
        <v>2456</v>
      </c>
      <c r="F296" t="s">
        <v>2834</v>
      </c>
      <c r="G296" t="s">
        <v>2835</v>
      </c>
      <c r="H296" t="s">
        <v>2832</v>
      </c>
      <c r="I296" t="s">
        <v>2836</v>
      </c>
      <c r="J296" t="s">
        <v>6</v>
      </c>
      <c r="K296" t="s">
        <v>2837</v>
      </c>
      <c r="L296" t="s">
        <v>2838</v>
      </c>
      <c r="M296" t="s">
        <v>2839</v>
      </c>
      <c r="N296" t="s">
        <v>8</v>
      </c>
      <c r="O296" t="s">
        <v>2840</v>
      </c>
      <c r="P296" t="s">
        <v>2841</v>
      </c>
      <c r="Q296" t="s">
        <v>720</v>
      </c>
      <c r="R296">
        <v>10</v>
      </c>
      <c r="S296">
        <v>4</v>
      </c>
      <c r="T296">
        <v>45</v>
      </c>
      <c r="U296">
        <v>25</v>
      </c>
      <c r="V296">
        <v>15</v>
      </c>
      <c r="W296">
        <v>5</v>
      </c>
      <c r="X296">
        <v>70</v>
      </c>
      <c r="Y296">
        <v>40</v>
      </c>
      <c r="Z296">
        <v>10</v>
      </c>
      <c r="AA296" t="s">
        <v>444</v>
      </c>
      <c r="AB296">
        <v>0</v>
      </c>
      <c r="AC296">
        <v>0</v>
      </c>
    </row>
    <row r="297" spans="1:30" x14ac:dyDescent="0.2">
      <c r="A297" s="6">
        <v>45812.77207175926</v>
      </c>
      <c r="B297" t="s">
        <v>76</v>
      </c>
      <c r="C297">
        <v>60831300</v>
      </c>
      <c r="D297" t="s">
        <v>2842</v>
      </c>
      <c r="E297" t="s">
        <v>74</v>
      </c>
      <c r="F297" t="s">
        <v>2843</v>
      </c>
      <c r="G297">
        <v>1164557452</v>
      </c>
      <c r="H297" t="s">
        <v>76</v>
      </c>
      <c r="I297" t="s">
        <v>2844</v>
      </c>
      <c r="J297" t="s">
        <v>33</v>
      </c>
      <c r="K297">
        <v>1157602891</v>
      </c>
      <c r="L297" t="s">
        <v>78</v>
      </c>
      <c r="M297" t="s">
        <v>2845</v>
      </c>
      <c r="N297" t="s">
        <v>36</v>
      </c>
      <c r="O297">
        <v>1141942911</v>
      </c>
      <c r="P297" t="s">
        <v>80</v>
      </c>
      <c r="Q297" t="s">
        <v>2846</v>
      </c>
      <c r="R297">
        <v>25</v>
      </c>
      <c r="S297">
        <v>8</v>
      </c>
      <c r="T297">
        <v>94</v>
      </c>
      <c r="U297">
        <v>59</v>
      </c>
      <c r="V297">
        <v>50</v>
      </c>
      <c r="W297">
        <v>31</v>
      </c>
      <c r="X297">
        <v>66000</v>
      </c>
      <c r="Y297">
        <v>48750</v>
      </c>
      <c r="Z297">
        <v>10</v>
      </c>
      <c r="AA297" t="s">
        <v>2331</v>
      </c>
      <c r="AB297">
        <v>10</v>
      </c>
      <c r="AC297">
        <v>19000</v>
      </c>
    </row>
    <row r="298" spans="1:30" x14ac:dyDescent="0.2">
      <c r="A298" s="6">
        <v>45813.859652777777</v>
      </c>
      <c r="B298" t="s">
        <v>2934</v>
      </c>
      <c r="C298">
        <v>860184700</v>
      </c>
      <c r="D298" t="s">
        <v>2935</v>
      </c>
      <c r="E298" t="s">
        <v>2936</v>
      </c>
      <c r="F298" t="s">
        <v>2937</v>
      </c>
      <c r="G298">
        <v>3844421749</v>
      </c>
      <c r="H298" t="s">
        <v>2938</v>
      </c>
      <c r="I298" t="s">
        <v>2939</v>
      </c>
      <c r="J298" t="s">
        <v>6</v>
      </c>
      <c r="K298">
        <v>3844464774</v>
      </c>
      <c r="L298" t="s">
        <v>2940</v>
      </c>
      <c r="M298" t="s">
        <v>2941</v>
      </c>
      <c r="N298" t="s">
        <v>17</v>
      </c>
      <c r="O298">
        <v>3844433932</v>
      </c>
      <c r="P298" t="s">
        <v>2942</v>
      </c>
      <c r="Q298" t="s">
        <v>2943</v>
      </c>
      <c r="R298">
        <v>10</v>
      </c>
      <c r="S298">
        <v>2</v>
      </c>
      <c r="T298">
        <v>50</v>
      </c>
      <c r="U298">
        <v>36</v>
      </c>
      <c r="V298">
        <v>18</v>
      </c>
      <c r="W298">
        <v>36</v>
      </c>
    </row>
    <row r="299" spans="1:30" x14ac:dyDescent="0.2">
      <c r="A299" s="6">
        <v>45814.507060185184</v>
      </c>
      <c r="B299" t="s">
        <v>2944</v>
      </c>
      <c r="C299">
        <v>860111800</v>
      </c>
      <c r="D299" t="s">
        <v>2945</v>
      </c>
      <c r="E299" t="s">
        <v>2946</v>
      </c>
      <c r="F299" t="s">
        <v>2947</v>
      </c>
      <c r="H299" t="s">
        <v>2944</v>
      </c>
      <c r="I299" t="s">
        <v>2948</v>
      </c>
      <c r="J299" t="s">
        <v>6</v>
      </c>
      <c r="K299">
        <v>3854686092</v>
      </c>
      <c r="L299" t="s">
        <v>2949</v>
      </c>
      <c r="M299" t="s">
        <v>2950</v>
      </c>
      <c r="N299" t="s">
        <v>17</v>
      </c>
      <c r="O299">
        <v>3854403639</v>
      </c>
      <c r="P299" t="s">
        <v>2951</v>
      </c>
      <c r="Q299" t="s">
        <v>2952</v>
      </c>
      <c r="R299">
        <v>13</v>
      </c>
      <c r="S299">
        <v>3</v>
      </c>
      <c r="T299">
        <v>35</v>
      </c>
      <c r="U299">
        <v>43</v>
      </c>
      <c r="V299">
        <v>33</v>
      </c>
      <c r="W299">
        <v>12</v>
      </c>
    </row>
    <row r="300" spans="1:30" x14ac:dyDescent="0.2">
      <c r="A300" s="6">
        <v>45815.445775462962</v>
      </c>
      <c r="B300" t="s">
        <v>2957</v>
      </c>
      <c r="C300">
        <v>660117401</v>
      </c>
      <c r="D300" t="s">
        <v>2958</v>
      </c>
      <c r="E300" t="s">
        <v>2959</v>
      </c>
      <c r="F300" t="s">
        <v>2960</v>
      </c>
      <c r="G300">
        <v>3874318963</v>
      </c>
      <c r="H300" t="s">
        <v>240</v>
      </c>
      <c r="I300" t="s">
        <v>2961</v>
      </c>
      <c r="J300" t="s">
        <v>6</v>
      </c>
      <c r="K300">
        <v>3874872615</v>
      </c>
      <c r="L300" t="s">
        <v>2957</v>
      </c>
      <c r="M300" t="s">
        <v>2962</v>
      </c>
      <c r="N300" t="s">
        <v>17</v>
      </c>
      <c r="O300">
        <v>3873331961</v>
      </c>
      <c r="P300" t="s">
        <v>2963</v>
      </c>
      <c r="Q300" t="s">
        <v>2964</v>
      </c>
      <c r="R300">
        <v>24</v>
      </c>
      <c r="S300">
        <v>20</v>
      </c>
      <c r="T300">
        <v>181</v>
      </c>
      <c r="U300">
        <v>140</v>
      </c>
      <c r="V300">
        <v>130</v>
      </c>
      <c r="W300">
        <v>107</v>
      </c>
      <c r="X300">
        <v>130000</v>
      </c>
      <c r="Y300">
        <v>94500</v>
      </c>
      <c r="Z300">
        <v>10</v>
      </c>
      <c r="AA300" t="s">
        <v>444</v>
      </c>
      <c r="AB300">
        <v>0</v>
      </c>
      <c r="AC300">
        <v>0</v>
      </c>
    </row>
    <row r="301" spans="1:30" x14ac:dyDescent="0.2">
      <c r="A301" s="6">
        <v>45815.454212962963</v>
      </c>
      <c r="B301" t="s">
        <v>2957</v>
      </c>
      <c r="C301">
        <v>660117402</v>
      </c>
      <c r="D301" t="s">
        <v>2965</v>
      </c>
      <c r="E301" t="s">
        <v>2966</v>
      </c>
      <c r="F301" t="s">
        <v>2967</v>
      </c>
      <c r="G301">
        <v>3874872615</v>
      </c>
      <c r="H301" t="s">
        <v>2968</v>
      </c>
      <c r="I301" t="s">
        <v>238</v>
      </c>
      <c r="J301" t="s">
        <v>6</v>
      </c>
      <c r="K301">
        <v>3874872615</v>
      </c>
      <c r="L301" t="s">
        <v>2957</v>
      </c>
      <c r="M301" t="s">
        <v>2969</v>
      </c>
      <c r="N301" t="s">
        <v>17</v>
      </c>
      <c r="O301">
        <v>3874203510</v>
      </c>
      <c r="P301" t="s">
        <v>240</v>
      </c>
      <c r="Q301" t="s">
        <v>2970</v>
      </c>
      <c r="R301">
        <v>25</v>
      </c>
      <c r="S301">
        <v>18</v>
      </c>
      <c r="T301">
        <v>55</v>
      </c>
      <c r="U301">
        <v>44</v>
      </c>
      <c r="V301">
        <v>71</v>
      </c>
      <c r="W301">
        <v>32</v>
      </c>
      <c r="X301">
        <v>130000</v>
      </c>
      <c r="Y301">
        <v>94500</v>
      </c>
      <c r="Z301">
        <v>10</v>
      </c>
      <c r="AA301" t="s">
        <v>444</v>
      </c>
      <c r="AB301">
        <v>0</v>
      </c>
      <c r="AC301">
        <v>0</v>
      </c>
    </row>
    <row r="302" spans="1:30" x14ac:dyDescent="0.2">
      <c r="A302" s="6">
        <v>45815.462222222224</v>
      </c>
      <c r="B302" t="s">
        <v>2957</v>
      </c>
      <c r="C302">
        <v>660117403</v>
      </c>
      <c r="D302" t="s">
        <v>2971</v>
      </c>
      <c r="E302" t="s">
        <v>2972</v>
      </c>
      <c r="F302" t="s">
        <v>2973</v>
      </c>
      <c r="G302">
        <v>3878422481</v>
      </c>
      <c r="H302" t="s">
        <v>240</v>
      </c>
      <c r="I302" t="s">
        <v>238</v>
      </c>
      <c r="J302" t="s">
        <v>6</v>
      </c>
      <c r="K302">
        <v>3874872615</v>
      </c>
      <c r="L302" t="s">
        <v>2957</v>
      </c>
      <c r="M302" t="s">
        <v>2974</v>
      </c>
      <c r="N302" t="s">
        <v>17</v>
      </c>
      <c r="O302">
        <v>3878645379</v>
      </c>
      <c r="P302" t="s">
        <v>2975</v>
      </c>
      <c r="Q302" t="s">
        <v>2976</v>
      </c>
      <c r="R302">
        <v>40</v>
      </c>
      <c r="S302">
        <v>22</v>
      </c>
      <c r="T302">
        <v>143</v>
      </c>
      <c r="U302">
        <v>121</v>
      </c>
      <c r="V302">
        <v>118</v>
      </c>
      <c r="W302">
        <v>22</v>
      </c>
      <c r="X302">
        <v>130000</v>
      </c>
      <c r="Y302">
        <v>94500</v>
      </c>
      <c r="Z302">
        <v>10</v>
      </c>
      <c r="AA302" t="s">
        <v>444</v>
      </c>
      <c r="AB302">
        <v>0</v>
      </c>
      <c r="AC302">
        <v>0</v>
      </c>
    </row>
    <row r="303" spans="1:30" x14ac:dyDescent="0.2">
      <c r="A303" s="6">
        <v>45815.470821759256</v>
      </c>
      <c r="B303" t="s">
        <v>2957</v>
      </c>
      <c r="C303">
        <v>660117404</v>
      </c>
      <c r="D303" t="s">
        <v>2977</v>
      </c>
      <c r="E303" t="s">
        <v>2978</v>
      </c>
      <c r="F303" t="s">
        <v>2979</v>
      </c>
      <c r="G303">
        <v>3874318963</v>
      </c>
      <c r="H303" t="s">
        <v>240</v>
      </c>
      <c r="I303" t="s">
        <v>238</v>
      </c>
      <c r="J303" t="s">
        <v>6</v>
      </c>
      <c r="K303">
        <v>3874872615</v>
      </c>
      <c r="L303" t="s">
        <v>2957</v>
      </c>
      <c r="M303" t="s">
        <v>2980</v>
      </c>
      <c r="N303" t="s">
        <v>17</v>
      </c>
      <c r="O303">
        <v>3877473313</v>
      </c>
      <c r="P303" t="s">
        <v>2981</v>
      </c>
      <c r="Q303" t="s">
        <v>2982</v>
      </c>
      <c r="R303">
        <v>26</v>
      </c>
      <c r="S303">
        <v>18</v>
      </c>
      <c r="T303">
        <v>47</v>
      </c>
      <c r="U303">
        <v>46</v>
      </c>
      <c r="V303">
        <v>57</v>
      </c>
      <c r="W303">
        <v>20</v>
      </c>
      <c r="X303">
        <v>130000</v>
      </c>
      <c r="Y303">
        <v>94500</v>
      </c>
      <c r="Z303">
        <v>10</v>
      </c>
      <c r="AA303" t="s">
        <v>444</v>
      </c>
      <c r="AB303">
        <v>0</v>
      </c>
      <c r="AC303">
        <v>0</v>
      </c>
    </row>
    <row r="304" spans="1:30" x14ac:dyDescent="0.2">
      <c r="A304" s="6">
        <v>45815.48027777778</v>
      </c>
      <c r="B304" t="s">
        <v>2957</v>
      </c>
      <c r="C304">
        <v>660117404</v>
      </c>
      <c r="D304" t="s">
        <v>2977</v>
      </c>
      <c r="E304" t="s">
        <v>2885</v>
      </c>
      <c r="F304" t="s">
        <v>2983</v>
      </c>
      <c r="G304">
        <v>387318963</v>
      </c>
      <c r="H304" t="s">
        <v>240</v>
      </c>
      <c r="I304" t="s">
        <v>238</v>
      </c>
      <c r="J304" t="s">
        <v>6</v>
      </c>
      <c r="K304">
        <v>3874872615</v>
      </c>
      <c r="L304" t="s">
        <v>2957</v>
      </c>
      <c r="M304" t="s">
        <v>2984</v>
      </c>
      <c r="N304" t="s">
        <v>17</v>
      </c>
      <c r="O304">
        <v>3874691256</v>
      </c>
      <c r="P304" t="s">
        <v>240</v>
      </c>
      <c r="Q304" t="s">
        <v>2985</v>
      </c>
      <c r="R304">
        <v>14</v>
      </c>
      <c r="S304">
        <v>10</v>
      </c>
      <c r="T304">
        <v>39</v>
      </c>
      <c r="U304">
        <v>51</v>
      </c>
      <c r="V304">
        <v>37</v>
      </c>
      <c r="W304">
        <v>33</v>
      </c>
      <c r="X304">
        <v>130000</v>
      </c>
      <c r="Y304">
        <v>94500</v>
      </c>
      <c r="Z304">
        <v>10</v>
      </c>
      <c r="AA304" t="s">
        <v>444</v>
      </c>
      <c r="AB304">
        <v>0</v>
      </c>
      <c r="AC304">
        <v>0</v>
      </c>
    </row>
    <row r="305" spans="1:29" x14ac:dyDescent="0.2">
      <c r="A305" s="6">
        <v>45815.489224537036</v>
      </c>
      <c r="B305" t="s">
        <v>2957</v>
      </c>
      <c r="C305">
        <v>660117405</v>
      </c>
      <c r="D305" t="s">
        <v>2986</v>
      </c>
      <c r="E305" t="s">
        <v>2978</v>
      </c>
      <c r="F305" t="s">
        <v>2987</v>
      </c>
      <c r="G305">
        <v>3874318963</v>
      </c>
      <c r="H305" t="s">
        <v>240</v>
      </c>
      <c r="I305" t="s">
        <v>238</v>
      </c>
      <c r="J305" t="s">
        <v>6</v>
      </c>
      <c r="K305">
        <v>3874872615</v>
      </c>
      <c r="L305" t="s">
        <v>240</v>
      </c>
      <c r="M305" t="s">
        <v>2980</v>
      </c>
      <c r="N305" t="s">
        <v>17</v>
      </c>
      <c r="O305">
        <v>3877473313</v>
      </c>
      <c r="P305" t="s">
        <v>240</v>
      </c>
      <c r="Q305" t="s">
        <v>2988</v>
      </c>
      <c r="R305">
        <v>16</v>
      </c>
      <c r="S305">
        <v>10</v>
      </c>
      <c r="T305">
        <v>47</v>
      </c>
      <c r="U305">
        <v>46</v>
      </c>
      <c r="V305">
        <v>57</v>
      </c>
      <c r="W305">
        <v>20</v>
      </c>
      <c r="X305">
        <v>130000</v>
      </c>
      <c r="Y305">
        <v>94500</v>
      </c>
      <c r="Z305">
        <v>10</v>
      </c>
      <c r="AA305" t="s">
        <v>444</v>
      </c>
      <c r="AB305">
        <v>0</v>
      </c>
      <c r="AC305">
        <v>0</v>
      </c>
    </row>
    <row r="306" spans="1:29" x14ac:dyDescent="0.2">
      <c r="A306" s="6">
        <v>45815.52003472222</v>
      </c>
      <c r="B306" t="s">
        <v>2957</v>
      </c>
      <c r="C306">
        <v>660117408</v>
      </c>
      <c r="D306" t="s">
        <v>2989</v>
      </c>
      <c r="E306" t="s">
        <v>2990</v>
      </c>
      <c r="F306" t="s">
        <v>2991</v>
      </c>
      <c r="G306">
        <v>387472615</v>
      </c>
      <c r="H306" t="s">
        <v>240</v>
      </c>
      <c r="I306" t="s">
        <v>238</v>
      </c>
      <c r="J306" t="s">
        <v>6</v>
      </c>
      <c r="K306">
        <v>3874872615</v>
      </c>
      <c r="L306" t="s">
        <v>2957</v>
      </c>
      <c r="M306" t="s">
        <v>2992</v>
      </c>
      <c r="N306" t="s">
        <v>17</v>
      </c>
      <c r="O306">
        <v>3875356099</v>
      </c>
      <c r="P306" t="s">
        <v>240</v>
      </c>
      <c r="Q306" t="s">
        <v>2993</v>
      </c>
      <c r="R306">
        <v>35</v>
      </c>
      <c r="S306">
        <v>23</v>
      </c>
      <c r="T306">
        <v>50</v>
      </c>
      <c r="U306">
        <v>40</v>
      </c>
      <c r="V306">
        <v>66</v>
      </c>
      <c r="W306">
        <v>36</v>
      </c>
      <c r="X306">
        <v>130000</v>
      </c>
      <c r="Y306">
        <v>94500</v>
      </c>
      <c r="Z306">
        <v>10</v>
      </c>
      <c r="AA306" t="s">
        <v>444</v>
      </c>
      <c r="AB306">
        <v>0</v>
      </c>
      <c r="AC306">
        <v>0</v>
      </c>
    </row>
    <row r="307" spans="1:29" x14ac:dyDescent="0.2">
      <c r="A307" s="6">
        <v>45815.532337962963</v>
      </c>
      <c r="B307" t="s">
        <v>2957</v>
      </c>
      <c r="C307">
        <v>660117410</v>
      </c>
      <c r="D307" t="s">
        <v>2994</v>
      </c>
      <c r="E307" t="s">
        <v>2995</v>
      </c>
      <c r="F307" t="s">
        <v>2996</v>
      </c>
      <c r="G307">
        <v>3874318963</v>
      </c>
      <c r="H307" t="s">
        <v>240</v>
      </c>
      <c r="I307" t="s">
        <v>238</v>
      </c>
      <c r="J307" t="s">
        <v>6</v>
      </c>
      <c r="K307">
        <v>3874872615</v>
      </c>
      <c r="L307" t="s">
        <v>2957</v>
      </c>
      <c r="M307" t="s">
        <v>2997</v>
      </c>
      <c r="N307" t="s">
        <v>17</v>
      </c>
      <c r="O307">
        <v>3874872615</v>
      </c>
      <c r="P307" t="s">
        <v>240</v>
      </c>
      <c r="Q307" t="s">
        <v>2998</v>
      </c>
      <c r="R307">
        <v>21</v>
      </c>
      <c r="S307">
        <v>14</v>
      </c>
      <c r="T307">
        <v>51</v>
      </c>
      <c r="U307">
        <v>27</v>
      </c>
      <c r="V307">
        <v>43</v>
      </c>
      <c r="W307">
        <v>34</v>
      </c>
      <c r="X307">
        <v>130000</v>
      </c>
      <c r="Y307">
        <v>94500</v>
      </c>
      <c r="Z307">
        <v>10</v>
      </c>
      <c r="AA307" t="s">
        <v>444</v>
      </c>
      <c r="AB307">
        <v>0</v>
      </c>
      <c r="AC307">
        <v>0</v>
      </c>
    </row>
    <row r="308" spans="1:29" x14ac:dyDescent="0.2">
      <c r="A308" s="6">
        <v>45817.549340277779</v>
      </c>
      <c r="B308" t="s">
        <v>3010</v>
      </c>
      <c r="C308">
        <v>260061100</v>
      </c>
      <c r="D308" t="s">
        <v>3011</v>
      </c>
      <c r="E308" t="s">
        <v>3012</v>
      </c>
      <c r="F308" t="s">
        <v>3013</v>
      </c>
      <c r="G308">
        <v>2804378522</v>
      </c>
      <c r="H308" t="s">
        <v>3010</v>
      </c>
      <c r="I308" t="s">
        <v>3014</v>
      </c>
      <c r="J308" t="s">
        <v>33</v>
      </c>
      <c r="K308">
        <v>2804352275</v>
      </c>
      <c r="L308" t="s">
        <v>3015</v>
      </c>
      <c r="M308" t="s">
        <v>3016</v>
      </c>
      <c r="N308" t="s">
        <v>17</v>
      </c>
      <c r="O308">
        <v>2894378522</v>
      </c>
      <c r="P308" t="s">
        <v>3010</v>
      </c>
      <c r="Q308" t="s">
        <v>3017</v>
      </c>
      <c r="R308">
        <v>18</v>
      </c>
      <c r="S308">
        <v>4</v>
      </c>
      <c r="T308">
        <v>98</v>
      </c>
      <c r="U308">
        <v>72</v>
      </c>
      <c r="V308">
        <v>76</v>
      </c>
      <c r="W308">
        <v>67</v>
      </c>
      <c r="X308">
        <v>12000</v>
      </c>
      <c r="Y308">
        <v>20000</v>
      </c>
      <c r="Z308">
        <v>10</v>
      </c>
      <c r="AA308" t="s">
        <v>444</v>
      </c>
      <c r="AB308">
        <v>0</v>
      </c>
      <c r="AC308">
        <v>0</v>
      </c>
    </row>
    <row r="309" spans="1:29" x14ac:dyDescent="0.2">
      <c r="A309" s="6">
        <v>45817.55709490741</v>
      </c>
      <c r="B309" t="s">
        <v>3010</v>
      </c>
      <c r="C309">
        <v>260061101</v>
      </c>
      <c r="D309" t="s">
        <v>3011</v>
      </c>
      <c r="E309" t="s">
        <v>3018</v>
      </c>
      <c r="F309" t="s">
        <v>3019</v>
      </c>
      <c r="G309" t="s">
        <v>3020</v>
      </c>
      <c r="H309" t="s">
        <v>3010</v>
      </c>
      <c r="I309" t="s">
        <v>3021</v>
      </c>
      <c r="J309" t="s">
        <v>33</v>
      </c>
      <c r="K309">
        <v>2804352275</v>
      </c>
      <c r="L309" t="s">
        <v>3015</v>
      </c>
      <c r="M309" t="s">
        <v>3022</v>
      </c>
      <c r="N309" t="s">
        <v>17</v>
      </c>
      <c r="O309">
        <v>2974772880</v>
      </c>
      <c r="P309" t="s">
        <v>3010</v>
      </c>
      <c r="Q309" t="s">
        <v>3023</v>
      </c>
      <c r="R309">
        <v>15</v>
      </c>
      <c r="S309">
        <v>3</v>
      </c>
      <c r="T309">
        <v>30</v>
      </c>
      <c r="U309">
        <v>28</v>
      </c>
      <c r="V309">
        <v>24</v>
      </c>
      <c r="W309">
        <v>25</v>
      </c>
      <c r="X309">
        <v>12000</v>
      </c>
      <c r="Y309">
        <v>20000</v>
      </c>
      <c r="Z309">
        <v>10</v>
      </c>
      <c r="AA309" t="s">
        <v>444</v>
      </c>
      <c r="AB309">
        <v>0</v>
      </c>
      <c r="AC309">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C0D3A-D93C-496A-8360-E3A7BD7A7741}">
  <dimension ref="B1:O294"/>
  <sheetViews>
    <sheetView workbookViewId="0">
      <pane ySplit="2" topLeftCell="A257" activePane="bottomLeft" state="frozen"/>
      <selection pane="bottomLeft" activeCell="C202" sqref="C202"/>
    </sheetView>
  </sheetViews>
  <sheetFormatPr defaultColWidth="10.76171875" defaultRowHeight="33.75" customHeight="1" x14ac:dyDescent="0.2"/>
  <cols>
    <col min="3" max="3" width="63.22265625" style="7" customWidth="1"/>
    <col min="7" max="7" width="11.97265625" customWidth="1"/>
    <col min="8" max="8" width="9.55078125" customWidth="1"/>
    <col min="9" max="9" width="6.45703125" customWidth="1"/>
    <col min="12" max="12" width="6.45703125" customWidth="1"/>
    <col min="13" max="13" width="7.3984375" customWidth="1"/>
    <col min="15" max="15" width="12.64453125" bestFit="1" customWidth="1"/>
  </cols>
  <sheetData>
    <row r="1" spans="2:15" ht="17.25" customHeight="1" x14ac:dyDescent="0.2">
      <c r="B1" s="75"/>
      <c r="C1" s="75"/>
      <c r="D1" s="99">
        <f>SUM(D3:D301)</f>
        <v>23186</v>
      </c>
      <c r="E1" s="99">
        <f>SUM(E3:E301)</f>
        <v>15102</v>
      </c>
      <c r="F1" s="99">
        <f>SUM(F3:F301)</f>
        <v>15227</v>
      </c>
      <c r="G1" s="99">
        <f>SUM(G3:G301)</f>
        <v>9850</v>
      </c>
      <c r="H1" s="99">
        <f>SUM(D1:F1)</f>
        <v>53515</v>
      </c>
      <c r="J1" s="110" t="s">
        <v>2371</v>
      </c>
      <c r="K1" s="110"/>
    </row>
    <row r="2" spans="2:15" s="30" customFormat="1" ht="17.25" customHeight="1" x14ac:dyDescent="0.2">
      <c r="B2" s="78" t="s">
        <v>1922</v>
      </c>
      <c r="C2" s="75" t="s">
        <v>2372</v>
      </c>
      <c r="D2" s="75" t="s">
        <v>2373</v>
      </c>
      <c r="E2" s="75" t="s">
        <v>2374</v>
      </c>
      <c r="F2" s="75" t="s">
        <v>2375</v>
      </c>
      <c r="G2" s="75" t="s">
        <v>2376</v>
      </c>
      <c r="H2" s="75" t="s">
        <v>2379</v>
      </c>
      <c r="I2" s="76"/>
      <c r="J2" s="75" t="s">
        <v>2377</v>
      </c>
      <c r="K2" s="75" t="s">
        <v>2378</v>
      </c>
      <c r="L2" s="76"/>
      <c r="M2" s="76"/>
    </row>
    <row r="3" spans="2:15" ht="33.75" customHeight="1" x14ac:dyDescent="0.2">
      <c r="B3">
        <v>20017500</v>
      </c>
      <c r="C3" s="7" t="s">
        <v>1941</v>
      </c>
      <c r="D3">
        <v>54</v>
      </c>
      <c r="E3">
        <v>78</v>
      </c>
      <c r="F3">
        <v>100</v>
      </c>
      <c r="G3">
        <v>103</v>
      </c>
      <c r="H3">
        <f t="shared" ref="H3:H66" si="0">SUM(D3:F3)</f>
        <v>232</v>
      </c>
      <c r="J3">
        <v>34</v>
      </c>
      <c r="K3">
        <v>11</v>
      </c>
      <c r="O3" s="5"/>
    </row>
    <row r="4" spans="2:15" ht="33.75" customHeight="1" x14ac:dyDescent="0.2">
      <c r="B4">
        <v>20024000</v>
      </c>
      <c r="C4" s="7" t="s">
        <v>518</v>
      </c>
      <c r="D4">
        <v>70</v>
      </c>
      <c r="E4">
        <v>84</v>
      </c>
      <c r="F4">
        <v>66</v>
      </c>
      <c r="G4">
        <v>55</v>
      </c>
      <c r="H4">
        <f t="shared" si="0"/>
        <v>220</v>
      </c>
      <c r="I4" s="98"/>
      <c r="J4">
        <v>36</v>
      </c>
      <c r="K4">
        <v>10</v>
      </c>
      <c r="L4" s="98"/>
      <c r="M4" s="98"/>
    </row>
    <row r="5" spans="2:15" ht="33.75" customHeight="1" x14ac:dyDescent="0.2">
      <c r="B5">
        <v>20036600</v>
      </c>
      <c r="C5" s="7" t="s">
        <v>865</v>
      </c>
      <c r="D5">
        <v>300</v>
      </c>
      <c r="E5">
        <v>200</v>
      </c>
      <c r="F5">
        <v>200</v>
      </c>
      <c r="G5">
        <v>300</v>
      </c>
      <c r="H5">
        <f t="shared" si="0"/>
        <v>700</v>
      </c>
      <c r="I5" s="98"/>
      <c r="J5">
        <v>103</v>
      </c>
      <c r="K5">
        <v>103</v>
      </c>
      <c r="L5" s="98"/>
      <c r="M5" s="98"/>
    </row>
    <row r="6" spans="2:15" ht="33.75" customHeight="1" x14ac:dyDescent="0.2">
      <c r="B6">
        <v>20036601</v>
      </c>
      <c r="C6" s="7" t="s">
        <v>871</v>
      </c>
      <c r="D6">
        <v>116</v>
      </c>
      <c r="E6">
        <v>150</v>
      </c>
      <c r="F6">
        <v>95</v>
      </c>
      <c r="G6">
        <v>134</v>
      </c>
      <c r="H6">
        <f t="shared" si="0"/>
        <v>361</v>
      </c>
      <c r="J6">
        <v>41</v>
      </c>
      <c r="K6">
        <v>41</v>
      </c>
    </row>
    <row r="7" spans="2:15" ht="33.75" customHeight="1" x14ac:dyDescent="0.2">
      <c r="B7">
        <v>20053100</v>
      </c>
      <c r="C7" s="7" t="s">
        <v>122</v>
      </c>
      <c r="D7">
        <v>94</v>
      </c>
      <c r="E7">
        <v>84</v>
      </c>
      <c r="F7">
        <v>87</v>
      </c>
      <c r="G7">
        <v>71</v>
      </c>
      <c r="H7">
        <f t="shared" si="0"/>
        <v>265</v>
      </c>
      <c r="J7">
        <v>10</v>
      </c>
      <c r="K7">
        <v>12</v>
      </c>
    </row>
    <row r="8" spans="2:15" ht="33.75" customHeight="1" x14ac:dyDescent="0.2">
      <c r="B8">
        <v>20053900</v>
      </c>
      <c r="C8" s="7" t="s">
        <v>500</v>
      </c>
      <c r="D8">
        <v>117</v>
      </c>
      <c r="E8">
        <v>116</v>
      </c>
      <c r="F8">
        <v>87</v>
      </c>
      <c r="G8">
        <v>111</v>
      </c>
      <c r="H8">
        <f t="shared" si="0"/>
        <v>320</v>
      </c>
      <c r="J8">
        <v>28</v>
      </c>
      <c r="K8">
        <v>20</v>
      </c>
    </row>
    <row r="9" spans="2:15" ht="33.75" customHeight="1" x14ac:dyDescent="0.2">
      <c r="B9">
        <v>20089000</v>
      </c>
      <c r="C9" s="7" t="s">
        <v>156</v>
      </c>
      <c r="D9">
        <v>137</v>
      </c>
      <c r="E9">
        <v>153</v>
      </c>
      <c r="F9">
        <v>109</v>
      </c>
      <c r="G9">
        <v>49</v>
      </c>
      <c r="H9">
        <f t="shared" si="0"/>
        <v>399</v>
      </c>
      <c r="J9">
        <v>34</v>
      </c>
      <c r="K9">
        <v>13</v>
      </c>
    </row>
    <row r="10" spans="2:15" ht="33.75" customHeight="1" x14ac:dyDescent="0.2">
      <c r="B10">
        <v>20096900</v>
      </c>
      <c r="C10" s="7" t="s">
        <v>420</v>
      </c>
      <c r="D10">
        <v>15</v>
      </c>
      <c r="E10">
        <v>15</v>
      </c>
      <c r="F10">
        <v>16</v>
      </c>
      <c r="G10">
        <v>16</v>
      </c>
      <c r="H10">
        <f t="shared" si="0"/>
        <v>46</v>
      </c>
      <c r="J10">
        <v>15</v>
      </c>
      <c r="K10">
        <v>3</v>
      </c>
    </row>
    <row r="11" spans="2:15" ht="33.75" customHeight="1" x14ac:dyDescent="0.2">
      <c r="B11">
        <v>20142000</v>
      </c>
      <c r="C11" s="7" t="s">
        <v>183</v>
      </c>
      <c r="D11">
        <v>0</v>
      </c>
      <c r="E11">
        <v>8</v>
      </c>
      <c r="F11">
        <v>26</v>
      </c>
      <c r="G11">
        <v>46</v>
      </c>
      <c r="H11">
        <f t="shared" si="0"/>
        <v>34</v>
      </c>
      <c r="J11">
        <v>8</v>
      </c>
      <c r="K11">
        <v>2</v>
      </c>
    </row>
    <row r="12" spans="2:15" ht="33.75" customHeight="1" x14ac:dyDescent="0.2">
      <c r="B12">
        <v>20174400</v>
      </c>
      <c r="C12" s="7" t="s">
        <v>116</v>
      </c>
      <c r="D12">
        <v>69</v>
      </c>
      <c r="E12">
        <v>84</v>
      </c>
      <c r="F12">
        <v>89</v>
      </c>
      <c r="G12">
        <v>84</v>
      </c>
      <c r="H12">
        <f t="shared" si="0"/>
        <v>242</v>
      </c>
      <c r="J12">
        <v>26</v>
      </c>
      <c r="K12">
        <v>16</v>
      </c>
    </row>
    <row r="13" spans="2:15" ht="33.75" customHeight="1" x14ac:dyDescent="0.2">
      <c r="B13">
        <v>20191900</v>
      </c>
      <c r="C13" s="7" t="s">
        <v>1906</v>
      </c>
      <c r="D13">
        <v>66</v>
      </c>
      <c r="E13">
        <v>83</v>
      </c>
      <c r="F13">
        <v>114</v>
      </c>
      <c r="G13">
        <v>81</v>
      </c>
      <c r="H13">
        <f t="shared" si="0"/>
        <v>263</v>
      </c>
      <c r="J13">
        <v>24</v>
      </c>
      <c r="K13">
        <v>15</v>
      </c>
    </row>
    <row r="14" spans="2:15" ht="33.75" customHeight="1" x14ac:dyDescent="0.2">
      <c r="B14">
        <v>20224200</v>
      </c>
      <c r="C14" s="7" t="s">
        <v>436</v>
      </c>
      <c r="D14">
        <v>19</v>
      </c>
      <c r="E14">
        <v>25</v>
      </c>
      <c r="F14">
        <v>47</v>
      </c>
      <c r="G14">
        <v>26</v>
      </c>
      <c r="H14">
        <f t="shared" si="0"/>
        <v>91</v>
      </c>
      <c r="J14">
        <v>22</v>
      </c>
      <c r="K14">
        <v>8</v>
      </c>
    </row>
    <row r="15" spans="2:15" ht="33.75" customHeight="1" x14ac:dyDescent="0.2">
      <c r="B15">
        <v>20234600</v>
      </c>
      <c r="C15" s="7" t="s">
        <v>2018</v>
      </c>
      <c r="D15">
        <v>16</v>
      </c>
      <c r="E15">
        <v>12</v>
      </c>
      <c r="F15">
        <v>14</v>
      </c>
      <c r="G15">
        <v>14</v>
      </c>
      <c r="H15">
        <f t="shared" si="0"/>
        <v>42</v>
      </c>
      <c r="J15">
        <v>10</v>
      </c>
      <c r="K15">
        <v>3</v>
      </c>
    </row>
    <row r="16" spans="2:15" ht="33.75" customHeight="1" x14ac:dyDescent="0.2">
      <c r="B16">
        <v>20245000</v>
      </c>
      <c r="C16" s="7" t="s">
        <v>103</v>
      </c>
      <c r="D16">
        <v>36</v>
      </c>
      <c r="E16">
        <v>31</v>
      </c>
      <c r="F16">
        <v>37</v>
      </c>
      <c r="G16">
        <v>13</v>
      </c>
      <c r="H16">
        <f t="shared" si="0"/>
        <v>104</v>
      </c>
      <c r="J16">
        <v>15</v>
      </c>
      <c r="K16">
        <v>4</v>
      </c>
    </row>
    <row r="17" spans="2:11" ht="33.75" customHeight="1" x14ac:dyDescent="0.2">
      <c r="B17">
        <v>20282200</v>
      </c>
      <c r="C17" s="7" t="s">
        <v>1877</v>
      </c>
      <c r="D17">
        <v>24</v>
      </c>
      <c r="E17">
        <v>18</v>
      </c>
      <c r="F17">
        <v>61</v>
      </c>
      <c r="G17">
        <v>60</v>
      </c>
      <c r="H17">
        <f t="shared" si="0"/>
        <v>103</v>
      </c>
      <c r="J17">
        <v>22</v>
      </c>
      <c r="K17">
        <v>9</v>
      </c>
    </row>
    <row r="18" spans="2:11" ht="33.75" customHeight="1" x14ac:dyDescent="0.2">
      <c r="B18">
        <v>20282300</v>
      </c>
      <c r="C18" s="7" t="s">
        <v>484</v>
      </c>
      <c r="D18">
        <v>0</v>
      </c>
      <c r="E18">
        <v>0</v>
      </c>
      <c r="F18">
        <v>3</v>
      </c>
      <c r="G18">
        <v>4</v>
      </c>
      <c r="H18">
        <f t="shared" si="0"/>
        <v>3</v>
      </c>
      <c r="J18">
        <v>4</v>
      </c>
      <c r="K18">
        <v>1</v>
      </c>
    </row>
    <row r="19" spans="2:11" ht="33.75" customHeight="1" x14ac:dyDescent="0.2">
      <c r="B19">
        <v>20286200</v>
      </c>
      <c r="C19" s="7" t="s">
        <v>510</v>
      </c>
      <c r="D19">
        <v>68</v>
      </c>
      <c r="E19">
        <v>62</v>
      </c>
      <c r="F19">
        <v>36</v>
      </c>
      <c r="G19">
        <v>38</v>
      </c>
      <c r="H19">
        <f t="shared" si="0"/>
        <v>166</v>
      </c>
      <c r="J19">
        <v>16</v>
      </c>
      <c r="K19">
        <v>7</v>
      </c>
    </row>
    <row r="20" spans="2:11" ht="33.75" customHeight="1" x14ac:dyDescent="0.2">
      <c r="B20">
        <v>20299400</v>
      </c>
      <c r="C20" s="7" t="s">
        <v>308</v>
      </c>
      <c r="D20">
        <v>45</v>
      </c>
      <c r="E20">
        <v>49</v>
      </c>
      <c r="F20">
        <v>31</v>
      </c>
      <c r="G20">
        <v>19</v>
      </c>
      <c r="H20">
        <f t="shared" si="0"/>
        <v>125</v>
      </c>
      <c r="J20">
        <v>24</v>
      </c>
      <c r="K20">
        <v>9</v>
      </c>
    </row>
    <row r="21" spans="2:11" ht="33.75" customHeight="1" x14ac:dyDescent="0.2">
      <c r="B21">
        <v>20304900</v>
      </c>
      <c r="C21" s="7" t="s">
        <v>129</v>
      </c>
      <c r="D21">
        <v>65</v>
      </c>
      <c r="E21">
        <v>55</v>
      </c>
      <c r="F21">
        <v>67</v>
      </c>
      <c r="G21">
        <v>19</v>
      </c>
      <c r="H21">
        <f t="shared" si="0"/>
        <v>187</v>
      </c>
      <c r="J21">
        <v>19</v>
      </c>
      <c r="K21">
        <v>14</v>
      </c>
    </row>
    <row r="22" spans="2:11" ht="33.75" customHeight="1" x14ac:dyDescent="0.2">
      <c r="B22">
        <v>20314900</v>
      </c>
      <c r="C22" s="7" t="s">
        <v>162</v>
      </c>
      <c r="D22">
        <v>63</v>
      </c>
      <c r="E22">
        <v>33</v>
      </c>
      <c r="F22">
        <v>36</v>
      </c>
      <c r="G22">
        <v>15</v>
      </c>
      <c r="H22">
        <f t="shared" si="0"/>
        <v>132</v>
      </c>
      <c r="J22">
        <v>16</v>
      </c>
      <c r="K22">
        <v>7</v>
      </c>
    </row>
    <row r="23" spans="2:11" ht="33.75" customHeight="1" x14ac:dyDescent="0.2">
      <c r="B23">
        <v>60008000</v>
      </c>
      <c r="C23" s="7" t="s">
        <v>1337</v>
      </c>
      <c r="D23">
        <v>28</v>
      </c>
      <c r="E23">
        <v>35</v>
      </c>
      <c r="F23">
        <v>26</v>
      </c>
      <c r="G23">
        <v>7</v>
      </c>
      <c r="H23">
        <f t="shared" si="0"/>
        <v>89</v>
      </c>
      <c r="J23">
        <v>17</v>
      </c>
      <c r="K23">
        <v>2</v>
      </c>
    </row>
    <row r="24" spans="2:11" ht="33.75" customHeight="1" x14ac:dyDescent="0.2">
      <c r="B24">
        <v>60011700</v>
      </c>
      <c r="C24" s="7" t="s">
        <v>285</v>
      </c>
      <c r="D24">
        <v>0</v>
      </c>
      <c r="E24">
        <v>25</v>
      </c>
      <c r="F24">
        <v>32</v>
      </c>
      <c r="G24">
        <v>12</v>
      </c>
      <c r="H24">
        <f t="shared" si="0"/>
        <v>57</v>
      </c>
      <c r="J24">
        <v>12</v>
      </c>
      <c r="K24">
        <v>4</v>
      </c>
    </row>
    <row r="25" spans="2:11" ht="33.75" customHeight="1" x14ac:dyDescent="0.2">
      <c r="B25">
        <v>60021000</v>
      </c>
      <c r="C25" s="7" t="s">
        <v>2019</v>
      </c>
      <c r="D25">
        <v>35</v>
      </c>
      <c r="E25">
        <v>26</v>
      </c>
      <c r="F25">
        <v>41</v>
      </c>
      <c r="G25">
        <v>7</v>
      </c>
      <c r="H25">
        <f t="shared" si="0"/>
        <v>102</v>
      </c>
      <c r="J25">
        <v>16</v>
      </c>
      <c r="K25">
        <v>4</v>
      </c>
    </row>
    <row r="26" spans="2:11" ht="33.75" customHeight="1" x14ac:dyDescent="0.2">
      <c r="B26">
        <v>60021900</v>
      </c>
      <c r="C26" s="7" t="s">
        <v>773</v>
      </c>
      <c r="D26">
        <v>0</v>
      </c>
      <c r="E26">
        <v>11</v>
      </c>
      <c r="F26">
        <v>10</v>
      </c>
      <c r="G26">
        <v>5</v>
      </c>
      <c r="H26">
        <f t="shared" si="0"/>
        <v>21</v>
      </c>
      <c r="J26">
        <v>10</v>
      </c>
      <c r="K26">
        <v>2</v>
      </c>
    </row>
    <row r="27" spans="2:11" ht="33.75" customHeight="1" x14ac:dyDescent="0.2">
      <c r="B27">
        <v>60067400</v>
      </c>
      <c r="C27" s="7" t="s">
        <v>1526</v>
      </c>
      <c r="D27">
        <v>14</v>
      </c>
      <c r="E27">
        <v>24</v>
      </c>
      <c r="F27">
        <v>6</v>
      </c>
      <c r="G27">
        <v>13</v>
      </c>
      <c r="H27">
        <f t="shared" si="0"/>
        <v>44</v>
      </c>
      <c r="J27">
        <v>13</v>
      </c>
      <c r="K27">
        <v>2</v>
      </c>
    </row>
    <row r="28" spans="2:11" ht="33.75" customHeight="1" x14ac:dyDescent="0.2">
      <c r="B28">
        <v>60128300</v>
      </c>
      <c r="C28" s="7" t="s">
        <v>2150</v>
      </c>
      <c r="D28">
        <v>42</v>
      </c>
      <c r="E28">
        <v>25</v>
      </c>
      <c r="F28">
        <v>14</v>
      </c>
      <c r="G28">
        <v>23</v>
      </c>
      <c r="H28">
        <f t="shared" si="0"/>
        <v>81</v>
      </c>
      <c r="J28">
        <v>17</v>
      </c>
      <c r="K28">
        <v>3</v>
      </c>
    </row>
    <row r="29" spans="2:11" ht="33.75" customHeight="1" x14ac:dyDescent="0.2">
      <c r="B29">
        <v>60167400</v>
      </c>
      <c r="C29" s="7" t="s">
        <v>266</v>
      </c>
      <c r="D29">
        <v>45</v>
      </c>
      <c r="E29">
        <v>36</v>
      </c>
      <c r="F29">
        <v>36</v>
      </c>
      <c r="G29">
        <v>39</v>
      </c>
      <c r="H29">
        <f t="shared" si="0"/>
        <v>117</v>
      </c>
      <c r="J29">
        <v>15</v>
      </c>
      <c r="K29">
        <v>6</v>
      </c>
    </row>
    <row r="30" spans="2:11" ht="33.75" customHeight="1" x14ac:dyDescent="0.2">
      <c r="B30">
        <v>60233900</v>
      </c>
      <c r="C30" s="7" t="s">
        <v>1281</v>
      </c>
      <c r="D30">
        <v>22</v>
      </c>
      <c r="E30">
        <v>20</v>
      </c>
      <c r="F30">
        <v>23</v>
      </c>
      <c r="G30">
        <v>10</v>
      </c>
      <c r="H30">
        <f t="shared" si="0"/>
        <v>65</v>
      </c>
      <c r="J30">
        <v>12</v>
      </c>
      <c r="K30">
        <v>1</v>
      </c>
    </row>
    <row r="31" spans="2:11" ht="33.75" customHeight="1" x14ac:dyDescent="0.2">
      <c r="B31">
        <v>60270200</v>
      </c>
      <c r="C31" s="7" t="s">
        <v>841</v>
      </c>
      <c r="D31">
        <v>85</v>
      </c>
      <c r="E31">
        <v>76</v>
      </c>
      <c r="F31">
        <v>86</v>
      </c>
      <c r="G31">
        <v>74</v>
      </c>
      <c r="H31">
        <f t="shared" si="0"/>
        <v>247</v>
      </c>
      <c r="J31">
        <v>31</v>
      </c>
      <c r="K31">
        <v>15</v>
      </c>
    </row>
    <row r="32" spans="2:11" ht="33.75" customHeight="1" x14ac:dyDescent="0.2">
      <c r="B32">
        <v>60339300</v>
      </c>
      <c r="C32" s="7" t="s">
        <v>1404</v>
      </c>
      <c r="D32">
        <v>34</v>
      </c>
      <c r="E32">
        <v>18</v>
      </c>
      <c r="F32">
        <v>28</v>
      </c>
      <c r="G32">
        <v>19</v>
      </c>
      <c r="H32">
        <f t="shared" si="0"/>
        <v>80</v>
      </c>
      <c r="J32">
        <v>13</v>
      </c>
      <c r="K32">
        <v>2</v>
      </c>
    </row>
    <row r="33" spans="2:11" ht="33.75" customHeight="1" x14ac:dyDescent="0.2">
      <c r="B33">
        <v>60433000</v>
      </c>
      <c r="C33" s="7" t="s">
        <v>675</v>
      </c>
      <c r="D33">
        <v>65</v>
      </c>
      <c r="E33">
        <v>30</v>
      </c>
      <c r="F33">
        <v>32</v>
      </c>
      <c r="G33">
        <v>22</v>
      </c>
      <c r="H33">
        <f t="shared" si="0"/>
        <v>127</v>
      </c>
      <c r="J33">
        <v>17</v>
      </c>
      <c r="K33">
        <v>5</v>
      </c>
    </row>
    <row r="34" spans="2:11" ht="33.75" customHeight="1" x14ac:dyDescent="0.2">
      <c r="B34">
        <v>60442300</v>
      </c>
      <c r="C34" s="7" t="s">
        <v>1496</v>
      </c>
      <c r="D34">
        <v>30</v>
      </c>
      <c r="E34">
        <v>25</v>
      </c>
      <c r="F34">
        <v>21</v>
      </c>
      <c r="G34">
        <v>15</v>
      </c>
      <c r="H34">
        <f t="shared" si="0"/>
        <v>76</v>
      </c>
      <c r="J34">
        <v>10</v>
      </c>
      <c r="K34">
        <v>1</v>
      </c>
    </row>
    <row r="35" spans="2:11" ht="33.75" customHeight="1" x14ac:dyDescent="0.2">
      <c r="B35">
        <v>60563100</v>
      </c>
      <c r="C35" s="7" t="s">
        <v>2137</v>
      </c>
      <c r="D35">
        <v>190</v>
      </c>
      <c r="E35">
        <v>88</v>
      </c>
      <c r="F35">
        <v>62</v>
      </c>
      <c r="G35">
        <v>49</v>
      </c>
      <c r="H35">
        <f t="shared" si="0"/>
        <v>340</v>
      </c>
      <c r="J35">
        <v>22</v>
      </c>
      <c r="K35">
        <v>8</v>
      </c>
    </row>
    <row r="36" spans="2:11" ht="33.75" customHeight="1" x14ac:dyDescent="0.2">
      <c r="B36">
        <v>60574400</v>
      </c>
      <c r="C36" s="7" t="s">
        <v>1676</v>
      </c>
      <c r="D36">
        <v>74</v>
      </c>
      <c r="E36">
        <v>36</v>
      </c>
      <c r="F36">
        <v>20</v>
      </c>
      <c r="G36">
        <v>13</v>
      </c>
      <c r="H36">
        <f t="shared" si="0"/>
        <v>130</v>
      </c>
      <c r="J36">
        <v>13</v>
      </c>
      <c r="K36">
        <v>3</v>
      </c>
    </row>
    <row r="37" spans="2:11" ht="33.75" customHeight="1" x14ac:dyDescent="0.2">
      <c r="B37">
        <v>60595200</v>
      </c>
      <c r="C37" s="7" t="s">
        <v>2143</v>
      </c>
      <c r="D37">
        <v>120</v>
      </c>
      <c r="E37">
        <v>85</v>
      </c>
      <c r="F37">
        <v>76</v>
      </c>
      <c r="G37">
        <v>36</v>
      </c>
      <c r="H37">
        <f t="shared" si="0"/>
        <v>281</v>
      </c>
      <c r="J37">
        <v>22</v>
      </c>
      <c r="K37">
        <v>6</v>
      </c>
    </row>
    <row r="38" spans="2:11" ht="33.75" customHeight="1" x14ac:dyDescent="0.2">
      <c r="B38">
        <v>60595600</v>
      </c>
      <c r="C38" s="7" t="s">
        <v>2089</v>
      </c>
      <c r="D38">
        <v>30</v>
      </c>
      <c r="E38">
        <v>26</v>
      </c>
      <c r="F38">
        <v>22</v>
      </c>
      <c r="G38">
        <v>11</v>
      </c>
      <c r="H38">
        <f t="shared" si="0"/>
        <v>78</v>
      </c>
      <c r="J38">
        <v>20</v>
      </c>
      <c r="K38">
        <v>3</v>
      </c>
    </row>
    <row r="39" spans="2:11" ht="33.75" customHeight="1" x14ac:dyDescent="0.2">
      <c r="B39">
        <v>60596500</v>
      </c>
      <c r="C39" s="7" t="s">
        <v>1323</v>
      </c>
      <c r="D39">
        <v>27</v>
      </c>
      <c r="E39">
        <v>17</v>
      </c>
      <c r="F39">
        <v>19</v>
      </c>
      <c r="G39">
        <v>7</v>
      </c>
      <c r="H39">
        <f t="shared" si="0"/>
        <v>63</v>
      </c>
      <c r="J39">
        <v>15</v>
      </c>
      <c r="K39">
        <v>2</v>
      </c>
    </row>
    <row r="40" spans="2:11" ht="33.75" customHeight="1" x14ac:dyDescent="0.2">
      <c r="B40">
        <v>60610300</v>
      </c>
      <c r="C40" s="7" t="s">
        <v>2442</v>
      </c>
      <c r="D40">
        <v>103</v>
      </c>
      <c r="E40">
        <v>70</v>
      </c>
      <c r="F40">
        <v>54</v>
      </c>
      <c r="G40">
        <v>39</v>
      </c>
      <c r="H40">
        <f t="shared" si="0"/>
        <v>227</v>
      </c>
      <c r="J40">
        <v>23</v>
      </c>
      <c r="K40">
        <v>7</v>
      </c>
    </row>
    <row r="41" spans="2:11" ht="33.75" customHeight="1" x14ac:dyDescent="0.2">
      <c r="B41">
        <v>60611700</v>
      </c>
      <c r="C41" s="7" t="s">
        <v>226</v>
      </c>
      <c r="D41">
        <v>95</v>
      </c>
      <c r="E41">
        <v>69</v>
      </c>
      <c r="F41">
        <v>71</v>
      </c>
      <c r="G41">
        <v>45</v>
      </c>
      <c r="H41">
        <f t="shared" si="0"/>
        <v>235</v>
      </c>
      <c r="J41">
        <v>32</v>
      </c>
      <c r="K41">
        <v>15</v>
      </c>
    </row>
    <row r="42" spans="2:11" ht="33.75" customHeight="1" x14ac:dyDescent="0.2">
      <c r="B42">
        <v>60643100</v>
      </c>
      <c r="C42" s="7" t="s">
        <v>293</v>
      </c>
      <c r="D42">
        <v>28</v>
      </c>
      <c r="E42">
        <v>19</v>
      </c>
      <c r="F42">
        <v>22</v>
      </c>
      <c r="G42">
        <v>38</v>
      </c>
      <c r="H42">
        <f t="shared" si="0"/>
        <v>69</v>
      </c>
      <c r="J42">
        <v>13</v>
      </c>
      <c r="K42">
        <v>8</v>
      </c>
    </row>
    <row r="43" spans="2:11" ht="33.75" customHeight="1" x14ac:dyDescent="0.2">
      <c r="B43">
        <v>60652600</v>
      </c>
      <c r="C43" s="7" t="s">
        <v>547</v>
      </c>
      <c r="D43">
        <v>96</v>
      </c>
      <c r="E43">
        <v>55</v>
      </c>
      <c r="F43">
        <v>53</v>
      </c>
      <c r="G43">
        <v>39</v>
      </c>
      <c r="H43">
        <f t="shared" si="0"/>
        <v>204</v>
      </c>
      <c r="J43">
        <v>23</v>
      </c>
      <c r="K43">
        <v>13</v>
      </c>
    </row>
    <row r="44" spans="2:11" ht="33.75" customHeight="1" x14ac:dyDescent="0.2">
      <c r="B44">
        <v>60661000</v>
      </c>
      <c r="C44" s="7" t="s">
        <v>2440</v>
      </c>
      <c r="D44">
        <v>0</v>
      </c>
      <c r="E44">
        <v>0</v>
      </c>
      <c r="F44">
        <v>10</v>
      </c>
      <c r="G44">
        <v>5</v>
      </c>
      <c r="H44">
        <f t="shared" si="0"/>
        <v>10</v>
      </c>
      <c r="J44">
        <v>5</v>
      </c>
      <c r="K44">
        <v>1</v>
      </c>
    </row>
    <row r="45" spans="2:11" ht="33.75" customHeight="1" x14ac:dyDescent="0.2">
      <c r="B45">
        <v>60670900</v>
      </c>
      <c r="C45" s="7" t="s">
        <v>2447</v>
      </c>
      <c r="D45">
        <v>0</v>
      </c>
      <c r="E45">
        <v>14</v>
      </c>
      <c r="F45">
        <v>16</v>
      </c>
      <c r="G45">
        <v>16</v>
      </c>
      <c r="H45">
        <f t="shared" si="0"/>
        <v>30</v>
      </c>
      <c r="J45">
        <v>10</v>
      </c>
      <c r="K45">
        <v>2</v>
      </c>
    </row>
    <row r="46" spans="2:11" ht="33.75" customHeight="1" x14ac:dyDescent="0.2">
      <c r="B46">
        <v>60691500</v>
      </c>
      <c r="C46" s="7" t="s">
        <v>2443</v>
      </c>
      <c r="D46">
        <v>17</v>
      </c>
      <c r="E46">
        <v>25</v>
      </c>
      <c r="F46">
        <v>4</v>
      </c>
      <c r="G46">
        <v>7</v>
      </c>
      <c r="H46">
        <f t="shared" si="0"/>
        <v>46</v>
      </c>
      <c r="J46">
        <v>13</v>
      </c>
      <c r="K46">
        <v>2</v>
      </c>
    </row>
    <row r="47" spans="2:11" ht="33.75" customHeight="1" x14ac:dyDescent="0.2">
      <c r="B47">
        <v>60702400</v>
      </c>
      <c r="C47" s="7" t="s">
        <v>2361</v>
      </c>
      <c r="D47">
        <v>32</v>
      </c>
      <c r="E47">
        <v>28</v>
      </c>
      <c r="F47">
        <v>15</v>
      </c>
      <c r="G47">
        <v>26</v>
      </c>
      <c r="H47">
        <f t="shared" si="0"/>
        <v>75</v>
      </c>
      <c r="J47">
        <v>12</v>
      </c>
      <c r="K47">
        <v>1</v>
      </c>
    </row>
    <row r="48" spans="2:11" ht="33.75" customHeight="1" x14ac:dyDescent="0.2">
      <c r="B48">
        <v>60738300</v>
      </c>
      <c r="C48" s="7" t="s">
        <v>2446</v>
      </c>
      <c r="D48">
        <v>20</v>
      </c>
      <c r="E48">
        <v>28</v>
      </c>
      <c r="F48">
        <v>10</v>
      </c>
      <c r="G48">
        <v>15</v>
      </c>
      <c r="H48">
        <f t="shared" si="0"/>
        <v>58</v>
      </c>
      <c r="J48">
        <v>20</v>
      </c>
      <c r="K48">
        <v>3</v>
      </c>
    </row>
    <row r="49" spans="2:11" ht="33.75" customHeight="1" x14ac:dyDescent="0.2">
      <c r="B49">
        <v>60767300</v>
      </c>
      <c r="C49" s="7" t="s">
        <v>2436</v>
      </c>
      <c r="D49">
        <v>100</v>
      </c>
      <c r="E49">
        <v>63</v>
      </c>
      <c r="F49">
        <v>44</v>
      </c>
      <c r="G49">
        <v>17</v>
      </c>
      <c r="H49">
        <f t="shared" si="0"/>
        <v>207</v>
      </c>
      <c r="J49">
        <v>17</v>
      </c>
      <c r="K49">
        <v>6</v>
      </c>
    </row>
    <row r="50" spans="2:11" ht="33.75" customHeight="1" x14ac:dyDescent="0.2">
      <c r="B50">
        <v>60770900</v>
      </c>
      <c r="C50" s="7" t="s">
        <v>2437</v>
      </c>
      <c r="D50">
        <v>26</v>
      </c>
      <c r="E50">
        <v>18</v>
      </c>
      <c r="F50">
        <v>19</v>
      </c>
      <c r="G50">
        <v>8</v>
      </c>
      <c r="H50">
        <f t="shared" si="0"/>
        <v>63</v>
      </c>
      <c r="J50">
        <v>13</v>
      </c>
      <c r="K50">
        <v>4</v>
      </c>
    </row>
    <row r="51" spans="2:11" ht="33.75" customHeight="1" x14ac:dyDescent="0.2">
      <c r="B51">
        <v>60778000</v>
      </c>
      <c r="C51" s="7" t="s">
        <v>2444</v>
      </c>
      <c r="D51">
        <v>58</v>
      </c>
      <c r="E51">
        <v>30</v>
      </c>
      <c r="F51">
        <v>27</v>
      </c>
      <c r="G51">
        <v>14</v>
      </c>
      <c r="H51">
        <f t="shared" si="0"/>
        <v>115</v>
      </c>
      <c r="J51">
        <v>22</v>
      </c>
      <c r="K51">
        <v>2</v>
      </c>
    </row>
    <row r="52" spans="2:11" ht="33.75" customHeight="1" x14ac:dyDescent="0.2">
      <c r="B52">
        <v>60786800</v>
      </c>
      <c r="C52" s="7" t="s">
        <v>2441</v>
      </c>
      <c r="D52">
        <v>55</v>
      </c>
      <c r="E52">
        <v>35</v>
      </c>
      <c r="F52">
        <v>28</v>
      </c>
      <c r="G52">
        <v>15</v>
      </c>
      <c r="H52">
        <f t="shared" si="0"/>
        <v>118</v>
      </c>
      <c r="J52">
        <v>15</v>
      </c>
      <c r="K52">
        <v>3</v>
      </c>
    </row>
    <row r="53" spans="2:11" ht="33.75" customHeight="1" x14ac:dyDescent="0.2">
      <c r="B53">
        <v>60797800</v>
      </c>
      <c r="C53" s="7" t="s">
        <v>2362</v>
      </c>
      <c r="D53">
        <v>0</v>
      </c>
      <c r="E53">
        <v>15</v>
      </c>
      <c r="F53">
        <v>10</v>
      </c>
      <c r="G53">
        <v>3</v>
      </c>
      <c r="H53">
        <f t="shared" si="0"/>
        <v>25</v>
      </c>
      <c r="J53">
        <v>14</v>
      </c>
      <c r="K53">
        <v>1</v>
      </c>
    </row>
    <row r="54" spans="2:11" ht="33.75" customHeight="1" x14ac:dyDescent="0.2">
      <c r="B54">
        <v>60798600</v>
      </c>
      <c r="C54" s="7" t="s">
        <v>2438</v>
      </c>
      <c r="D54">
        <v>0</v>
      </c>
      <c r="E54">
        <v>0</v>
      </c>
      <c r="F54">
        <v>23</v>
      </c>
      <c r="G54">
        <v>27</v>
      </c>
      <c r="H54">
        <f t="shared" si="0"/>
        <v>23</v>
      </c>
      <c r="J54">
        <v>7</v>
      </c>
      <c r="K54">
        <v>2</v>
      </c>
    </row>
    <row r="55" spans="2:11" ht="33.75" customHeight="1" x14ac:dyDescent="0.2">
      <c r="B55">
        <v>60799700</v>
      </c>
      <c r="C55" s="7" t="s">
        <v>2448</v>
      </c>
      <c r="D55">
        <v>71</v>
      </c>
      <c r="E55">
        <v>30</v>
      </c>
      <c r="F55">
        <v>26</v>
      </c>
      <c r="G55">
        <v>25</v>
      </c>
      <c r="H55">
        <f t="shared" si="0"/>
        <v>127</v>
      </c>
      <c r="J55">
        <v>15</v>
      </c>
      <c r="K55">
        <v>4</v>
      </c>
    </row>
    <row r="56" spans="2:11" ht="33.75" customHeight="1" x14ac:dyDescent="0.2">
      <c r="B56">
        <v>60800900</v>
      </c>
      <c r="C56" s="7" t="s">
        <v>1991</v>
      </c>
      <c r="D56">
        <v>62</v>
      </c>
      <c r="E56">
        <v>38</v>
      </c>
      <c r="F56">
        <v>38</v>
      </c>
      <c r="G56">
        <v>17</v>
      </c>
      <c r="H56">
        <f t="shared" si="0"/>
        <v>138</v>
      </c>
      <c r="J56">
        <v>12</v>
      </c>
      <c r="K56">
        <v>7</v>
      </c>
    </row>
    <row r="57" spans="2:11" ht="33.75" customHeight="1" x14ac:dyDescent="0.2">
      <c r="B57">
        <v>60807100</v>
      </c>
      <c r="C57" s="7" t="s">
        <v>2449</v>
      </c>
      <c r="D57">
        <v>145</v>
      </c>
      <c r="E57">
        <v>90</v>
      </c>
      <c r="F57">
        <v>136</v>
      </c>
      <c r="G57">
        <v>90</v>
      </c>
      <c r="H57">
        <f t="shared" si="0"/>
        <v>371</v>
      </c>
      <c r="J57">
        <v>37</v>
      </c>
      <c r="K57">
        <v>12</v>
      </c>
    </row>
    <row r="58" spans="2:11" ht="33.75" customHeight="1" x14ac:dyDescent="0.2">
      <c r="B58">
        <v>60831300</v>
      </c>
      <c r="C58" s="7" t="s">
        <v>73</v>
      </c>
      <c r="D58">
        <v>94</v>
      </c>
      <c r="E58">
        <v>59</v>
      </c>
      <c r="F58">
        <v>50</v>
      </c>
      <c r="G58">
        <v>22</v>
      </c>
      <c r="H58">
        <f t="shared" si="0"/>
        <v>203</v>
      </c>
      <c r="J58">
        <v>18</v>
      </c>
      <c r="K58">
        <v>9</v>
      </c>
    </row>
    <row r="59" spans="2:11" ht="33.75" customHeight="1" x14ac:dyDescent="0.2">
      <c r="B59">
        <v>60845900</v>
      </c>
      <c r="C59" s="7" t="s">
        <v>2359</v>
      </c>
      <c r="D59">
        <v>18</v>
      </c>
      <c r="E59">
        <v>14</v>
      </c>
      <c r="F59">
        <v>13</v>
      </c>
      <c r="G59">
        <v>9</v>
      </c>
      <c r="H59">
        <f t="shared" si="0"/>
        <v>45</v>
      </c>
      <c r="J59">
        <v>14</v>
      </c>
      <c r="K59">
        <v>2</v>
      </c>
    </row>
    <row r="60" spans="2:11" ht="33.75" customHeight="1" x14ac:dyDescent="0.2">
      <c r="B60">
        <v>60863000</v>
      </c>
      <c r="C60" s="7" t="s">
        <v>460</v>
      </c>
      <c r="D60">
        <v>55</v>
      </c>
      <c r="E60">
        <v>43</v>
      </c>
      <c r="F60">
        <v>35</v>
      </c>
      <c r="G60">
        <v>49</v>
      </c>
      <c r="H60">
        <f t="shared" si="0"/>
        <v>133</v>
      </c>
      <c r="J60">
        <v>18</v>
      </c>
      <c r="K60">
        <v>9</v>
      </c>
    </row>
    <row r="61" spans="2:11" ht="33.75" customHeight="1" x14ac:dyDescent="0.2">
      <c r="B61">
        <v>60877900</v>
      </c>
      <c r="C61" s="7" t="s">
        <v>555</v>
      </c>
      <c r="D61">
        <v>34</v>
      </c>
      <c r="E61">
        <v>29</v>
      </c>
      <c r="F61">
        <v>19</v>
      </c>
      <c r="G61">
        <v>15</v>
      </c>
      <c r="H61">
        <f t="shared" si="0"/>
        <v>82</v>
      </c>
      <c r="J61">
        <v>10</v>
      </c>
      <c r="K61">
        <v>5</v>
      </c>
    </row>
    <row r="62" spans="2:11" ht="33.75" customHeight="1" x14ac:dyDescent="0.2">
      <c r="B62">
        <v>60932500</v>
      </c>
      <c r="C62" s="7" t="s">
        <v>2445</v>
      </c>
      <c r="D62">
        <v>77</v>
      </c>
      <c r="E62">
        <v>52</v>
      </c>
      <c r="F62">
        <v>53</v>
      </c>
      <c r="G62">
        <v>35</v>
      </c>
      <c r="H62">
        <f t="shared" si="0"/>
        <v>182</v>
      </c>
      <c r="J62">
        <v>15</v>
      </c>
      <c r="K62">
        <v>5</v>
      </c>
    </row>
    <row r="63" spans="2:11" ht="33.75" customHeight="1" x14ac:dyDescent="0.2">
      <c r="B63">
        <v>60950000</v>
      </c>
      <c r="C63" s="7" t="s">
        <v>2450</v>
      </c>
      <c r="D63">
        <v>35</v>
      </c>
      <c r="E63">
        <v>20</v>
      </c>
      <c r="F63">
        <v>0</v>
      </c>
      <c r="G63">
        <v>4</v>
      </c>
      <c r="H63">
        <f t="shared" si="0"/>
        <v>55</v>
      </c>
      <c r="J63">
        <v>10</v>
      </c>
      <c r="K63">
        <v>2</v>
      </c>
    </row>
    <row r="64" spans="2:11" ht="33.75" customHeight="1" x14ac:dyDescent="0.2">
      <c r="B64">
        <v>60956100</v>
      </c>
      <c r="C64" s="7" t="s">
        <v>2451</v>
      </c>
      <c r="D64">
        <v>43</v>
      </c>
      <c r="E64">
        <v>16</v>
      </c>
      <c r="F64">
        <v>20</v>
      </c>
      <c r="G64">
        <v>22</v>
      </c>
      <c r="H64">
        <f t="shared" si="0"/>
        <v>79</v>
      </c>
      <c r="J64">
        <v>10</v>
      </c>
      <c r="K64">
        <v>2</v>
      </c>
    </row>
    <row r="65" spans="2:11" ht="33.75" customHeight="1" x14ac:dyDescent="0.2">
      <c r="B65">
        <v>60974700</v>
      </c>
      <c r="C65" s="7" t="s">
        <v>1057</v>
      </c>
      <c r="D65">
        <v>0</v>
      </c>
      <c r="E65">
        <v>16</v>
      </c>
      <c r="F65">
        <v>35</v>
      </c>
      <c r="G65">
        <v>0</v>
      </c>
      <c r="H65">
        <f t="shared" si="0"/>
        <v>51</v>
      </c>
      <c r="J65">
        <v>6</v>
      </c>
      <c r="K65">
        <v>2</v>
      </c>
    </row>
    <row r="66" spans="2:11" ht="33.75" customHeight="1" x14ac:dyDescent="0.2">
      <c r="B66">
        <v>60982700</v>
      </c>
      <c r="C66" s="7" t="s">
        <v>915</v>
      </c>
      <c r="D66">
        <v>35</v>
      </c>
      <c r="E66">
        <v>28</v>
      </c>
      <c r="F66">
        <v>23</v>
      </c>
      <c r="G66">
        <v>16</v>
      </c>
      <c r="H66">
        <f t="shared" si="0"/>
        <v>86</v>
      </c>
      <c r="J66">
        <v>10</v>
      </c>
      <c r="K66">
        <v>3</v>
      </c>
    </row>
    <row r="67" spans="2:11" ht="33.75" customHeight="1" x14ac:dyDescent="0.2">
      <c r="B67">
        <v>61045600</v>
      </c>
      <c r="C67" s="7" t="s">
        <v>2155</v>
      </c>
      <c r="D67">
        <v>41</v>
      </c>
      <c r="E67">
        <v>31</v>
      </c>
      <c r="F67">
        <v>21</v>
      </c>
      <c r="G67">
        <v>34</v>
      </c>
      <c r="H67">
        <f t="shared" ref="H67:H130" si="1">SUM(D67:F67)</f>
        <v>93</v>
      </c>
      <c r="J67">
        <v>14</v>
      </c>
      <c r="K67">
        <v>3</v>
      </c>
    </row>
    <row r="68" spans="2:11" ht="33.75" customHeight="1" x14ac:dyDescent="0.2">
      <c r="B68">
        <v>61128600</v>
      </c>
      <c r="C68" s="7" t="s">
        <v>756</v>
      </c>
      <c r="D68">
        <v>0</v>
      </c>
      <c r="E68">
        <v>14</v>
      </c>
      <c r="F68">
        <v>0</v>
      </c>
      <c r="G68">
        <v>11</v>
      </c>
      <c r="H68">
        <f t="shared" si="1"/>
        <v>14</v>
      </c>
      <c r="J68">
        <v>6</v>
      </c>
      <c r="K68">
        <v>1</v>
      </c>
    </row>
    <row r="69" spans="2:11" ht="33.75" customHeight="1" x14ac:dyDescent="0.2">
      <c r="B69">
        <v>61172600</v>
      </c>
      <c r="C69" s="7" t="s">
        <v>698</v>
      </c>
      <c r="D69">
        <v>35</v>
      </c>
      <c r="E69">
        <v>20</v>
      </c>
      <c r="F69">
        <v>24</v>
      </c>
      <c r="G69">
        <v>16</v>
      </c>
      <c r="H69">
        <f t="shared" si="1"/>
        <v>79</v>
      </c>
      <c r="J69">
        <v>12</v>
      </c>
      <c r="K69">
        <v>2</v>
      </c>
    </row>
    <row r="70" spans="2:11" ht="33.75" customHeight="1" x14ac:dyDescent="0.2">
      <c r="B70">
        <v>61185300</v>
      </c>
      <c r="C70" s="7" t="s">
        <v>2454</v>
      </c>
      <c r="D70">
        <v>82</v>
      </c>
      <c r="E70">
        <v>44</v>
      </c>
      <c r="F70">
        <v>49</v>
      </c>
      <c r="G70">
        <v>45</v>
      </c>
      <c r="H70">
        <f t="shared" si="1"/>
        <v>175</v>
      </c>
      <c r="J70">
        <v>32</v>
      </c>
      <c r="K70">
        <v>15</v>
      </c>
    </row>
    <row r="71" spans="2:11" ht="33.75" customHeight="1" x14ac:dyDescent="0.2">
      <c r="B71">
        <v>61190300</v>
      </c>
      <c r="C71" s="7" t="s">
        <v>1417</v>
      </c>
      <c r="D71">
        <v>15</v>
      </c>
      <c r="E71">
        <v>14</v>
      </c>
      <c r="F71">
        <v>39</v>
      </c>
      <c r="G71">
        <v>2</v>
      </c>
      <c r="H71">
        <f t="shared" si="1"/>
        <v>68</v>
      </c>
      <c r="J71">
        <v>14</v>
      </c>
      <c r="K71">
        <v>3</v>
      </c>
    </row>
    <row r="72" spans="2:11" ht="33.75" customHeight="1" x14ac:dyDescent="0.2">
      <c r="B72">
        <v>61190700</v>
      </c>
      <c r="C72" s="7" t="s">
        <v>1245</v>
      </c>
      <c r="D72">
        <v>0</v>
      </c>
      <c r="E72">
        <v>0</v>
      </c>
      <c r="F72">
        <v>3</v>
      </c>
      <c r="G72">
        <v>10</v>
      </c>
      <c r="H72">
        <f t="shared" si="1"/>
        <v>3</v>
      </c>
      <c r="J72">
        <v>1</v>
      </c>
      <c r="K72">
        <v>1</v>
      </c>
    </row>
    <row r="73" spans="2:11" ht="33.75" customHeight="1" x14ac:dyDescent="0.2">
      <c r="B73">
        <v>61233400</v>
      </c>
      <c r="C73" s="7" t="s">
        <v>2360</v>
      </c>
      <c r="D73">
        <v>35</v>
      </c>
      <c r="E73">
        <v>61</v>
      </c>
      <c r="F73">
        <v>68</v>
      </c>
      <c r="G73">
        <v>52</v>
      </c>
      <c r="H73">
        <f t="shared" si="1"/>
        <v>164</v>
      </c>
      <c r="J73">
        <v>20</v>
      </c>
      <c r="K73">
        <v>13</v>
      </c>
    </row>
    <row r="74" spans="2:11" ht="33.75" customHeight="1" x14ac:dyDescent="0.2">
      <c r="B74">
        <v>61288800</v>
      </c>
      <c r="C74" s="7" t="s">
        <v>795</v>
      </c>
      <c r="D74">
        <v>148</v>
      </c>
      <c r="E74">
        <v>95</v>
      </c>
      <c r="F74">
        <v>102</v>
      </c>
      <c r="G74">
        <v>53</v>
      </c>
      <c r="H74">
        <f t="shared" si="1"/>
        <v>345</v>
      </c>
      <c r="J74">
        <v>25</v>
      </c>
      <c r="K74">
        <v>8</v>
      </c>
    </row>
    <row r="75" spans="2:11" ht="33.75" customHeight="1" x14ac:dyDescent="0.2">
      <c r="B75">
        <v>61302600</v>
      </c>
      <c r="C75" s="7" t="s">
        <v>1669</v>
      </c>
      <c r="D75">
        <v>50</v>
      </c>
      <c r="E75">
        <v>24</v>
      </c>
      <c r="F75">
        <v>16</v>
      </c>
      <c r="G75">
        <v>19</v>
      </c>
      <c r="H75">
        <f t="shared" si="1"/>
        <v>90</v>
      </c>
      <c r="J75">
        <v>15</v>
      </c>
      <c r="K75">
        <v>3</v>
      </c>
    </row>
    <row r="76" spans="2:11" ht="33.75" customHeight="1" x14ac:dyDescent="0.2">
      <c r="B76">
        <v>61337200</v>
      </c>
      <c r="C76" s="7" t="s">
        <v>2453</v>
      </c>
      <c r="D76">
        <v>25</v>
      </c>
      <c r="E76">
        <v>20</v>
      </c>
      <c r="F76">
        <v>15</v>
      </c>
      <c r="G76">
        <v>16</v>
      </c>
      <c r="H76">
        <f t="shared" si="1"/>
        <v>60</v>
      </c>
      <c r="J76">
        <v>11</v>
      </c>
      <c r="K76">
        <v>5</v>
      </c>
    </row>
    <row r="77" spans="2:11" ht="33.75" customHeight="1" x14ac:dyDescent="0.2">
      <c r="B77">
        <v>61375800</v>
      </c>
      <c r="C77" s="7" t="s">
        <v>1091</v>
      </c>
      <c r="D77">
        <v>0</v>
      </c>
      <c r="E77">
        <v>0</v>
      </c>
      <c r="F77">
        <v>17</v>
      </c>
      <c r="G77">
        <v>0</v>
      </c>
      <c r="H77">
        <f t="shared" si="1"/>
        <v>17</v>
      </c>
      <c r="J77">
        <v>6</v>
      </c>
      <c r="K77">
        <v>1</v>
      </c>
    </row>
    <row r="78" spans="2:11" ht="33.75" customHeight="1" x14ac:dyDescent="0.2">
      <c r="B78">
        <v>61377800</v>
      </c>
      <c r="C78" s="7" t="s">
        <v>1766</v>
      </c>
      <c r="D78">
        <v>0</v>
      </c>
      <c r="E78">
        <v>0</v>
      </c>
      <c r="F78">
        <v>28</v>
      </c>
      <c r="G78">
        <v>0</v>
      </c>
      <c r="H78">
        <f t="shared" si="1"/>
        <v>28</v>
      </c>
      <c r="J78">
        <v>4</v>
      </c>
      <c r="K78">
        <v>1</v>
      </c>
    </row>
    <row r="79" spans="2:11" ht="33.75" customHeight="1" x14ac:dyDescent="0.2">
      <c r="B79">
        <v>61578100</v>
      </c>
      <c r="C79" s="7" t="s">
        <v>67</v>
      </c>
      <c r="D79">
        <v>60</v>
      </c>
      <c r="E79">
        <v>45</v>
      </c>
      <c r="F79">
        <v>30</v>
      </c>
      <c r="G79">
        <v>42</v>
      </c>
      <c r="H79">
        <f t="shared" si="1"/>
        <v>135</v>
      </c>
      <c r="J79">
        <v>21</v>
      </c>
      <c r="K79">
        <v>11</v>
      </c>
    </row>
    <row r="80" spans="2:11" ht="33.75" customHeight="1" x14ac:dyDescent="0.2">
      <c r="B80">
        <v>61613900</v>
      </c>
      <c r="C80" s="7" t="s">
        <v>822</v>
      </c>
      <c r="D80">
        <v>58</v>
      </c>
      <c r="E80">
        <v>36</v>
      </c>
      <c r="F80">
        <v>31</v>
      </c>
      <c r="G80">
        <v>23</v>
      </c>
      <c r="H80">
        <f t="shared" si="1"/>
        <v>125</v>
      </c>
      <c r="J80">
        <v>16</v>
      </c>
      <c r="K80">
        <v>6</v>
      </c>
    </row>
    <row r="81" spans="2:11" ht="33.75" customHeight="1" x14ac:dyDescent="0.2">
      <c r="B81">
        <v>62056100</v>
      </c>
      <c r="C81" s="7" t="s">
        <v>2084</v>
      </c>
      <c r="D81">
        <v>44</v>
      </c>
      <c r="E81">
        <v>32</v>
      </c>
      <c r="F81">
        <v>38</v>
      </c>
      <c r="G81">
        <v>15</v>
      </c>
      <c r="H81">
        <f t="shared" si="1"/>
        <v>114</v>
      </c>
      <c r="J81">
        <v>18</v>
      </c>
      <c r="K81">
        <v>6</v>
      </c>
    </row>
    <row r="82" spans="2:11" ht="33.75" customHeight="1" x14ac:dyDescent="0.2">
      <c r="B82">
        <v>62111300</v>
      </c>
      <c r="C82" s="7" t="s">
        <v>413</v>
      </c>
      <c r="D82">
        <v>42</v>
      </c>
      <c r="E82">
        <v>29</v>
      </c>
      <c r="F82">
        <v>27</v>
      </c>
      <c r="G82">
        <v>20</v>
      </c>
      <c r="H82">
        <f t="shared" si="1"/>
        <v>98</v>
      </c>
      <c r="J82">
        <v>23</v>
      </c>
      <c r="K82">
        <v>8</v>
      </c>
    </row>
    <row r="83" spans="2:11" ht="33.75" customHeight="1" x14ac:dyDescent="0.2">
      <c r="B83">
        <v>62210300</v>
      </c>
      <c r="C83" s="7" t="s">
        <v>1561</v>
      </c>
      <c r="D83">
        <v>2730</v>
      </c>
      <c r="E83">
        <v>240</v>
      </c>
      <c r="F83">
        <v>1616</v>
      </c>
      <c r="G83">
        <v>868</v>
      </c>
      <c r="H83">
        <f t="shared" si="1"/>
        <v>4586</v>
      </c>
      <c r="J83">
        <v>273</v>
      </c>
      <c r="K83">
        <v>156</v>
      </c>
    </row>
    <row r="84" spans="2:11" ht="33.75" customHeight="1" x14ac:dyDescent="0.2">
      <c r="B84">
        <v>62210301</v>
      </c>
      <c r="C84" s="7" t="s">
        <v>1569</v>
      </c>
      <c r="D84">
        <v>70</v>
      </c>
      <c r="E84">
        <v>0</v>
      </c>
      <c r="F84">
        <v>0</v>
      </c>
      <c r="G84">
        <v>8</v>
      </c>
      <c r="H84">
        <f t="shared" si="1"/>
        <v>70</v>
      </c>
      <c r="J84">
        <v>7</v>
      </c>
      <c r="K84">
        <v>4</v>
      </c>
    </row>
    <row r="85" spans="2:11" ht="33.75" customHeight="1" x14ac:dyDescent="0.2">
      <c r="B85">
        <v>62210302</v>
      </c>
      <c r="C85" s="7" t="s">
        <v>1575</v>
      </c>
      <c r="D85">
        <v>70</v>
      </c>
      <c r="E85">
        <v>0</v>
      </c>
      <c r="F85">
        <v>82</v>
      </c>
      <c r="G85">
        <v>45</v>
      </c>
      <c r="H85">
        <f t="shared" si="1"/>
        <v>152</v>
      </c>
      <c r="J85">
        <v>7</v>
      </c>
      <c r="K85">
        <v>4</v>
      </c>
    </row>
    <row r="86" spans="2:11" ht="33.75" customHeight="1" x14ac:dyDescent="0.2">
      <c r="B86">
        <v>62210303</v>
      </c>
      <c r="C86" s="7" t="s">
        <v>1578</v>
      </c>
      <c r="D86">
        <v>70</v>
      </c>
      <c r="E86">
        <v>64</v>
      </c>
      <c r="F86">
        <v>0</v>
      </c>
      <c r="G86">
        <v>0</v>
      </c>
      <c r="H86">
        <f t="shared" si="1"/>
        <v>134</v>
      </c>
      <c r="J86">
        <v>15</v>
      </c>
      <c r="K86">
        <v>8</v>
      </c>
    </row>
    <row r="87" spans="2:11" ht="33.75" customHeight="1" x14ac:dyDescent="0.2">
      <c r="B87">
        <v>62210304</v>
      </c>
      <c r="C87" s="7" t="s">
        <v>1582</v>
      </c>
      <c r="D87">
        <v>70</v>
      </c>
      <c r="E87">
        <v>0</v>
      </c>
      <c r="F87">
        <v>76</v>
      </c>
      <c r="G87">
        <v>24</v>
      </c>
      <c r="H87">
        <f t="shared" si="1"/>
        <v>146</v>
      </c>
      <c r="J87">
        <v>13</v>
      </c>
      <c r="K87">
        <v>14</v>
      </c>
    </row>
    <row r="88" spans="2:11" ht="33.75" customHeight="1" x14ac:dyDescent="0.2">
      <c r="B88">
        <v>62210305</v>
      </c>
      <c r="C88" s="7" t="s">
        <v>1585</v>
      </c>
      <c r="D88">
        <v>70</v>
      </c>
      <c r="E88">
        <v>0</v>
      </c>
      <c r="F88">
        <v>0</v>
      </c>
      <c r="G88">
        <v>35</v>
      </c>
      <c r="H88">
        <f t="shared" si="1"/>
        <v>70</v>
      </c>
      <c r="J88">
        <v>7</v>
      </c>
      <c r="K88">
        <v>4</v>
      </c>
    </row>
    <row r="89" spans="2:11" ht="33.75" customHeight="1" x14ac:dyDescent="0.2">
      <c r="B89">
        <v>62210306</v>
      </c>
      <c r="C89" s="7" t="s">
        <v>1592</v>
      </c>
      <c r="D89">
        <v>70</v>
      </c>
      <c r="E89">
        <v>0</v>
      </c>
      <c r="F89">
        <v>0</v>
      </c>
      <c r="G89">
        <v>17</v>
      </c>
      <c r="H89">
        <f t="shared" si="1"/>
        <v>70</v>
      </c>
      <c r="J89">
        <v>7</v>
      </c>
      <c r="K89">
        <v>4</v>
      </c>
    </row>
    <row r="90" spans="2:11" ht="33.75" customHeight="1" x14ac:dyDescent="0.2">
      <c r="B90">
        <v>62210307</v>
      </c>
      <c r="C90" s="7" t="s">
        <v>1594</v>
      </c>
      <c r="D90">
        <v>70</v>
      </c>
      <c r="E90">
        <v>0</v>
      </c>
      <c r="F90">
        <v>0</v>
      </c>
      <c r="G90">
        <v>8</v>
      </c>
      <c r="H90">
        <f t="shared" si="1"/>
        <v>70</v>
      </c>
      <c r="J90">
        <v>7</v>
      </c>
      <c r="K90">
        <v>4</v>
      </c>
    </row>
    <row r="91" spans="2:11" ht="33.75" customHeight="1" x14ac:dyDescent="0.2">
      <c r="B91">
        <v>62210308</v>
      </c>
      <c r="C91" s="7" t="s">
        <v>1598</v>
      </c>
      <c r="D91">
        <v>70</v>
      </c>
      <c r="E91">
        <v>0</v>
      </c>
      <c r="F91">
        <v>26</v>
      </c>
      <c r="G91">
        <v>30</v>
      </c>
      <c r="H91">
        <f t="shared" si="1"/>
        <v>96</v>
      </c>
      <c r="J91">
        <v>13</v>
      </c>
      <c r="K91">
        <v>6</v>
      </c>
    </row>
    <row r="92" spans="2:11" ht="33.75" customHeight="1" x14ac:dyDescent="0.2">
      <c r="B92">
        <v>62210309</v>
      </c>
      <c r="C92" s="7" t="s">
        <v>1601</v>
      </c>
      <c r="D92">
        <v>70</v>
      </c>
      <c r="E92">
        <v>0</v>
      </c>
      <c r="F92">
        <v>0</v>
      </c>
      <c r="G92">
        <v>46</v>
      </c>
      <c r="H92">
        <f t="shared" si="1"/>
        <v>70</v>
      </c>
      <c r="J92">
        <v>7</v>
      </c>
      <c r="K92">
        <v>4</v>
      </c>
    </row>
    <row r="93" spans="2:11" ht="33.75" customHeight="1" x14ac:dyDescent="0.2">
      <c r="B93">
        <v>62210310</v>
      </c>
      <c r="C93" s="7" t="s">
        <v>1603</v>
      </c>
      <c r="D93">
        <v>70</v>
      </c>
      <c r="E93">
        <v>0</v>
      </c>
      <c r="F93">
        <v>32</v>
      </c>
      <c r="G93">
        <v>30</v>
      </c>
      <c r="H93">
        <f t="shared" si="1"/>
        <v>102</v>
      </c>
      <c r="J93">
        <v>13</v>
      </c>
      <c r="K93">
        <v>8</v>
      </c>
    </row>
    <row r="94" spans="2:11" ht="33.75" customHeight="1" x14ac:dyDescent="0.2">
      <c r="B94">
        <v>62210311</v>
      </c>
      <c r="C94" s="7" t="s">
        <v>1606</v>
      </c>
      <c r="D94">
        <v>0</v>
      </c>
      <c r="E94">
        <v>0</v>
      </c>
      <c r="F94">
        <v>32</v>
      </c>
      <c r="G94">
        <v>0</v>
      </c>
      <c r="H94">
        <f t="shared" si="1"/>
        <v>32</v>
      </c>
      <c r="J94">
        <v>6</v>
      </c>
      <c r="K94">
        <v>4</v>
      </c>
    </row>
    <row r="95" spans="2:11" ht="33.75" customHeight="1" x14ac:dyDescent="0.2">
      <c r="B95">
        <v>62210312</v>
      </c>
      <c r="C95" s="7" t="s">
        <v>1612</v>
      </c>
      <c r="D95">
        <v>70</v>
      </c>
      <c r="E95">
        <v>0</v>
      </c>
      <c r="F95">
        <v>0</v>
      </c>
      <c r="G95">
        <v>0</v>
      </c>
      <c r="H95">
        <f t="shared" si="1"/>
        <v>70</v>
      </c>
      <c r="J95">
        <v>7</v>
      </c>
      <c r="K95">
        <v>4</v>
      </c>
    </row>
    <row r="96" spans="2:11" ht="33.75" customHeight="1" x14ac:dyDescent="0.2">
      <c r="B96">
        <v>62230000</v>
      </c>
      <c r="C96" s="7" t="s">
        <v>1064</v>
      </c>
      <c r="D96">
        <v>60</v>
      </c>
      <c r="E96">
        <v>37</v>
      </c>
      <c r="F96">
        <v>31</v>
      </c>
      <c r="G96">
        <v>40</v>
      </c>
      <c r="H96">
        <f t="shared" si="1"/>
        <v>128</v>
      </c>
      <c r="J96">
        <v>15</v>
      </c>
      <c r="K96">
        <v>3</v>
      </c>
    </row>
    <row r="97" spans="2:11" ht="33.75" customHeight="1" x14ac:dyDescent="0.2">
      <c r="B97">
        <v>62238400</v>
      </c>
      <c r="C97" s="7" t="s">
        <v>939</v>
      </c>
      <c r="D97">
        <v>55</v>
      </c>
      <c r="E97">
        <v>53</v>
      </c>
      <c r="F97">
        <v>33</v>
      </c>
      <c r="G97">
        <v>5</v>
      </c>
      <c r="H97">
        <f t="shared" si="1"/>
        <v>141</v>
      </c>
      <c r="J97">
        <v>14</v>
      </c>
      <c r="K97">
        <v>3</v>
      </c>
    </row>
    <row r="98" spans="2:11" ht="33.75" customHeight="1" x14ac:dyDescent="0.2">
      <c r="B98">
        <v>62242300</v>
      </c>
      <c r="C98" s="7" t="s">
        <v>683</v>
      </c>
      <c r="D98">
        <v>70</v>
      </c>
      <c r="E98">
        <v>48</v>
      </c>
      <c r="F98">
        <v>40</v>
      </c>
      <c r="G98">
        <v>8</v>
      </c>
      <c r="H98">
        <f t="shared" si="1"/>
        <v>158</v>
      </c>
      <c r="J98">
        <v>18</v>
      </c>
      <c r="K98">
        <v>5</v>
      </c>
    </row>
    <row r="99" spans="2:11" ht="33.75" customHeight="1" x14ac:dyDescent="0.2">
      <c r="B99">
        <v>62315000</v>
      </c>
      <c r="C99" s="7" t="s">
        <v>765</v>
      </c>
      <c r="D99">
        <v>0</v>
      </c>
      <c r="E99">
        <v>0</v>
      </c>
      <c r="F99">
        <v>7</v>
      </c>
      <c r="G99">
        <v>7</v>
      </c>
      <c r="H99">
        <f t="shared" si="1"/>
        <v>7</v>
      </c>
      <c r="J99">
        <v>5</v>
      </c>
      <c r="K99">
        <v>1</v>
      </c>
    </row>
    <row r="100" spans="2:11" ht="33.75" customHeight="1" x14ac:dyDescent="0.2">
      <c r="B100">
        <v>62318700</v>
      </c>
      <c r="C100" s="7" t="s">
        <v>710</v>
      </c>
      <c r="D100">
        <v>0</v>
      </c>
      <c r="E100">
        <v>0</v>
      </c>
      <c r="F100">
        <v>15</v>
      </c>
      <c r="G100">
        <v>9</v>
      </c>
      <c r="H100">
        <f t="shared" si="1"/>
        <v>15</v>
      </c>
      <c r="J100">
        <v>6</v>
      </c>
      <c r="K100">
        <v>1</v>
      </c>
    </row>
    <row r="101" spans="2:11" ht="33.75" customHeight="1" x14ac:dyDescent="0.2">
      <c r="B101">
        <v>62319200</v>
      </c>
      <c r="C101" s="7" t="s">
        <v>1312</v>
      </c>
      <c r="D101">
        <v>24</v>
      </c>
      <c r="E101">
        <v>23</v>
      </c>
      <c r="F101">
        <v>30</v>
      </c>
      <c r="G101">
        <v>0</v>
      </c>
      <c r="H101">
        <f t="shared" si="1"/>
        <v>77</v>
      </c>
      <c r="J101">
        <v>15</v>
      </c>
      <c r="K101">
        <v>3</v>
      </c>
    </row>
    <row r="102" spans="2:11" ht="33.75" customHeight="1" x14ac:dyDescent="0.2">
      <c r="B102">
        <v>62326400</v>
      </c>
      <c r="C102" s="7" t="s">
        <v>1706</v>
      </c>
      <c r="D102">
        <v>0</v>
      </c>
      <c r="E102">
        <v>10</v>
      </c>
      <c r="F102">
        <v>0</v>
      </c>
      <c r="G102">
        <v>12</v>
      </c>
      <c r="H102">
        <f t="shared" si="1"/>
        <v>10</v>
      </c>
      <c r="J102">
        <v>6</v>
      </c>
      <c r="K102">
        <v>1</v>
      </c>
    </row>
    <row r="103" spans="2:11" ht="33.75" customHeight="1" x14ac:dyDescent="0.2">
      <c r="B103">
        <v>62327300</v>
      </c>
      <c r="C103" s="7" t="s">
        <v>2142</v>
      </c>
      <c r="D103">
        <v>59</v>
      </c>
      <c r="E103">
        <v>0</v>
      </c>
      <c r="F103">
        <v>0</v>
      </c>
      <c r="G103">
        <v>0</v>
      </c>
      <c r="H103">
        <f t="shared" si="1"/>
        <v>59</v>
      </c>
      <c r="J103">
        <v>8</v>
      </c>
      <c r="K103">
        <v>1</v>
      </c>
    </row>
    <row r="104" spans="2:11" ht="33.75" customHeight="1" x14ac:dyDescent="0.2">
      <c r="B104">
        <v>62327600</v>
      </c>
      <c r="C104" s="7" t="s">
        <v>2091</v>
      </c>
      <c r="D104">
        <v>42</v>
      </c>
      <c r="E104">
        <v>0</v>
      </c>
      <c r="F104">
        <v>0</v>
      </c>
      <c r="G104">
        <v>0</v>
      </c>
      <c r="H104">
        <f t="shared" si="1"/>
        <v>42</v>
      </c>
      <c r="J104">
        <v>6</v>
      </c>
      <c r="K104">
        <v>1</v>
      </c>
    </row>
    <row r="105" spans="2:11" ht="33.75" customHeight="1" x14ac:dyDescent="0.2">
      <c r="B105">
        <v>62341500</v>
      </c>
      <c r="C105" s="7" t="s">
        <v>1027</v>
      </c>
      <c r="D105">
        <v>120</v>
      </c>
      <c r="E105">
        <v>75</v>
      </c>
      <c r="F105">
        <v>60</v>
      </c>
      <c r="G105">
        <v>42</v>
      </c>
      <c r="H105">
        <f t="shared" si="1"/>
        <v>255</v>
      </c>
      <c r="J105">
        <v>38</v>
      </c>
      <c r="K105">
        <v>16</v>
      </c>
    </row>
    <row r="106" spans="2:11" ht="33.75" customHeight="1" x14ac:dyDescent="0.2">
      <c r="B106">
        <v>62385500</v>
      </c>
      <c r="C106" s="7" t="s">
        <v>427</v>
      </c>
      <c r="D106">
        <v>25</v>
      </c>
      <c r="E106">
        <v>30</v>
      </c>
      <c r="F106">
        <v>39</v>
      </c>
      <c r="G106">
        <v>37</v>
      </c>
      <c r="H106">
        <f t="shared" si="1"/>
        <v>94</v>
      </c>
      <c r="J106">
        <v>17</v>
      </c>
      <c r="K106">
        <v>7</v>
      </c>
    </row>
    <row r="107" spans="2:11" ht="33.75" customHeight="1" x14ac:dyDescent="0.2">
      <c r="B107">
        <v>62420800</v>
      </c>
      <c r="C107" s="7" t="s">
        <v>924</v>
      </c>
      <c r="D107">
        <v>53</v>
      </c>
      <c r="E107">
        <v>44</v>
      </c>
      <c r="F107">
        <v>42</v>
      </c>
      <c r="G107">
        <v>28</v>
      </c>
      <c r="H107">
        <f t="shared" si="1"/>
        <v>139</v>
      </c>
      <c r="J107">
        <v>12</v>
      </c>
      <c r="K107">
        <v>2</v>
      </c>
    </row>
    <row r="108" spans="2:11" ht="33.75" customHeight="1" x14ac:dyDescent="0.2">
      <c r="B108">
        <v>62424000</v>
      </c>
      <c r="C108" s="7" t="s">
        <v>748</v>
      </c>
      <c r="D108">
        <v>22</v>
      </c>
      <c r="E108">
        <v>0</v>
      </c>
      <c r="F108">
        <v>0</v>
      </c>
      <c r="G108">
        <v>14</v>
      </c>
      <c r="H108">
        <f t="shared" si="1"/>
        <v>22</v>
      </c>
      <c r="J108">
        <v>6</v>
      </c>
      <c r="K108">
        <v>1</v>
      </c>
    </row>
    <row r="109" spans="2:11" ht="33.75" customHeight="1" x14ac:dyDescent="0.2">
      <c r="B109">
        <v>100011800</v>
      </c>
      <c r="C109" s="7" t="s">
        <v>1914</v>
      </c>
      <c r="D109">
        <v>30</v>
      </c>
      <c r="E109">
        <v>25</v>
      </c>
      <c r="F109">
        <v>38</v>
      </c>
      <c r="G109">
        <v>0</v>
      </c>
      <c r="H109">
        <f t="shared" si="1"/>
        <v>93</v>
      </c>
      <c r="J109">
        <v>25</v>
      </c>
      <c r="K109">
        <v>6</v>
      </c>
    </row>
    <row r="110" spans="2:11" ht="33.75" customHeight="1" x14ac:dyDescent="0.2">
      <c r="B110">
        <v>100024500</v>
      </c>
      <c r="C110" s="7" t="s">
        <v>1534</v>
      </c>
      <c r="D110">
        <v>79</v>
      </c>
      <c r="E110">
        <v>44</v>
      </c>
      <c r="F110">
        <v>70</v>
      </c>
      <c r="G110">
        <v>21</v>
      </c>
      <c r="H110">
        <f t="shared" si="1"/>
        <v>193</v>
      </c>
      <c r="J110">
        <v>33</v>
      </c>
      <c r="K110">
        <v>3</v>
      </c>
    </row>
    <row r="111" spans="2:11" ht="33.75" customHeight="1" x14ac:dyDescent="0.2">
      <c r="B111">
        <v>100033700</v>
      </c>
      <c r="C111" s="7" t="s">
        <v>1536</v>
      </c>
      <c r="D111">
        <v>56</v>
      </c>
      <c r="E111">
        <v>91</v>
      </c>
      <c r="F111">
        <v>239</v>
      </c>
      <c r="G111">
        <v>0</v>
      </c>
      <c r="H111">
        <f t="shared" si="1"/>
        <v>386</v>
      </c>
      <c r="J111">
        <v>41</v>
      </c>
      <c r="K111">
        <v>5</v>
      </c>
    </row>
    <row r="112" spans="2:11" ht="33.75" customHeight="1" x14ac:dyDescent="0.2">
      <c r="B112">
        <v>100042200</v>
      </c>
      <c r="C112" s="7" t="s">
        <v>1748</v>
      </c>
      <c r="D112">
        <v>60</v>
      </c>
      <c r="E112">
        <v>33</v>
      </c>
      <c r="F112">
        <v>15</v>
      </c>
      <c r="G112">
        <v>16</v>
      </c>
      <c r="H112">
        <f t="shared" si="1"/>
        <v>108</v>
      </c>
      <c r="J112">
        <v>24</v>
      </c>
      <c r="K112">
        <v>5</v>
      </c>
    </row>
    <row r="113" spans="2:11" ht="33.75" customHeight="1" x14ac:dyDescent="0.2">
      <c r="B113">
        <v>100042201</v>
      </c>
      <c r="C113" s="7" t="s">
        <v>1754</v>
      </c>
      <c r="D113">
        <v>22</v>
      </c>
      <c r="E113">
        <v>34</v>
      </c>
      <c r="F113">
        <v>10</v>
      </c>
      <c r="G113">
        <v>5</v>
      </c>
      <c r="H113">
        <f t="shared" si="1"/>
        <v>66</v>
      </c>
      <c r="J113">
        <v>24</v>
      </c>
      <c r="K113">
        <v>5</v>
      </c>
    </row>
    <row r="114" spans="2:11" ht="33.75" customHeight="1" x14ac:dyDescent="0.2">
      <c r="B114">
        <v>100042202</v>
      </c>
      <c r="C114" s="7" t="s">
        <v>1740</v>
      </c>
      <c r="D114">
        <v>29</v>
      </c>
      <c r="E114">
        <v>29</v>
      </c>
      <c r="F114">
        <v>12</v>
      </c>
      <c r="G114">
        <v>7</v>
      </c>
      <c r="H114">
        <f t="shared" si="1"/>
        <v>70</v>
      </c>
      <c r="J114">
        <v>24</v>
      </c>
      <c r="K114">
        <v>5</v>
      </c>
    </row>
    <row r="115" spans="2:11" ht="33.75" customHeight="1" x14ac:dyDescent="0.2">
      <c r="B115">
        <v>100062700</v>
      </c>
      <c r="C115" s="7" t="s">
        <v>1860</v>
      </c>
      <c r="D115">
        <v>32</v>
      </c>
      <c r="E115">
        <v>24</v>
      </c>
      <c r="F115">
        <v>25</v>
      </c>
      <c r="G115">
        <v>13</v>
      </c>
      <c r="H115">
        <f t="shared" si="1"/>
        <v>81</v>
      </c>
      <c r="J115">
        <v>22</v>
      </c>
      <c r="K115">
        <v>6</v>
      </c>
    </row>
    <row r="116" spans="2:11" ht="33.75" customHeight="1" x14ac:dyDescent="0.2">
      <c r="B116">
        <v>100073500</v>
      </c>
      <c r="C116" s="7" t="s">
        <v>1796</v>
      </c>
      <c r="D116">
        <v>101</v>
      </c>
      <c r="E116">
        <v>71</v>
      </c>
      <c r="F116">
        <v>47</v>
      </c>
      <c r="G116">
        <v>35</v>
      </c>
      <c r="H116">
        <f t="shared" si="1"/>
        <v>219</v>
      </c>
      <c r="J116">
        <v>30</v>
      </c>
      <c r="K116">
        <v>3</v>
      </c>
    </row>
    <row r="117" spans="2:11" ht="33.75" customHeight="1" x14ac:dyDescent="0.2">
      <c r="B117">
        <v>100089900</v>
      </c>
      <c r="C117" s="7" t="s">
        <v>1545</v>
      </c>
      <c r="D117">
        <v>295</v>
      </c>
      <c r="E117">
        <v>138</v>
      </c>
      <c r="F117">
        <v>59</v>
      </c>
      <c r="G117">
        <v>65</v>
      </c>
      <c r="H117">
        <f t="shared" si="1"/>
        <v>492</v>
      </c>
      <c r="J117">
        <v>53</v>
      </c>
      <c r="K117">
        <v>16</v>
      </c>
    </row>
    <row r="118" spans="2:11" ht="33.75" customHeight="1" x14ac:dyDescent="0.2">
      <c r="B118">
        <v>140233600</v>
      </c>
      <c r="C118" s="7" t="s">
        <v>1885</v>
      </c>
      <c r="D118">
        <v>26</v>
      </c>
      <c r="E118">
        <v>10</v>
      </c>
      <c r="F118">
        <v>12</v>
      </c>
      <c r="G118">
        <v>10</v>
      </c>
      <c r="H118">
        <f t="shared" si="1"/>
        <v>48</v>
      </c>
      <c r="J118">
        <v>15</v>
      </c>
      <c r="K118">
        <v>3</v>
      </c>
    </row>
    <row r="119" spans="2:11" ht="33.75" customHeight="1" x14ac:dyDescent="0.2">
      <c r="B119">
        <v>140240300</v>
      </c>
      <c r="C119" s="7" t="s">
        <v>857</v>
      </c>
      <c r="D119">
        <v>45</v>
      </c>
      <c r="E119">
        <v>31</v>
      </c>
      <c r="F119">
        <v>30</v>
      </c>
      <c r="G119">
        <v>18</v>
      </c>
      <c r="H119">
        <f t="shared" si="1"/>
        <v>106</v>
      </c>
      <c r="J119">
        <v>10</v>
      </c>
      <c r="K119">
        <v>3</v>
      </c>
    </row>
    <row r="120" spans="2:11" ht="33.75" customHeight="1" x14ac:dyDescent="0.2">
      <c r="B120">
        <v>140253500</v>
      </c>
      <c r="C120" s="7" t="s">
        <v>948</v>
      </c>
      <c r="D120">
        <v>72</v>
      </c>
      <c r="E120">
        <v>44</v>
      </c>
      <c r="F120">
        <v>51</v>
      </c>
      <c r="G120">
        <v>47</v>
      </c>
      <c r="H120">
        <f t="shared" si="1"/>
        <v>167</v>
      </c>
      <c r="J120">
        <v>20</v>
      </c>
      <c r="K120">
        <v>7</v>
      </c>
    </row>
    <row r="121" spans="2:11" ht="33.75" customHeight="1" x14ac:dyDescent="0.2">
      <c r="B121">
        <v>140253504</v>
      </c>
      <c r="C121" s="7" t="s">
        <v>989</v>
      </c>
      <c r="D121">
        <v>45</v>
      </c>
      <c r="E121">
        <v>26</v>
      </c>
      <c r="F121">
        <v>24</v>
      </c>
      <c r="G121">
        <v>30</v>
      </c>
      <c r="H121">
        <f t="shared" si="1"/>
        <v>95</v>
      </c>
      <c r="J121">
        <v>11</v>
      </c>
      <c r="K121">
        <v>3</v>
      </c>
    </row>
    <row r="122" spans="2:11" ht="33.75" customHeight="1" x14ac:dyDescent="0.2">
      <c r="B122">
        <v>140261700</v>
      </c>
      <c r="C122" s="7" t="s">
        <v>217</v>
      </c>
      <c r="D122">
        <v>39</v>
      </c>
      <c r="E122">
        <v>0</v>
      </c>
      <c r="F122">
        <v>0</v>
      </c>
      <c r="G122">
        <v>22</v>
      </c>
      <c r="H122">
        <f t="shared" si="1"/>
        <v>39</v>
      </c>
      <c r="J122">
        <v>5</v>
      </c>
      <c r="K122">
        <v>1</v>
      </c>
    </row>
    <row r="123" spans="2:11" ht="33.75" customHeight="1" x14ac:dyDescent="0.2">
      <c r="B123">
        <v>140278801</v>
      </c>
      <c r="C123" s="7" t="s">
        <v>933</v>
      </c>
      <c r="D123">
        <v>0</v>
      </c>
      <c r="E123">
        <v>0</v>
      </c>
      <c r="F123">
        <v>36</v>
      </c>
      <c r="G123">
        <v>0</v>
      </c>
      <c r="H123">
        <f t="shared" si="1"/>
        <v>36</v>
      </c>
      <c r="J123">
        <v>4</v>
      </c>
      <c r="K123">
        <v>1</v>
      </c>
    </row>
    <row r="124" spans="2:11" ht="33.75" customHeight="1" x14ac:dyDescent="0.2">
      <c r="B124">
        <v>140312400</v>
      </c>
      <c r="C124" s="7" t="s">
        <v>1153</v>
      </c>
      <c r="D124">
        <v>144</v>
      </c>
      <c r="E124">
        <v>0</v>
      </c>
      <c r="F124">
        <v>0</v>
      </c>
      <c r="G124">
        <v>16</v>
      </c>
      <c r="H124">
        <f t="shared" si="1"/>
        <v>144</v>
      </c>
      <c r="J124">
        <v>17</v>
      </c>
      <c r="K124">
        <v>3</v>
      </c>
    </row>
    <row r="125" spans="2:11" ht="33.75" customHeight="1" x14ac:dyDescent="0.2">
      <c r="B125">
        <v>140319700</v>
      </c>
      <c r="C125" s="7" t="s">
        <v>371</v>
      </c>
      <c r="D125">
        <v>17</v>
      </c>
      <c r="E125">
        <v>12</v>
      </c>
      <c r="F125">
        <v>10</v>
      </c>
      <c r="G125">
        <v>10</v>
      </c>
      <c r="H125">
        <f t="shared" si="1"/>
        <v>39</v>
      </c>
      <c r="J125">
        <v>19</v>
      </c>
      <c r="K125">
        <v>3</v>
      </c>
    </row>
    <row r="126" spans="2:11" ht="33.75" customHeight="1" x14ac:dyDescent="0.2">
      <c r="B126">
        <v>140319900</v>
      </c>
      <c r="C126" s="7" t="s">
        <v>965</v>
      </c>
      <c r="D126">
        <v>102</v>
      </c>
      <c r="E126">
        <v>78</v>
      </c>
      <c r="F126">
        <v>35</v>
      </c>
      <c r="G126">
        <v>1</v>
      </c>
      <c r="H126">
        <f t="shared" si="1"/>
        <v>215</v>
      </c>
      <c r="J126">
        <v>17</v>
      </c>
      <c r="K126">
        <v>4</v>
      </c>
    </row>
    <row r="127" spans="2:11" ht="33.75" customHeight="1" x14ac:dyDescent="0.2">
      <c r="B127">
        <v>140322200</v>
      </c>
      <c r="C127" s="7" t="s">
        <v>276</v>
      </c>
      <c r="D127">
        <v>42</v>
      </c>
      <c r="E127">
        <v>20</v>
      </c>
      <c r="F127">
        <v>29</v>
      </c>
      <c r="G127">
        <v>33</v>
      </c>
      <c r="H127">
        <f t="shared" si="1"/>
        <v>91</v>
      </c>
      <c r="J127">
        <v>13</v>
      </c>
      <c r="K127">
        <v>2</v>
      </c>
    </row>
    <row r="128" spans="2:11" ht="33.75" customHeight="1" x14ac:dyDescent="0.2">
      <c r="B128">
        <v>140333900</v>
      </c>
      <c r="C128" s="7" t="s">
        <v>332</v>
      </c>
      <c r="D128">
        <v>91</v>
      </c>
      <c r="E128">
        <v>88</v>
      </c>
      <c r="F128">
        <v>58</v>
      </c>
      <c r="G128">
        <v>49</v>
      </c>
      <c r="H128">
        <f t="shared" si="1"/>
        <v>237</v>
      </c>
      <c r="J128">
        <v>18</v>
      </c>
      <c r="K128">
        <v>12</v>
      </c>
    </row>
    <row r="129" spans="2:11" ht="33.75" customHeight="1" x14ac:dyDescent="0.2">
      <c r="B129">
        <v>140337300</v>
      </c>
      <c r="C129" s="7" t="s">
        <v>2101</v>
      </c>
      <c r="D129">
        <v>65</v>
      </c>
      <c r="E129">
        <v>35</v>
      </c>
      <c r="F129">
        <v>30</v>
      </c>
      <c r="G129">
        <v>30</v>
      </c>
      <c r="H129">
        <f t="shared" si="1"/>
        <v>130</v>
      </c>
      <c r="J129">
        <v>18</v>
      </c>
      <c r="K129">
        <v>5</v>
      </c>
    </row>
    <row r="130" spans="2:11" ht="33.75" customHeight="1" x14ac:dyDescent="0.2">
      <c r="B130">
        <v>140359300</v>
      </c>
      <c r="C130" s="7" t="s">
        <v>1853</v>
      </c>
      <c r="D130">
        <v>180</v>
      </c>
      <c r="E130">
        <v>120</v>
      </c>
      <c r="F130">
        <v>104</v>
      </c>
      <c r="G130">
        <v>44</v>
      </c>
      <c r="H130">
        <f t="shared" si="1"/>
        <v>404</v>
      </c>
      <c r="J130">
        <v>30</v>
      </c>
      <c r="K130">
        <v>13</v>
      </c>
    </row>
    <row r="131" spans="2:11" ht="33.75" customHeight="1" x14ac:dyDescent="0.2">
      <c r="B131">
        <v>140443800</v>
      </c>
      <c r="C131" s="7" t="s">
        <v>1834</v>
      </c>
      <c r="D131">
        <v>62</v>
      </c>
      <c r="E131">
        <v>48</v>
      </c>
      <c r="F131">
        <v>68</v>
      </c>
      <c r="G131">
        <v>40</v>
      </c>
      <c r="H131">
        <f t="shared" ref="H131:H194" si="2">SUM(D131:F131)</f>
        <v>178</v>
      </c>
      <c r="J131">
        <v>10</v>
      </c>
      <c r="K131">
        <v>8</v>
      </c>
    </row>
    <row r="132" spans="2:11" ht="33.75" customHeight="1" x14ac:dyDescent="0.2">
      <c r="B132">
        <v>140463300</v>
      </c>
      <c r="C132" s="7" t="s">
        <v>2452</v>
      </c>
      <c r="D132">
        <v>57</v>
      </c>
      <c r="E132">
        <v>42</v>
      </c>
      <c r="F132">
        <v>31</v>
      </c>
      <c r="G132">
        <v>36</v>
      </c>
      <c r="H132">
        <f t="shared" si="2"/>
        <v>130</v>
      </c>
      <c r="J132">
        <v>17</v>
      </c>
      <c r="K132">
        <v>7</v>
      </c>
    </row>
    <row r="133" spans="2:11" ht="33.75" customHeight="1" x14ac:dyDescent="0.2">
      <c r="B133">
        <v>140488900</v>
      </c>
      <c r="C133" s="7" t="s">
        <v>146</v>
      </c>
      <c r="D133">
        <v>34</v>
      </c>
      <c r="E133">
        <v>23</v>
      </c>
      <c r="F133">
        <v>24</v>
      </c>
      <c r="G133">
        <v>33</v>
      </c>
      <c r="H133">
        <f t="shared" si="2"/>
        <v>81</v>
      </c>
      <c r="J133">
        <v>14</v>
      </c>
      <c r="K133">
        <v>3</v>
      </c>
    </row>
    <row r="134" spans="2:11" ht="33.75" customHeight="1" x14ac:dyDescent="0.2">
      <c r="B134">
        <v>140510100</v>
      </c>
      <c r="C134" s="7" t="s">
        <v>340</v>
      </c>
      <c r="D134">
        <v>242</v>
      </c>
      <c r="E134">
        <v>80</v>
      </c>
      <c r="F134">
        <v>92</v>
      </c>
      <c r="G134">
        <v>137</v>
      </c>
      <c r="H134">
        <f t="shared" si="2"/>
        <v>414</v>
      </c>
      <c r="J134">
        <v>98</v>
      </c>
      <c r="K134">
        <v>15</v>
      </c>
    </row>
    <row r="135" spans="2:11" ht="33.75" customHeight="1" x14ac:dyDescent="0.2">
      <c r="B135">
        <v>140510101</v>
      </c>
      <c r="C135" s="7" t="s">
        <v>398</v>
      </c>
      <c r="D135">
        <v>50</v>
      </c>
      <c r="E135">
        <v>40</v>
      </c>
      <c r="F135">
        <v>38</v>
      </c>
      <c r="G135">
        <v>28</v>
      </c>
      <c r="H135">
        <f t="shared" si="2"/>
        <v>128</v>
      </c>
      <c r="J135">
        <v>8</v>
      </c>
      <c r="K135">
        <v>9</v>
      </c>
    </row>
    <row r="136" spans="2:11" ht="33.75" customHeight="1" x14ac:dyDescent="0.2">
      <c r="B136">
        <v>140510102</v>
      </c>
      <c r="C136" s="7" t="s">
        <v>386</v>
      </c>
      <c r="D136">
        <v>41</v>
      </c>
      <c r="E136">
        <v>32</v>
      </c>
      <c r="F136">
        <v>36</v>
      </c>
      <c r="G136">
        <v>38</v>
      </c>
      <c r="H136">
        <f t="shared" si="2"/>
        <v>109</v>
      </c>
      <c r="J136">
        <v>10</v>
      </c>
      <c r="K136">
        <v>2</v>
      </c>
    </row>
    <row r="137" spans="2:11" ht="33.75" customHeight="1" x14ac:dyDescent="0.2">
      <c r="B137">
        <v>140510103</v>
      </c>
      <c r="C137" s="7" t="s">
        <v>365</v>
      </c>
      <c r="D137">
        <v>20</v>
      </c>
      <c r="E137">
        <v>11</v>
      </c>
      <c r="F137">
        <v>11</v>
      </c>
      <c r="G137">
        <v>12</v>
      </c>
      <c r="H137">
        <f t="shared" si="2"/>
        <v>42</v>
      </c>
      <c r="J137">
        <v>11</v>
      </c>
      <c r="K137">
        <v>1</v>
      </c>
    </row>
    <row r="138" spans="2:11" ht="33.75" customHeight="1" x14ac:dyDescent="0.2">
      <c r="B138">
        <v>140510104</v>
      </c>
      <c r="C138" s="7" t="s">
        <v>2434</v>
      </c>
      <c r="D138">
        <v>52</v>
      </c>
      <c r="E138">
        <v>32</v>
      </c>
      <c r="F138">
        <v>42</v>
      </c>
      <c r="G138">
        <v>32</v>
      </c>
      <c r="H138">
        <f t="shared" si="2"/>
        <v>126</v>
      </c>
      <c r="J138">
        <v>15</v>
      </c>
      <c r="K138">
        <v>3</v>
      </c>
    </row>
    <row r="139" spans="2:11" ht="33.75" customHeight="1" x14ac:dyDescent="0.2">
      <c r="B139">
        <v>140510105</v>
      </c>
      <c r="C139" s="7" t="s">
        <v>355</v>
      </c>
      <c r="D139">
        <v>23</v>
      </c>
      <c r="E139">
        <v>14</v>
      </c>
      <c r="F139">
        <v>14</v>
      </c>
      <c r="G139">
        <v>13</v>
      </c>
      <c r="H139">
        <f t="shared" si="2"/>
        <v>51</v>
      </c>
      <c r="J139">
        <v>8</v>
      </c>
      <c r="K139">
        <v>1</v>
      </c>
    </row>
    <row r="140" spans="2:11" ht="33.75" customHeight="1" x14ac:dyDescent="0.2">
      <c r="B140">
        <v>140510105</v>
      </c>
      <c r="C140" s="7" t="s">
        <v>355</v>
      </c>
      <c r="D140">
        <v>26</v>
      </c>
      <c r="E140">
        <v>13</v>
      </c>
      <c r="F140">
        <v>14</v>
      </c>
      <c r="G140">
        <v>13</v>
      </c>
      <c r="H140">
        <f t="shared" si="2"/>
        <v>53</v>
      </c>
      <c r="J140">
        <v>8</v>
      </c>
      <c r="K140">
        <v>1</v>
      </c>
    </row>
    <row r="141" spans="2:11" ht="33.75" customHeight="1" x14ac:dyDescent="0.2">
      <c r="B141">
        <v>140510106</v>
      </c>
      <c r="C141" s="7" t="s">
        <v>348</v>
      </c>
      <c r="D141">
        <v>23</v>
      </c>
      <c r="E141">
        <v>32</v>
      </c>
      <c r="F141">
        <v>31</v>
      </c>
      <c r="G141">
        <v>21</v>
      </c>
      <c r="H141">
        <f t="shared" si="2"/>
        <v>86</v>
      </c>
      <c r="J141">
        <v>11</v>
      </c>
      <c r="K141">
        <v>1</v>
      </c>
    </row>
    <row r="142" spans="2:11" ht="33.75" customHeight="1" x14ac:dyDescent="0.2">
      <c r="B142">
        <v>140510107</v>
      </c>
      <c r="C142" s="7" t="s">
        <v>405</v>
      </c>
      <c r="D142">
        <v>11</v>
      </c>
      <c r="E142">
        <v>12</v>
      </c>
      <c r="F142">
        <v>12</v>
      </c>
      <c r="G142">
        <v>9</v>
      </c>
      <c r="H142">
        <f t="shared" si="2"/>
        <v>35</v>
      </c>
      <c r="J142">
        <v>10</v>
      </c>
      <c r="K142">
        <v>1</v>
      </c>
    </row>
    <row r="143" spans="2:11" ht="33.75" customHeight="1" x14ac:dyDescent="0.2">
      <c r="B143">
        <v>140510108</v>
      </c>
      <c r="C143" s="7" t="s">
        <v>377</v>
      </c>
      <c r="D143">
        <v>42</v>
      </c>
      <c r="E143">
        <v>23</v>
      </c>
      <c r="F143">
        <v>17</v>
      </c>
      <c r="G143">
        <v>27</v>
      </c>
      <c r="H143">
        <f t="shared" si="2"/>
        <v>82</v>
      </c>
      <c r="J143">
        <v>10</v>
      </c>
      <c r="K143">
        <v>2</v>
      </c>
    </row>
    <row r="144" spans="2:11" ht="33.75" customHeight="1" x14ac:dyDescent="0.2">
      <c r="B144">
        <v>140510300</v>
      </c>
      <c r="C144" s="7" t="s">
        <v>1208</v>
      </c>
      <c r="D144">
        <v>105</v>
      </c>
      <c r="E144">
        <v>77</v>
      </c>
      <c r="F144">
        <v>55</v>
      </c>
      <c r="G144">
        <v>7</v>
      </c>
      <c r="H144">
        <f t="shared" si="2"/>
        <v>237</v>
      </c>
      <c r="J144">
        <v>17</v>
      </c>
      <c r="K144">
        <v>4</v>
      </c>
    </row>
    <row r="145" spans="2:11" ht="33.75" customHeight="1" x14ac:dyDescent="0.2">
      <c r="B145">
        <v>140532900</v>
      </c>
      <c r="C145" s="7" t="s">
        <v>357</v>
      </c>
      <c r="D145">
        <v>34</v>
      </c>
      <c r="E145">
        <v>36</v>
      </c>
      <c r="F145">
        <v>26</v>
      </c>
      <c r="G145">
        <v>31</v>
      </c>
      <c r="H145">
        <f t="shared" si="2"/>
        <v>96</v>
      </c>
      <c r="J145">
        <v>15</v>
      </c>
      <c r="K145">
        <v>3</v>
      </c>
    </row>
    <row r="146" spans="2:11" ht="33.75" customHeight="1" x14ac:dyDescent="0.2">
      <c r="B146">
        <v>140544101</v>
      </c>
      <c r="C146" s="7" t="s">
        <v>1305</v>
      </c>
      <c r="D146">
        <v>62</v>
      </c>
      <c r="E146">
        <v>48</v>
      </c>
      <c r="F146">
        <v>57</v>
      </c>
      <c r="G146">
        <v>38</v>
      </c>
      <c r="H146">
        <f t="shared" si="2"/>
        <v>167</v>
      </c>
      <c r="J146">
        <v>20</v>
      </c>
      <c r="K146">
        <v>6</v>
      </c>
    </row>
    <row r="147" spans="2:11" ht="33.75" customHeight="1" x14ac:dyDescent="0.2">
      <c r="B147">
        <v>140544105</v>
      </c>
      <c r="C147" s="7" t="s">
        <v>1450</v>
      </c>
      <c r="D147">
        <v>105</v>
      </c>
      <c r="E147">
        <v>123</v>
      </c>
      <c r="F147">
        <v>73</v>
      </c>
      <c r="G147">
        <v>41</v>
      </c>
      <c r="H147">
        <f t="shared" si="2"/>
        <v>301</v>
      </c>
      <c r="J147">
        <v>25</v>
      </c>
      <c r="K147">
        <v>7</v>
      </c>
    </row>
    <row r="148" spans="2:11" ht="33.75" customHeight="1" x14ac:dyDescent="0.2">
      <c r="B148">
        <v>140544107</v>
      </c>
      <c r="C148" s="7" t="s">
        <v>1296</v>
      </c>
      <c r="D148">
        <v>96</v>
      </c>
      <c r="E148">
        <v>64</v>
      </c>
      <c r="F148">
        <v>61</v>
      </c>
      <c r="G148">
        <v>79</v>
      </c>
      <c r="H148">
        <f t="shared" si="2"/>
        <v>221</v>
      </c>
      <c r="J148">
        <v>18</v>
      </c>
      <c r="K148">
        <v>7</v>
      </c>
    </row>
    <row r="149" spans="2:11" ht="33.75" customHeight="1" x14ac:dyDescent="0.2">
      <c r="B149">
        <v>140575200</v>
      </c>
      <c r="C149" s="7" t="s">
        <v>642</v>
      </c>
      <c r="D149">
        <v>0</v>
      </c>
      <c r="E149">
        <v>0</v>
      </c>
      <c r="F149">
        <v>41</v>
      </c>
      <c r="G149">
        <v>0</v>
      </c>
      <c r="H149">
        <f t="shared" si="2"/>
        <v>41</v>
      </c>
      <c r="J149">
        <v>5</v>
      </c>
      <c r="K149">
        <v>1</v>
      </c>
    </row>
    <row r="150" spans="2:11" ht="33.75" customHeight="1" x14ac:dyDescent="0.2">
      <c r="B150">
        <v>180041100</v>
      </c>
      <c r="C150" s="7" t="s">
        <v>1806</v>
      </c>
      <c r="D150">
        <v>147</v>
      </c>
      <c r="E150">
        <v>118</v>
      </c>
      <c r="F150">
        <v>207</v>
      </c>
      <c r="G150">
        <v>113</v>
      </c>
      <c r="H150">
        <f t="shared" si="2"/>
        <v>472</v>
      </c>
      <c r="J150">
        <v>38</v>
      </c>
      <c r="K150">
        <v>8</v>
      </c>
    </row>
    <row r="151" spans="2:11" ht="33.75" customHeight="1" x14ac:dyDescent="0.2">
      <c r="B151">
        <v>180067500</v>
      </c>
      <c r="C151" s="7" t="s">
        <v>2211</v>
      </c>
      <c r="D151">
        <v>52</v>
      </c>
      <c r="E151">
        <v>45</v>
      </c>
      <c r="F151">
        <v>33</v>
      </c>
      <c r="G151">
        <v>33</v>
      </c>
      <c r="H151">
        <f t="shared" si="2"/>
        <v>130</v>
      </c>
      <c r="J151">
        <v>14</v>
      </c>
      <c r="K151">
        <v>3</v>
      </c>
    </row>
    <row r="152" spans="2:11" ht="33.75" customHeight="1" x14ac:dyDescent="0.2">
      <c r="B152">
        <v>180121600</v>
      </c>
      <c r="C152" s="7" t="s">
        <v>196</v>
      </c>
      <c r="D152">
        <v>73</v>
      </c>
      <c r="E152">
        <v>49</v>
      </c>
      <c r="F152">
        <v>22</v>
      </c>
      <c r="G152">
        <v>23</v>
      </c>
      <c r="H152">
        <f t="shared" si="2"/>
        <v>144</v>
      </c>
      <c r="J152">
        <v>12</v>
      </c>
      <c r="K152">
        <v>3</v>
      </c>
    </row>
    <row r="153" spans="2:11" ht="33.75" customHeight="1" x14ac:dyDescent="0.2">
      <c r="B153">
        <v>180141300</v>
      </c>
      <c r="C153" s="7" t="s">
        <v>2231</v>
      </c>
      <c r="D153">
        <v>68</v>
      </c>
      <c r="E153">
        <v>40</v>
      </c>
      <c r="F153">
        <v>41</v>
      </c>
      <c r="G153">
        <v>22</v>
      </c>
      <c r="H153">
        <f t="shared" si="2"/>
        <v>149</v>
      </c>
      <c r="J153">
        <v>18</v>
      </c>
      <c r="K153">
        <v>4</v>
      </c>
    </row>
    <row r="154" spans="2:11" ht="33.75" customHeight="1" x14ac:dyDescent="0.2">
      <c r="B154">
        <v>180141400</v>
      </c>
      <c r="C154" s="7" t="s">
        <v>1649</v>
      </c>
      <c r="D154">
        <v>73</v>
      </c>
      <c r="E154">
        <v>34</v>
      </c>
      <c r="F154">
        <v>33</v>
      </c>
      <c r="G154">
        <v>10</v>
      </c>
      <c r="H154">
        <f t="shared" si="2"/>
        <v>140</v>
      </c>
      <c r="J154">
        <v>27</v>
      </c>
      <c r="K154">
        <v>3</v>
      </c>
    </row>
    <row r="155" spans="2:11" ht="33.75" customHeight="1" x14ac:dyDescent="0.2">
      <c r="B155">
        <v>180141500</v>
      </c>
      <c r="C155" s="7" t="s">
        <v>955</v>
      </c>
      <c r="D155">
        <v>47</v>
      </c>
      <c r="E155">
        <v>28</v>
      </c>
      <c r="F155">
        <v>7</v>
      </c>
      <c r="G155">
        <v>2</v>
      </c>
      <c r="H155">
        <f t="shared" si="2"/>
        <v>82</v>
      </c>
      <c r="J155">
        <v>14</v>
      </c>
      <c r="K155">
        <v>3</v>
      </c>
    </row>
    <row r="156" spans="2:11" ht="33.75" customHeight="1" x14ac:dyDescent="0.2">
      <c r="B156">
        <v>180143000</v>
      </c>
      <c r="C156" s="7" t="s">
        <v>188</v>
      </c>
      <c r="D156">
        <v>91</v>
      </c>
      <c r="E156">
        <v>46</v>
      </c>
      <c r="F156">
        <v>79</v>
      </c>
      <c r="G156">
        <v>26</v>
      </c>
      <c r="H156">
        <f t="shared" si="2"/>
        <v>216</v>
      </c>
      <c r="J156">
        <v>31</v>
      </c>
      <c r="K156">
        <v>16</v>
      </c>
    </row>
    <row r="157" spans="2:11" ht="33.75" customHeight="1" x14ac:dyDescent="0.2">
      <c r="B157">
        <v>180145100</v>
      </c>
      <c r="C157" s="7" t="s">
        <v>1587</v>
      </c>
      <c r="D157">
        <v>37</v>
      </c>
      <c r="E157">
        <v>39</v>
      </c>
      <c r="F157">
        <v>18</v>
      </c>
      <c r="G157">
        <v>10</v>
      </c>
      <c r="H157">
        <f t="shared" si="2"/>
        <v>94</v>
      </c>
      <c r="J157">
        <v>17</v>
      </c>
      <c r="K157">
        <v>2</v>
      </c>
    </row>
    <row r="158" spans="2:11" ht="33.75" customHeight="1" x14ac:dyDescent="0.2">
      <c r="B158">
        <v>180146600</v>
      </c>
      <c r="C158" s="7" t="s">
        <v>1844</v>
      </c>
      <c r="D158">
        <v>47</v>
      </c>
      <c r="E158">
        <v>27</v>
      </c>
      <c r="F158">
        <v>28</v>
      </c>
      <c r="G158">
        <v>15</v>
      </c>
      <c r="H158">
        <f t="shared" si="2"/>
        <v>102</v>
      </c>
      <c r="J158">
        <v>20</v>
      </c>
      <c r="K158">
        <v>2</v>
      </c>
    </row>
    <row r="159" spans="2:11" ht="33.75" customHeight="1" x14ac:dyDescent="0.2">
      <c r="B159">
        <v>180146700</v>
      </c>
      <c r="C159" s="7" t="s">
        <v>1758</v>
      </c>
      <c r="D159">
        <v>59</v>
      </c>
      <c r="E159">
        <v>38</v>
      </c>
      <c r="F159">
        <v>36</v>
      </c>
      <c r="G159">
        <v>13</v>
      </c>
      <c r="H159">
        <f t="shared" si="2"/>
        <v>133</v>
      </c>
      <c r="J159">
        <v>15</v>
      </c>
      <c r="K159">
        <v>3</v>
      </c>
    </row>
    <row r="160" spans="2:11" ht="33.75" customHeight="1" x14ac:dyDescent="0.2">
      <c r="B160">
        <v>180176500</v>
      </c>
      <c r="C160" s="7" t="s">
        <v>1004</v>
      </c>
      <c r="D160">
        <v>29</v>
      </c>
      <c r="E160">
        <v>36</v>
      </c>
      <c r="F160">
        <v>36</v>
      </c>
      <c r="G160">
        <v>14</v>
      </c>
      <c r="H160">
        <f t="shared" si="2"/>
        <v>101</v>
      </c>
      <c r="J160">
        <v>16</v>
      </c>
      <c r="K160">
        <v>3</v>
      </c>
    </row>
    <row r="161" spans="2:11" ht="33.75" customHeight="1" x14ac:dyDescent="0.2">
      <c r="B161">
        <v>180176600</v>
      </c>
      <c r="C161" s="7" t="s">
        <v>1715</v>
      </c>
      <c r="D161">
        <v>30</v>
      </c>
      <c r="E161">
        <v>22</v>
      </c>
      <c r="F161">
        <v>38</v>
      </c>
      <c r="G161">
        <v>27</v>
      </c>
      <c r="H161">
        <f t="shared" si="2"/>
        <v>90</v>
      </c>
      <c r="J161">
        <v>14</v>
      </c>
      <c r="K161">
        <v>2</v>
      </c>
    </row>
    <row r="162" spans="2:11" ht="18.75" customHeight="1" x14ac:dyDescent="0.2">
      <c r="B162">
        <v>180182900</v>
      </c>
      <c r="C162" s="7" t="s">
        <v>2232</v>
      </c>
      <c r="D162">
        <v>26</v>
      </c>
      <c r="E162">
        <v>35</v>
      </c>
      <c r="F162">
        <v>37</v>
      </c>
      <c r="G162">
        <v>35</v>
      </c>
      <c r="H162">
        <f t="shared" si="2"/>
        <v>98</v>
      </c>
      <c r="J162">
        <v>13</v>
      </c>
      <c r="K162">
        <v>1</v>
      </c>
    </row>
    <row r="163" spans="2:11" ht="33.75" customHeight="1" x14ac:dyDescent="0.2">
      <c r="B163">
        <v>220089900</v>
      </c>
      <c r="C163" s="7" t="s">
        <v>1108</v>
      </c>
      <c r="D163">
        <v>344</v>
      </c>
      <c r="E163">
        <v>232</v>
      </c>
      <c r="F163">
        <v>131</v>
      </c>
      <c r="G163">
        <v>296</v>
      </c>
      <c r="H163">
        <f t="shared" si="2"/>
        <v>707</v>
      </c>
      <c r="J163">
        <v>49</v>
      </c>
      <c r="K163">
        <v>19</v>
      </c>
    </row>
    <row r="164" spans="2:11" ht="33.75" customHeight="1" x14ac:dyDescent="0.2">
      <c r="B164">
        <v>220089901</v>
      </c>
      <c r="C164" s="7" t="s">
        <v>1116</v>
      </c>
      <c r="D164">
        <v>165</v>
      </c>
      <c r="E164">
        <v>89</v>
      </c>
      <c r="F164">
        <v>46</v>
      </c>
      <c r="G164">
        <v>62</v>
      </c>
      <c r="H164">
        <f t="shared" si="2"/>
        <v>300</v>
      </c>
      <c r="J164">
        <v>31</v>
      </c>
      <c r="K164">
        <v>5</v>
      </c>
    </row>
    <row r="165" spans="2:11" ht="33.75" customHeight="1" x14ac:dyDescent="0.2">
      <c r="B165">
        <v>220089902</v>
      </c>
      <c r="C165" s="7" t="s">
        <v>1120</v>
      </c>
      <c r="D165">
        <v>166</v>
      </c>
      <c r="E165">
        <v>0</v>
      </c>
      <c r="F165">
        <v>0</v>
      </c>
      <c r="G165">
        <v>0</v>
      </c>
      <c r="H165">
        <f t="shared" si="2"/>
        <v>166</v>
      </c>
      <c r="J165">
        <v>7</v>
      </c>
      <c r="K165">
        <v>1</v>
      </c>
    </row>
    <row r="166" spans="2:11" ht="33.75" customHeight="1" x14ac:dyDescent="0.2">
      <c r="B166">
        <v>220089903</v>
      </c>
      <c r="C166" s="7" t="s">
        <v>1124</v>
      </c>
      <c r="D166">
        <v>18</v>
      </c>
      <c r="E166">
        <v>46</v>
      </c>
      <c r="F166">
        <v>19</v>
      </c>
      <c r="G166">
        <v>23</v>
      </c>
      <c r="H166">
        <f t="shared" si="2"/>
        <v>83</v>
      </c>
      <c r="J166">
        <v>22</v>
      </c>
      <c r="K166">
        <v>3</v>
      </c>
    </row>
    <row r="167" spans="2:11" ht="33.75" customHeight="1" x14ac:dyDescent="0.2">
      <c r="B167">
        <v>220089904</v>
      </c>
      <c r="C167" s="7" t="s">
        <v>1128</v>
      </c>
      <c r="D167">
        <v>21</v>
      </c>
      <c r="E167">
        <v>21</v>
      </c>
      <c r="F167">
        <v>15</v>
      </c>
      <c r="G167">
        <v>39</v>
      </c>
      <c r="H167">
        <f t="shared" si="2"/>
        <v>57</v>
      </c>
      <c r="J167">
        <v>22</v>
      </c>
      <c r="K167">
        <v>3</v>
      </c>
    </row>
    <row r="168" spans="2:11" ht="33.75" customHeight="1" x14ac:dyDescent="0.2">
      <c r="B168">
        <v>220089905</v>
      </c>
      <c r="C168" s="7" t="s">
        <v>1131</v>
      </c>
      <c r="D168">
        <v>0</v>
      </c>
      <c r="E168">
        <v>65</v>
      </c>
      <c r="F168">
        <v>0</v>
      </c>
      <c r="G168">
        <v>30</v>
      </c>
      <c r="H168">
        <f t="shared" si="2"/>
        <v>65</v>
      </c>
      <c r="J168">
        <v>7</v>
      </c>
      <c r="K168">
        <v>1</v>
      </c>
    </row>
    <row r="169" spans="2:11" ht="33.75" customHeight="1" x14ac:dyDescent="0.2">
      <c r="B169">
        <v>220089907</v>
      </c>
      <c r="C169" s="7" t="s">
        <v>1136</v>
      </c>
      <c r="D169">
        <v>40</v>
      </c>
      <c r="E169">
        <v>0</v>
      </c>
      <c r="F169">
        <v>0</v>
      </c>
      <c r="G169">
        <v>0</v>
      </c>
      <c r="H169">
        <f t="shared" si="2"/>
        <v>40</v>
      </c>
      <c r="J169">
        <v>7</v>
      </c>
      <c r="K169">
        <v>1</v>
      </c>
    </row>
    <row r="170" spans="2:11" ht="33.75" customHeight="1" x14ac:dyDescent="0.2">
      <c r="B170">
        <v>220089908</v>
      </c>
      <c r="C170" s="7" t="s">
        <v>1139</v>
      </c>
      <c r="D170">
        <v>23</v>
      </c>
      <c r="E170">
        <v>0</v>
      </c>
      <c r="F170">
        <v>15</v>
      </c>
      <c r="G170">
        <v>47</v>
      </c>
      <c r="H170">
        <f t="shared" si="2"/>
        <v>38</v>
      </c>
      <c r="J170">
        <v>13</v>
      </c>
      <c r="K170">
        <v>3</v>
      </c>
    </row>
    <row r="171" spans="2:11" ht="33.75" customHeight="1" x14ac:dyDescent="0.2">
      <c r="B171">
        <v>220089909</v>
      </c>
      <c r="C171" s="7" t="s">
        <v>1143</v>
      </c>
      <c r="D171">
        <v>0</v>
      </c>
      <c r="E171">
        <v>0</v>
      </c>
      <c r="F171">
        <v>19</v>
      </c>
      <c r="G171">
        <v>0</v>
      </c>
      <c r="H171">
        <f t="shared" si="2"/>
        <v>19</v>
      </c>
      <c r="J171">
        <v>6</v>
      </c>
      <c r="K171">
        <v>1</v>
      </c>
    </row>
    <row r="172" spans="2:11" ht="33.75" customHeight="1" x14ac:dyDescent="0.2">
      <c r="B172">
        <v>220089910</v>
      </c>
      <c r="C172" s="7" t="s">
        <v>1147</v>
      </c>
      <c r="D172">
        <v>115</v>
      </c>
      <c r="E172">
        <v>0</v>
      </c>
      <c r="F172">
        <v>20</v>
      </c>
      <c r="G172">
        <v>24</v>
      </c>
      <c r="H172">
        <f t="shared" si="2"/>
        <v>135</v>
      </c>
      <c r="J172">
        <v>14</v>
      </c>
      <c r="K172">
        <v>3</v>
      </c>
    </row>
    <row r="173" spans="2:11" ht="33.75" customHeight="1" x14ac:dyDescent="0.2">
      <c r="B173">
        <v>220089911</v>
      </c>
      <c r="C173" s="7" t="s">
        <v>1150</v>
      </c>
      <c r="D173">
        <v>60</v>
      </c>
      <c r="E173">
        <v>0</v>
      </c>
      <c r="F173">
        <v>0</v>
      </c>
      <c r="G173">
        <v>72</v>
      </c>
      <c r="H173">
        <f t="shared" si="2"/>
        <v>60</v>
      </c>
      <c r="J173">
        <v>7</v>
      </c>
      <c r="K173">
        <v>1</v>
      </c>
    </row>
    <row r="174" spans="2:11" ht="33.75" customHeight="1" x14ac:dyDescent="0.2">
      <c r="B174">
        <v>220178400</v>
      </c>
      <c r="C174" s="7" t="s">
        <v>21</v>
      </c>
      <c r="D174">
        <v>60</v>
      </c>
      <c r="E174">
        <v>32</v>
      </c>
      <c r="F174">
        <v>30</v>
      </c>
      <c r="G174">
        <v>89</v>
      </c>
      <c r="H174">
        <f t="shared" si="2"/>
        <v>122</v>
      </c>
      <c r="J174">
        <v>15</v>
      </c>
      <c r="K174">
        <v>4</v>
      </c>
    </row>
    <row r="175" spans="2:11" ht="33.75" customHeight="1" x14ac:dyDescent="0.2">
      <c r="B175">
        <v>260061100</v>
      </c>
      <c r="C175" t="s">
        <v>3011</v>
      </c>
      <c r="D175">
        <v>98</v>
      </c>
      <c r="E175">
        <v>72</v>
      </c>
      <c r="F175">
        <v>76</v>
      </c>
      <c r="G175">
        <v>67</v>
      </c>
      <c r="H175">
        <f t="shared" si="2"/>
        <v>246</v>
      </c>
      <c r="J175">
        <v>18</v>
      </c>
      <c r="K175">
        <v>4</v>
      </c>
    </row>
    <row r="176" spans="2:11" ht="33.75" customHeight="1" x14ac:dyDescent="0.2">
      <c r="B176">
        <v>260061101</v>
      </c>
      <c r="C176" t="s">
        <v>3011</v>
      </c>
      <c r="D176">
        <v>30</v>
      </c>
      <c r="E176">
        <v>28</v>
      </c>
      <c r="F176">
        <v>24</v>
      </c>
      <c r="G176">
        <v>25</v>
      </c>
      <c r="H176">
        <f t="shared" si="2"/>
        <v>82</v>
      </c>
      <c r="J176">
        <v>15</v>
      </c>
      <c r="K176">
        <v>3</v>
      </c>
    </row>
    <row r="177" spans="2:11" ht="33.75" customHeight="1" x14ac:dyDescent="0.2">
      <c r="B177">
        <v>300029300</v>
      </c>
      <c r="C177" s="7" t="s">
        <v>468</v>
      </c>
      <c r="D177">
        <v>65</v>
      </c>
      <c r="E177">
        <v>48</v>
      </c>
      <c r="F177">
        <v>40</v>
      </c>
      <c r="G177">
        <v>47</v>
      </c>
      <c r="H177">
        <f t="shared" si="2"/>
        <v>153</v>
      </c>
      <c r="J177">
        <v>36</v>
      </c>
      <c r="K177">
        <v>9</v>
      </c>
    </row>
    <row r="178" spans="2:11" ht="33.75" customHeight="1" x14ac:dyDescent="0.2">
      <c r="B178">
        <v>300078400</v>
      </c>
      <c r="C178" s="7" t="s">
        <v>980</v>
      </c>
      <c r="D178">
        <v>72</v>
      </c>
      <c r="E178">
        <v>73</v>
      </c>
      <c r="F178">
        <v>55</v>
      </c>
      <c r="G178">
        <v>38</v>
      </c>
      <c r="H178">
        <f t="shared" si="2"/>
        <v>200</v>
      </c>
      <c r="J178">
        <v>27</v>
      </c>
      <c r="K178">
        <v>7</v>
      </c>
    </row>
    <row r="179" spans="2:11" ht="33.75" customHeight="1" x14ac:dyDescent="0.2">
      <c r="B179">
        <v>300122100</v>
      </c>
      <c r="C179" s="7" t="s">
        <v>1317</v>
      </c>
      <c r="D179">
        <v>48</v>
      </c>
      <c r="E179">
        <v>20</v>
      </c>
      <c r="F179">
        <v>25</v>
      </c>
      <c r="G179">
        <v>20</v>
      </c>
      <c r="H179">
        <f t="shared" si="2"/>
        <v>93</v>
      </c>
      <c r="J179">
        <v>33</v>
      </c>
      <c r="K179">
        <v>6</v>
      </c>
    </row>
    <row r="180" spans="2:11" ht="33.75" customHeight="1" x14ac:dyDescent="0.2">
      <c r="B180">
        <v>300129700</v>
      </c>
      <c r="C180" s="7" t="s">
        <v>1382</v>
      </c>
      <c r="D180">
        <v>0</v>
      </c>
      <c r="E180">
        <v>0</v>
      </c>
      <c r="F180">
        <v>44</v>
      </c>
      <c r="G180">
        <v>28</v>
      </c>
      <c r="H180">
        <f t="shared" si="2"/>
        <v>44</v>
      </c>
      <c r="J180">
        <v>9</v>
      </c>
      <c r="K180">
        <v>4</v>
      </c>
    </row>
    <row r="181" spans="2:11" ht="33.75" customHeight="1" x14ac:dyDescent="0.2">
      <c r="B181">
        <v>300148300</v>
      </c>
      <c r="C181" s="7" t="s">
        <v>1773</v>
      </c>
      <c r="D181">
        <v>38</v>
      </c>
      <c r="E181">
        <v>40</v>
      </c>
      <c r="F181">
        <v>24</v>
      </c>
      <c r="G181">
        <v>9</v>
      </c>
      <c r="H181">
        <f t="shared" si="2"/>
        <v>102</v>
      </c>
      <c r="J181">
        <v>21</v>
      </c>
      <c r="K181">
        <v>6</v>
      </c>
    </row>
    <row r="182" spans="2:11" ht="33.75" customHeight="1" x14ac:dyDescent="0.2">
      <c r="B182">
        <v>300152300</v>
      </c>
      <c r="C182" s="7" t="s">
        <v>1507</v>
      </c>
      <c r="D182">
        <v>83</v>
      </c>
      <c r="E182">
        <v>54</v>
      </c>
      <c r="F182">
        <v>25</v>
      </c>
      <c r="G182">
        <v>36</v>
      </c>
      <c r="H182">
        <f t="shared" si="2"/>
        <v>162</v>
      </c>
      <c r="J182">
        <v>23</v>
      </c>
      <c r="K182">
        <v>5</v>
      </c>
    </row>
    <row r="183" spans="2:11" ht="33.75" customHeight="1" x14ac:dyDescent="0.2">
      <c r="B183">
        <v>300155100</v>
      </c>
      <c r="C183" s="7" t="s">
        <v>1391</v>
      </c>
      <c r="D183">
        <v>62</v>
      </c>
      <c r="E183">
        <v>58</v>
      </c>
      <c r="F183">
        <v>54</v>
      </c>
      <c r="G183">
        <v>26</v>
      </c>
      <c r="H183">
        <f t="shared" si="2"/>
        <v>174</v>
      </c>
      <c r="J183">
        <v>28</v>
      </c>
      <c r="K183">
        <v>12</v>
      </c>
    </row>
    <row r="184" spans="2:11" ht="33.75" customHeight="1" x14ac:dyDescent="0.2">
      <c r="B184">
        <v>300164300</v>
      </c>
      <c r="C184" s="7" t="s">
        <v>2088</v>
      </c>
      <c r="D184">
        <v>0</v>
      </c>
      <c r="E184">
        <v>79</v>
      </c>
      <c r="F184">
        <v>112</v>
      </c>
      <c r="G184">
        <v>52</v>
      </c>
      <c r="H184">
        <f t="shared" si="2"/>
        <v>191</v>
      </c>
      <c r="J184">
        <v>20</v>
      </c>
      <c r="K184">
        <v>10</v>
      </c>
    </row>
    <row r="185" spans="2:11" ht="33.75" customHeight="1" x14ac:dyDescent="0.2">
      <c r="B185">
        <v>300173900</v>
      </c>
      <c r="C185" s="7" t="s">
        <v>1474</v>
      </c>
      <c r="D185">
        <v>113</v>
      </c>
      <c r="E185">
        <v>105</v>
      </c>
      <c r="F185">
        <v>121</v>
      </c>
      <c r="G185">
        <v>61</v>
      </c>
      <c r="H185">
        <f t="shared" si="2"/>
        <v>339</v>
      </c>
      <c r="J185">
        <v>20</v>
      </c>
      <c r="K185">
        <v>6</v>
      </c>
    </row>
    <row r="186" spans="2:11" ht="33.75" customHeight="1" x14ac:dyDescent="0.2">
      <c r="B186">
        <v>300178300</v>
      </c>
      <c r="C186" s="7" t="s">
        <v>1012</v>
      </c>
      <c r="D186">
        <v>47</v>
      </c>
      <c r="E186">
        <v>23</v>
      </c>
      <c r="F186">
        <v>25</v>
      </c>
      <c r="G186">
        <v>34</v>
      </c>
      <c r="H186">
        <f t="shared" si="2"/>
        <v>95</v>
      </c>
      <c r="J186">
        <v>11</v>
      </c>
      <c r="K186">
        <v>7</v>
      </c>
    </row>
    <row r="187" spans="2:11" ht="33.75" customHeight="1" x14ac:dyDescent="0.2">
      <c r="B187">
        <v>300185800</v>
      </c>
      <c r="C187" s="7" t="s">
        <v>1428</v>
      </c>
      <c r="D187">
        <v>36</v>
      </c>
      <c r="E187">
        <v>37</v>
      </c>
      <c r="F187">
        <v>35</v>
      </c>
      <c r="G187">
        <v>38</v>
      </c>
      <c r="H187">
        <f t="shared" si="2"/>
        <v>108</v>
      </c>
      <c r="J187">
        <v>21</v>
      </c>
      <c r="K187">
        <v>3</v>
      </c>
    </row>
    <row r="188" spans="2:11" ht="33.75" customHeight="1" x14ac:dyDescent="0.2">
      <c r="B188">
        <v>300201100</v>
      </c>
      <c r="C188" s="7" t="s">
        <v>2339</v>
      </c>
      <c r="D188">
        <v>161</v>
      </c>
      <c r="E188">
        <v>55</v>
      </c>
      <c r="F188">
        <v>53</v>
      </c>
      <c r="G188">
        <v>46</v>
      </c>
      <c r="H188">
        <f t="shared" si="2"/>
        <v>269</v>
      </c>
      <c r="J188">
        <v>36</v>
      </c>
      <c r="K188">
        <v>9</v>
      </c>
    </row>
    <row r="189" spans="2:11" ht="33.75" customHeight="1" x14ac:dyDescent="0.2">
      <c r="B189">
        <v>300251300</v>
      </c>
      <c r="C189" s="7" t="s">
        <v>174</v>
      </c>
      <c r="D189">
        <v>45</v>
      </c>
      <c r="E189">
        <v>40</v>
      </c>
      <c r="F189">
        <v>32</v>
      </c>
      <c r="G189">
        <v>19</v>
      </c>
      <c r="H189">
        <f t="shared" si="2"/>
        <v>117</v>
      </c>
      <c r="J189">
        <v>21</v>
      </c>
      <c r="K189">
        <v>4</v>
      </c>
    </row>
    <row r="190" spans="2:11" ht="33.75" customHeight="1" x14ac:dyDescent="0.2">
      <c r="B190">
        <v>300306900</v>
      </c>
      <c r="C190" s="7" t="s">
        <v>996</v>
      </c>
      <c r="D190">
        <v>41</v>
      </c>
      <c r="E190">
        <v>38</v>
      </c>
      <c r="F190">
        <v>30</v>
      </c>
      <c r="G190">
        <v>16</v>
      </c>
      <c r="H190">
        <f t="shared" si="2"/>
        <v>109</v>
      </c>
      <c r="J190">
        <v>21</v>
      </c>
      <c r="K190">
        <v>3</v>
      </c>
    </row>
    <row r="191" spans="2:11" ht="33.75" customHeight="1" x14ac:dyDescent="0.2">
      <c r="B191">
        <v>300312900</v>
      </c>
      <c r="C191" s="7" t="s">
        <v>2271</v>
      </c>
      <c r="D191">
        <v>98</v>
      </c>
      <c r="E191">
        <v>0</v>
      </c>
      <c r="F191">
        <v>0</v>
      </c>
      <c r="G191">
        <v>0</v>
      </c>
      <c r="H191">
        <f t="shared" si="2"/>
        <v>98</v>
      </c>
      <c r="J191">
        <v>12</v>
      </c>
      <c r="K191">
        <v>4</v>
      </c>
    </row>
    <row r="192" spans="2:11" ht="33.75" customHeight="1" x14ac:dyDescent="0.2">
      <c r="B192">
        <v>300348800</v>
      </c>
      <c r="C192" s="7" t="s">
        <v>2130</v>
      </c>
      <c r="D192">
        <v>61</v>
      </c>
      <c r="E192">
        <v>58</v>
      </c>
      <c r="F192">
        <v>47</v>
      </c>
      <c r="G192">
        <v>0</v>
      </c>
      <c r="H192">
        <f t="shared" si="2"/>
        <v>166</v>
      </c>
      <c r="J192">
        <v>25</v>
      </c>
      <c r="K192">
        <v>4</v>
      </c>
    </row>
    <row r="193" spans="2:11" ht="33.75" customHeight="1" x14ac:dyDescent="0.2">
      <c r="B193">
        <v>380035200</v>
      </c>
      <c r="C193" s="7" t="s">
        <v>1513</v>
      </c>
      <c r="D193">
        <v>43</v>
      </c>
      <c r="E193">
        <v>41</v>
      </c>
      <c r="F193">
        <v>0</v>
      </c>
      <c r="G193">
        <v>0</v>
      </c>
      <c r="H193">
        <f t="shared" si="2"/>
        <v>84</v>
      </c>
      <c r="J193">
        <v>14</v>
      </c>
      <c r="K193">
        <v>2</v>
      </c>
    </row>
    <row r="194" spans="2:11" ht="33.75" customHeight="1" x14ac:dyDescent="0.2">
      <c r="B194">
        <v>380052001</v>
      </c>
      <c r="C194" s="7" t="s">
        <v>2427</v>
      </c>
      <c r="D194">
        <v>44</v>
      </c>
      <c r="E194">
        <v>65</v>
      </c>
      <c r="F194">
        <v>51</v>
      </c>
      <c r="G194">
        <v>0</v>
      </c>
      <c r="H194">
        <f t="shared" si="2"/>
        <v>160</v>
      </c>
      <c r="J194">
        <v>17</v>
      </c>
      <c r="K194">
        <v>3</v>
      </c>
    </row>
    <row r="195" spans="2:11" ht="33.75" customHeight="1" x14ac:dyDescent="0.2">
      <c r="B195">
        <v>380081400</v>
      </c>
      <c r="C195" s="7" t="s">
        <v>1723</v>
      </c>
      <c r="D195">
        <v>325</v>
      </c>
      <c r="E195">
        <v>426</v>
      </c>
      <c r="F195">
        <v>288</v>
      </c>
      <c r="G195">
        <v>52</v>
      </c>
      <c r="H195">
        <f t="shared" ref="H195:H257" si="3">SUM(D195:F195)</f>
        <v>1039</v>
      </c>
      <c r="J195">
        <v>27</v>
      </c>
      <c r="K195">
        <v>3</v>
      </c>
    </row>
    <row r="196" spans="2:11" ht="33.75" customHeight="1" x14ac:dyDescent="0.2">
      <c r="B196">
        <v>380081401</v>
      </c>
      <c r="C196" s="7" t="s">
        <v>2343</v>
      </c>
      <c r="D196">
        <v>120</v>
      </c>
      <c r="E196">
        <v>128</v>
      </c>
      <c r="F196">
        <v>0</v>
      </c>
      <c r="G196">
        <v>44</v>
      </c>
      <c r="H196">
        <f t="shared" si="3"/>
        <v>248</v>
      </c>
      <c r="J196">
        <v>14</v>
      </c>
      <c r="K196">
        <v>3</v>
      </c>
    </row>
    <row r="197" spans="2:11" ht="33.75" customHeight="1" x14ac:dyDescent="0.2">
      <c r="B197">
        <v>380081402</v>
      </c>
      <c r="C197" s="7" t="s">
        <v>2046</v>
      </c>
      <c r="D197">
        <v>76</v>
      </c>
      <c r="E197">
        <v>67</v>
      </c>
      <c r="F197">
        <v>0</v>
      </c>
      <c r="G197">
        <v>23</v>
      </c>
      <c r="H197">
        <f t="shared" si="3"/>
        <v>143</v>
      </c>
      <c r="J197">
        <v>12</v>
      </c>
      <c r="K197">
        <v>2</v>
      </c>
    </row>
    <row r="198" spans="2:11" ht="33.75" customHeight="1" x14ac:dyDescent="0.2">
      <c r="B198">
        <v>380097800</v>
      </c>
      <c r="C198" s="7" t="s">
        <v>1362</v>
      </c>
      <c r="D198">
        <v>93</v>
      </c>
      <c r="E198">
        <v>157</v>
      </c>
      <c r="F198">
        <v>0</v>
      </c>
      <c r="G198">
        <v>75</v>
      </c>
      <c r="H198">
        <f t="shared" si="3"/>
        <v>250</v>
      </c>
      <c r="J198">
        <v>17</v>
      </c>
      <c r="K198">
        <v>4</v>
      </c>
    </row>
    <row r="199" spans="2:11" ht="33.75" customHeight="1" x14ac:dyDescent="0.2">
      <c r="B199">
        <v>380098400</v>
      </c>
      <c r="C199" s="7" t="s">
        <v>1868</v>
      </c>
      <c r="D199">
        <v>35</v>
      </c>
      <c r="E199">
        <v>35</v>
      </c>
      <c r="F199">
        <v>50</v>
      </c>
      <c r="G199">
        <v>3</v>
      </c>
      <c r="H199">
        <f t="shared" si="3"/>
        <v>120</v>
      </c>
      <c r="J199">
        <v>20</v>
      </c>
      <c r="K199">
        <v>5</v>
      </c>
    </row>
    <row r="200" spans="2:11" ht="33.75" customHeight="1" x14ac:dyDescent="0.2">
      <c r="B200">
        <v>500124000</v>
      </c>
      <c r="C200" s="7" t="s">
        <v>1158</v>
      </c>
      <c r="D200">
        <v>66</v>
      </c>
      <c r="E200">
        <v>53</v>
      </c>
      <c r="F200">
        <v>65</v>
      </c>
      <c r="G200">
        <v>15</v>
      </c>
      <c r="H200">
        <f t="shared" si="3"/>
        <v>184</v>
      </c>
      <c r="J200">
        <v>42</v>
      </c>
      <c r="K200">
        <v>5</v>
      </c>
    </row>
    <row r="201" spans="2:11" ht="33.75" customHeight="1" x14ac:dyDescent="0.2">
      <c r="B201">
        <v>500124001</v>
      </c>
      <c r="C201" s="7" t="s">
        <v>2134</v>
      </c>
      <c r="D201">
        <v>59</v>
      </c>
      <c r="E201">
        <v>47</v>
      </c>
      <c r="F201">
        <v>53</v>
      </c>
      <c r="G201">
        <v>23</v>
      </c>
      <c r="H201">
        <f t="shared" si="3"/>
        <v>159</v>
      </c>
      <c r="J201">
        <v>24</v>
      </c>
      <c r="K201">
        <v>3</v>
      </c>
    </row>
    <row r="202" spans="2:11" ht="33.75" customHeight="1" x14ac:dyDescent="0.2">
      <c r="B202">
        <v>500124002</v>
      </c>
      <c r="C202" s="7" t="s">
        <v>1884</v>
      </c>
      <c r="D202">
        <v>134</v>
      </c>
      <c r="E202">
        <v>83</v>
      </c>
      <c r="F202">
        <v>84</v>
      </c>
      <c r="G202">
        <v>36</v>
      </c>
      <c r="H202">
        <f t="shared" si="3"/>
        <v>301</v>
      </c>
      <c r="J202">
        <v>43</v>
      </c>
      <c r="K202">
        <v>6</v>
      </c>
    </row>
    <row r="203" spans="2:11" ht="33.75" customHeight="1" x14ac:dyDescent="0.2">
      <c r="B203">
        <v>500124003</v>
      </c>
      <c r="C203" s="7" t="s">
        <v>2136</v>
      </c>
      <c r="D203">
        <v>50</v>
      </c>
      <c r="E203">
        <v>49</v>
      </c>
      <c r="F203">
        <v>58</v>
      </c>
      <c r="G203">
        <v>23</v>
      </c>
      <c r="H203">
        <f t="shared" si="3"/>
        <v>157</v>
      </c>
      <c r="J203">
        <v>21</v>
      </c>
      <c r="K203">
        <v>3</v>
      </c>
    </row>
    <row r="204" spans="2:11" ht="33.75" customHeight="1" x14ac:dyDescent="0.2">
      <c r="B204">
        <v>500124004</v>
      </c>
      <c r="C204" s="7" t="s">
        <v>1191</v>
      </c>
      <c r="D204">
        <v>63</v>
      </c>
      <c r="E204">
        <v>55</v>
      </c>
      <c r="F204">
        <v>45</v>
      </c>
      <c r="G204">
        <v>18</v>
      </c>
      <c r="H204">
        <f t="shared" si="3"/>
        <v>163</v>
      </c>
      <c r="J204">
        <v>23</v>
      </c>
      <c r="K204">
        <v>3</v>
      </c>
    </row>
    <row r="205" spans="2:11" ht="33.75" customHeight="1" x14ac:dyDescent="0.2">
      <c r="B205">
        <v>500124006</v>
      </c>
      <c r="C205" s="7" t="s">
        <v>1196</v>
      </c>
      <c r="D205">
        <v>77</v>
      </c>
      <c r="E205">
        <v>43</v>
      </c>
      <c r="F205">
        <v>36</v>
      </c>
      <c r="G205">
        <v>9</v>
      </c>
      <c r="H205">
        <f t="shared" si="3"/>
        <v>156</v>
      </c>
      <c r="J205">
        <v>19</v>
      </c>
      <c r="K205">
        <v>3</v>
      </c>
    </row>
    <row r="206" spans="2:11" ht="33.75" customHeight="1" x14ac:dyDescent="0.2">
      <c r="B206">
        <v>500124007</v>
      </c>
      <c r="C206" s="7" t="s">
        <v>1203</v>
      </c>
      <c r="D206">
        <v>42</v>
      </c>
      <c r="E206">
        <v>52</v>
      </c>
      <c r="F206">
        <v>45</v>
      </c>
      <c r="G206">
        <v>16</v>
      </c>
      <c r="H206">
        <f t="shared" si="3"/>
        <v>139</v>
      </c>
      <c r="J206">
        <v>24</v>
      </c>
      <c r="K206">
        <v>3</v>
      </c>
    </row>
    <row r="207" spans="2:11" ht="33.75" customHeight="1" x14ac:dyDescent="0.2">
      <c r="B207">
        <v>500124009</v>
      </c>
      <c r="C207" s="7" t="s">
        <v>1215</v>
      </c>
      <c r="D207">
        <v>49</v>
      </c>
      <c r="E207">
        <v>52</v>
      </c>
      <c r="F207">
        <v>76</v>
      </c>
      <c r="G207">
        <v>23</v>
      </c>
      <c r="H207">
        <f t="shared" si="3"/>
        <v>177</v>
      </c>
      <c r="J207">
        <v>18</v>
      </c>
      <c r="K207">
        <v>3</v>
      </c>
    </row>
    <row r="208" spans="2:11" ht="33.75" customHeight="1" x14ac:dyDescent="0.2">
      <c r="B208">
        <v>500132400</v>
      </c>
      <c r="C208" s="7" t="s">
        <v>302</v>
      </c>
      <c r="D208">
        <v>94</v>
      </c>
      <c r="E208">
        <v>56</v>
      </c>
      <c r="F208">
        <v>56</v>
      </c>
      <c r="G208">
        <v>56</v>
      </c>
      <c r="H208">
        <f t="shared" si="3"/>
        <v>206</v>
      </c>
      <c r="J208">
        <v>24</v>
      </c>
      <c r="K208">
        <v>4</v>
      </c>
    </row>
    <row r="209" spans="2:11" ht="33.75" customHeight="1" x14ac:dyDescent="0.2">
      <c r="B209">
        <v>500134800</v>
      </c>
      <c r="C209" s="7" t="s">
        <v>876</v>
      </c>
      <c r="D209">
        <v>57</v>
      </c>
      <c r="E209">
        <v>53</v>
      </c>
      <c r="F209">
        <v>62</v>
      </c>
      <c r="G209">
        <v>34</v>
      </c>
      <c r="H209">
        <f t="shared" si="3"/>
        <v>172</v>
      </c>
      <c r="J209">
        <v>24</v>
      </c>
      <c r="K209">
        <v>3</v>
      </c>
    </row>
    <row r="210" spans="2:11" ht="33.75" customHeight="1" x14ac:dyDescent="0.2">
      <c r="B210">
        <v>500180400</v>
      </c>
      <c r="C210" s="7" t="s">
        <v>565</v>
      </c>
      <c r="D210">
        <v>300</v>
      </c>
      <c r="E210">
        <v>200</v>
      </c>
      <c r="F210">
        <v>250</v>
      </c>
      <c r="G210">
        <v>178</v>
      </c>
      <c r="H210">
        <f t="shared" si="3"/>
        <v>750</v>
      </c>
      <c r="J210">
        <v>25</v>
      </c>
      <c r="K210">
        <v>15</v>
      </c>
    </row>
    <row r="211" spans="2:11" ht="33.75" customHeight="1" x14ac:dyDescent="0.2">
      <c r="B211">
        <v>500180401</v>
      </c>
      <c r="C211" s="7" t="s">
        <v>568</v>
      </c>
      <c r="D211">
        <v>90</v>
      </c>
      <c r="E211">
        <v>100</v>
      </c>
      <c r="F211">
        <v>78</v>
      </c>
      <c r="G211">
        <v>52</v>
      </c>
      <c r="H211">
        <f t="shared" si="3"/>
        <v>268</v>
      </c>
      <c r="J211">
        <v>25</v>
      </c>
      <c r="K211">
        <v>15</v>
      </c>
    </row>
    <row r="212" spans="2:11" ht="33.75" customHeight="1" x14ac:dyDescent="0.2">
      <c r="B212">
        <v>500180402</v>
      </c>
      <c r="C212" s="7" t="s">
        <v>572</v>
      </c>
      <c r="D212">
        <v>98</v>
      </c>
      <c r="E212">
        <v>56</v>
      </c>
      <c r="F212">
        <v>44</v>
      </c>
      <c r="G212">
        <v>25</v>
      </c>
      <c r="H212">
        <f t="shared" si="3"/>
        <v>198</v>
      </c>
      <c r="J212">
        <v>25</v>
      </c>
      <c r="K212">
        <v>15</v>
      </c>
    </row>
    <row r="213" spans="2:11" ht="33.75" customHeight="1" x14ac:dyDescent="0.2">
      <c r="B213">
        <v>500180404</v>
      </c>
      <c r="C213" s="7" t="s">
        <v>575</v>
      </c>
      <c r="D213">
        <v>40</v>
      </c>
      <c r="E213">
        <v>27</v>
      </c>
      <c r="F213">
        <v>27</v>
      </c>
      <c r="G213">
        <v>20</v>
      </c>
      <c r="H213">
        <f t="shared" si="3"/>
        <v>94</v>
      </c>
      <c r="J213">
        <v>25</v>
      </c>
      <c r="K213">
        <v>15</v>
      </c>
    </row>
    <row r="214" spans="2:11" ht="33.75" customHeight="1" x14ac:dyDescent="0.2">
      <c r="B214">
        <v>500180406</v>
      </c>
      <c r="C214" s="7" t="s">
        <v>577</v>
      </c>
      <c r="D214">
        <v>34</v>
      </c>
      <c r="E214">
        <v>32</v>
      </c>
      <c r="F214">
        <v>31</v>
      </c>
      <c r="G214">
        <v>19</v>
      </c>
      <c r="H214">
        <f t="shared" si="3"/>
        <v>97</v>
      </c>
      <c r="J214">
        <v>25</v>
      </c>
      <c r="K214">
        <v>15</v>
      </c>
    </row>
    <row r="215" spans="2:11" ht="33.75" customHeight="1" x14ac:dyDescent="0.2">
      <c r="B215">
        <v>500180407</v>
      </c>
      <c r="C215" s="7" t="s">
        <v>579</v>
      </c>
      <c r="D215">
        <v>50</v>
      </c>
      <c r="E215">
        <v>50</v>
      </c>
      <c r="F215">
        <v>0</v>
      </c>
      <c r="G215">
        <v>26</v>
      </c>
      <c r="H215">
        <f t="shared" si="3"/>
        <v>100</v>
      </c>
      <c r="J215">
        <v>15</v>
      </c>
      <c r="K215">
        <v>10</v>
      </c>
    </row>
    <row r="216" spans="2:11" ht="33.75" customHeight="1" x14ac:dyDescent="0.2">
      <c r="B216">
        <v>500221200</v>
      </c>
      <c r="C216" s="7" t="s">
        <v>2398</v>
      </c>
      <c r="D216">
        <v>169</v>
      </c>
      <c r="E216">
        <v>114</v>
      </c>
      <c r="F216">
        <v>73</v>
      </c>
      <c r="G216">
        <v>32</v>
      </c>
      <c r="H216">
        <f t="shared" si="3"/>
        <v>356</v>
      </c>
      <c r="J216">
        <v>36</v>
      </c>
      <c r="K216">
        <v>10</v>
      </c>
    </row>
    <row r="217" spans="2:11" ht="33.75" customHeight="1" x14ac:dyDescent="0.2">
      <c r="B217">
        <v>500224900</v>
      </c>
      <c r="C217" s="7" t="s">
        <v>2095</v>
      </c>
      <c r="D217">
        <v>64</v>
      </c>
      <c r="E217">
        <v>69</v>
      </c>
      <c r="F217">
        <v>44</v>
      </c>
      <c r="G217">
        <v>49</v>
      </c>
      <c r="H217">
        <f t="shared" si="3"/>
        <v>177</v>
      </c>
      <c r="J217">
        <v>13</v>
      </c>
      <c r="K217">
        <v>4</v>
      </c>
    </row>
    <row r="218" spans="2:11" ht="33.75" customHeight="1" x14ac:dyDescent="0.2">
      <c r="B218">
        <v>500238900</v>
      </c>
      <c r="C218" s="7" t="s">
        <v>538</v>
      </c>
      <c r="D218">
        <v>62</v>
      </c>
      <c r="E218">
        <v>47</v>
      </c>
      <c r="F218">
        <v>35</v>
      </c>
      <c r="G218">
        <v>40</v>
      </c>
      <c r="H218">
        <f t="shared" si="3"/>
        <v>144</v>
      </c>
      <c r="J218">
        <v>24</v>
      </c>
      <c r="K218">
        <v>5</v>
      </c>
    </row>
    <row r="219" spans="2:11" ht="33.75" customHeight="1" x14ac:dyDescent="0.2">
      <c r="B219">
        <v>540027900</v>
      </c>
      <c r="C219" s="7" t="s">
        <v>243</v>
      </c>
      <c r="D219">
        <v>72</v>
      </c>
      <c r="E219">
        <v>46</v>
      </c>
      <c r="F219">
        <v>35</v>
      </c>
      <c r="G219">
        <v>19</v>
      </c>
      <c r="H219">
        <f t="shared" si="3"/>
        <v>153</v>
      </c>
      <c r="J219">
        <v>14</v>
      </c>
      <c r="K219">
        <v>5</v>
      </c>
    </row>
    <row r="220" spans="2:11" ht="33.75" customHeight="1" x14ac:dyDescent="0.2">
      <c r="B220">
        <v>540153300</v>
      </c>
      <c r="C220" s="7" t="s">
        <v>12</v>
      </c>
      <c r="D220">
        <v>50</v>
      </c>
      <c r="E220">
        <v>0</v>
      </c>
      <c r="F220">
        <v>0</v>
      </c>
      <c r="G220">
        <v>64</v>
      </c>
      <c r="H220">
        <f t="shared" si="3"/>
        <v>50</v>
      </c>
      <c r="J220">
        <v>15</v>
      </c>
      <c r="K220">
        <v>2</v>
      </c>
    </row>
    <row r="221" spans="2:11" ht="33.75" customHeight="1" x14ac:dyDescent="0.2">
      <c r="B221">
        <v>540186600</v>
      </c>
      <c r="C221" s="7" t="s">
        <v>0</v>
      </c>
      <c r="D221">
        <v>117</v>
      </c>
      <c r="E221">
        <v>42</v>
      </c>
      <c r="F221">
        <v>62</v>
      </c>
      <c r="G221">
        <v>47</v>
      </c>
      <c r="H221">
        <f t="shared" si="3"/>
        <v>221</v>
      </c>
      <c r="J221">
        <v>16</v>
      </c>
      <c r="K221">
        <v>3</v>
      </c>
    </row>
    <row r="222" spans="2:11" ht="33.75" customHeight="1" x14ac:dyDescent="0.2">
      <c r="B222">
        <v>540207800</v>
      </c>
      <c r="C222" s="7" t="s">
        <v>584</v>
      </c>
      <c r="D222">
        <v>329</v>
      </c>
      <c r="E222">
        <v>160</v>
      </c>
      <c r="F222">
        <v>143</v>
      </c>
      <c r="G222">
        <v>0</v>
      </c>
      <c r="H222">
        <f t="shared" si="3"/>
        <v>632</v>
      </c>
      <c r="J222">
        <v>26</v>
      </c>
      <c r="K222">
        <v>12</v>
      </c>
    </row>
    <row r="223" spans="2:11" ht="33.75" customHeight="1" x14ac:dyDescent="0.2">
      <c r="B223">
        <v>580075500</v>
      </c>
      <c r="C223" s="7" t="s">
        <v>323</v>
      </c>
      <c r="D223">
        <v>137</v>
      </c>
      <c r="E223">
        <v>79</v>
      </c>
      <c r="F223">
        <v>61</v>
      </c>
      <c r="G223">
        <v>47</v>
      </c>
      <c r="H223">
        <f t="shared" si="3"/>
        <v>277</v>
      </c>
      <c r="J223">
        <v>16</v>
      </c>
      <c r="K223">
        <v>9</v>
      </c>
    </row>
    <row r="224" spans="2:11" ht="33.75" customHeight="1" x14ac:dyDescent="0.2">
      <c r="B224">
        <v>580108100</v>
      </c>
      <c r="C224" s="7" t="s">
        <v>446</v>
      </c>
      <c r="D224">
        <v>103</v>
      </c>
      <c r="E224">
        <v>215</v>
      </c>
      <c r="F224">
        <v>91</v>
      </c>
      <c r="G224">
        <v>61</v>
      </c>
      <c r="H224">
        <f t="shared" si="3"/>
        <v>409</v>
      </c>
      <c r="J224">
        <v>38</v>
      </c>
      <c r="K224">
        <v>23</v>
      </c>
    </row>
    <row r="225" spans="2:11" ht="33.75" customHeight="1" x14ac:dyDescent="0.2">
      <c r="B225">
        <v>580131900</v>
      </c>
      <c r="C225" s="7" t="s">
        <v>1077</v>
      </c>
      <c r="D225">
        <v>130</v>
      </c>
      <c r="E225">
        <v>0</v>
      </c>
      <c r="F225">
        <v>0</v>
      </c>
      <c r="G225">
        <v>0</v>
      </c>
      <c r="H225">
        <f t="shared" si="3"/>
        <v>130</v>
      </c>
      <c r="J225">
        <v>16</v>
      </c>
      <c r="K225">
        <v>3</v>
      </c>
    </row>
    <row r="226" spans="2:11" ht="33.75" customHeight="1" x14ac:dyDescent="0.2">
      <c r="B226">
        <v>620100300</v>
      </c>
      <c r="C226" s="7" t="s">
        <v>1816</v>
      </c>
      <c r="D226">
        <v>27</v>
      </c>
      <c r="E226">
        <v>25</v>
      </c>
      <c r="F226">
        <v>25</v>
      </c>
      <c r="G226">
        <v>20</v>
      </c>
      <c r="H226">
        <f t="shared" si="3"/>
        <v>77</v>
      </c>
      <c r="J226">
        <v>16</v>
      </c>
      <c r="K226">
        <v>4</v>
      </c>
    </row>
    <row r="227" spans="2:11" ht="33.75" customHeight="1" x14ac:dyDescent="0.2">
      <c r="B227">
        <v>620100301</v>
      </c>
      <c r="C227" s="7" t="s">
        <v>1841</v>
      </c>
      <c r="D227">
        <v>13</v>
      </c>
      <c r="E227">
        <v>13</v>
      </c>
      <c r="F227">
        <v>25</v>
      </c>
      <c r="G227">
        <v>12</v>
      </c>
      <c r="H227">
        <f t="shared" si="3"/>
        <v>51</v>
      </c>
      <c r="J227">
        <v>9</v>
      </c>
      <c r="K227">
        <v>2</v>
      </c>
    </row>
    <row r="228" spans="2:11" ht="33.75" customHeight="1" x14ac:dyDescent="0.2">
      <c r="B228">
        <v>620100302</v>
      </c>
      <c r="C228" s="7" t="s">
        <v>1821</v>
      </c>
      <c r="D228">
        <v>33</v>
      </c>
      <c r="E228">
        <v>27</v>
      </c>
      <c r="F228">
        <v>36</v>
      </c>
      <c r="G228">
        <v>14</v>
      </c>
      <c r="H228">
        <f t="shared" si="3"/>
        <v>96</v>
      </c>
      <c r="J228">
        <v>15</v>
      </c>
      <c r="K228">
        <v>2</v>
      </c>
    </row>
    <row r="229" spans="2:11" ht="33.75" customHeight="1" x14ac:dyDescent="0.2">
      <c r="B229">
        <v>620100305</v>
      </c>
      <c r="C229" s="7" t="s">
        <v>1825</v>
      </c>
      <c r="D229">
        <v>0</v>
      </c>
      <c r="E229">
        <v>12</v>
      </c>
      <c r="F229">
        <v>13</v>
      </c>
      <c r="G229">
        <v>16</v>
      </c>
      <c r="H229">
        <f t="shared" si="3"/>
        <v>25</v>
      </c>
      <c r="J229">
        <v>9</v>
      </c>
      <c r="K229">
        <v>2</v>
      </c>
    </row>
    <row r="230" spans="2:11" ht="33.75" customHeight="1" x14ac:dyDescent="0.2">
      <c r="B230">
        <v>620100306</v>
      </c>
      <c r="C230" s="7" t="s">
        <v>1831</v>
      </c>
      <c r="D230">
        <v>0</v>
      </c>
      <c r="E230">
        <v>0</v>
      </c>
      <c r="F230">
        <v>0</v>
      </c>
      <c r="G230">
        <v>17</v>
      </c>
      <c r="H230">
        <f t="shared" si="3"/>
        <v>0</v>
      </c>
      <c r="J230">
        <v>5</v>
      </c>
      <c r="K230">
        <v>2</v>
      </c>
    </row>
    <row r="231" spans="2:11" ht="33.75" customHeight="1" x14ac:dyDescent="0.2">
      <c r="B231">
        <v>660057600</v>
      </c>
      <c r="C231" s="7" t="s">
        <v>1256</v>
      </c>
      <c r="D231">
        <v>88</v>
      </c>
      <c r="E231">
        <v>40</v>
      </c>
      <c r="F231">
        <v>12</v>
      </c>
      <c r="G231">
        <v>10</v>
      </c>
      <c r="H231">
        <f t="shared" si="3"/>
        <v>140</v>
      </c>
      <c r="J231">
        <v>17</v>
      </c>
      <c r="K231">
        <v>6</v>
      </c>
    </row>
    <row r="232" spans="2:11" ht="33.75" customHeight="1" x14ac:dyDescent="0.2">
      <c r="B232">
        <v>660063300</v>
      </c>
      <c r="C232" s="7" t="s">
        <v>2006</v>
      </c>
      <c r="D232">
        <v>251</v>
      </c>
      <c r="E232">
        <v>207</v>
      </c>
      <c r="F232">
        <v>251</v>
      </c>
      <c r="G232">
        <v>165</v>
      </c>
      <c r="H232">
        <f t="shared" si="3"/>
        <v>709</v>
      </c>
      <c r="J232">
        <v>66</v>
      </c>
      <c r="K232">
        <v>33</v>
      </c>
    </row>
    <row r="233" spans="2:11" ht="33.75" customHeight="1" x14ac:dyDescent="0.2">
      <c r="B233">
        <v>660117400</v>
      </c>
      <c r="C233" s="7" t="s">
        <v>1988</v>
      </c>
      <c r="D233">
        <v>210</v>
      </c>
      <c r="E233">
        <v>245</v>
      </c>
      <c r="F233">
        <v>236</v>
      </c>
      <c r="G233">
        <v>125</v>
      </c>
      <c r="H233">
        <f t="shared" si="3"/>
        <v>691</v>
      </c>
      <c r="J233">
        <v>44</v>
      </c>
      <c r="K233">
        <v>36</v>
      </c>
    </row>
    <row r="234" spans="2:11" ht="33.75" customHeight="1" x14ac:dyDescent="0.2">
      <c r="B234">
        <v>660117401</v>
      </c>
      <c r="C234" t="s">
        <v>2958</v>
      </c>
      <c r="D234">
        <v>181</v>
      </c>
      <c r="E234">
        <v>140</v>
      </c>
      <c r="F234">
        <v>130</v>
      </c>
      <c r="G234">
        <v>107</v>
      </c>
      <c r="H234">
        <f t="shared" si="3"/>
        <v>451</v>
      </c>
      <c r="J234">
        <v>24</v>
      </c>
      <c r="K234">
        <v>20</v>
      </c>
    </row>
    <row r="235" spans="2:11" ht="33.75" customHeight="1" x14ac:dyDescent="0.2">
      <c r="B235">
        <v>660117402</v>
      </c>
      <c r="C235" t="s">
        <v>2965</v>
      </c>
      <c r="D235">
        <v>55</v>
      </c>
      <c r="E235">
        <v>44</v>
      </c>
      <c r="F235">
        <v>71</v>
      </c>
      <c r="G235">
        <v>32</v>
      </c>
      <c r="H235">
        <f t="shared" si="3"/>
        <v>170</v>
      </c>
      <c r="J235">
        <v>25</v>
      </c>
      <c r="K235">
        <v>18</v>
      </c>
    </row>
    <row r="236" spans="2:11" ht="33.75" customHeight="1" x14ac:dyDescent="0.2">
      <c r="B236">
        <v>660117403</v>
      </c>
      <c r="C236" t="s">
        <v>2971</v>
      </c>
      <c r="D236">
        <v>143</v>
      </c>
      <c r="E236">
        <v>121</v>
      </c>
      <c r="F236">
        <v>118</v>
      </c>
      <c r="G236">
        <v>22</v>
      </c>
      <c r="H236">
        <f t="shared" si="3"/>
        <v>382</v>
      </c>
      <c r="J236">
        <v>40</v>
      </c>
      <c r="K236">
        <v>22</v>
      </c>
    </row>
    <row r="237" spans="2:11" ht="33.75" customHeight="1" x14ac:dyDescent="0.2">
      <c r="B237">
        <v>660117404</v>
      </c>
      <c r="C237" t="s">
        <v>2977</v>
      </c>
      <c r="D237">
        <v>47</v>
      </c>
      <c r="E237">
        <v>46</v>
      </c>
      <c r="F237">
        <v>57</v>
      </c>
      <c r="G237">
        <v>20</v>
      </c>
      <c r="H237">
        <f t="shared" si="3"/>
        <v>150</v>
      </c>
      <c r="J237">
        <v>26</v>
      </c>
      <c r="K237">
        <v>18</v>
      </c>
    </row>
    <row r="238" spans="2:11" ht="33.75" customHeight="1" x14ac:dyDescent="0.2">
      <c r="B238">
        <v>660117405</v>
      </c>
      <c r="C238" t="s">
        <v>2986</v>
      </c>
      <c r="D238">
        <v>47</v>
      </c>
      <c r="E238">
        <v>46</v>
      </c>
      <c r="F238">
        <v>57</v>
      </c>
      <c r="G238">
        <v>20</v>
      </c>
      <c r="H238">
        <f t="shared" si="3"/>
        <v>150</v>
      </c>
      <c r="J238">
        <v>16</v>
      </c>
      <c r="K238">
        <v>10</v>
      </c>
    </row>
    <row r="239" spans="2:11" ht="33.75" customHeight="1" x14ac:dyDescent="0.2">
      <c r="B239">
        <v>660117408</v>
      </c>
      <c r="C239" t="s">
        <v>2989</v>
      </c>
      <c r="D239">
        <v>50</v>
      </c>
      <c r="E239">
        <v>40</v>
      </c>
      <c r="F239">
        <v>66</v>
      </c>
      <c r="G239">
        <v>36</v>
      </c>
      <c r="H239">
        <f t="shared" si="3"/>
        <v>156</v>
      </c>
      <c r="J239">
        <v>35</v>
      </c>
      <c r="K239">
        <v>23</v>
      </c>
    </row>
    <row r="240" spans="2:11" ht="33.75" customHeight="1" x14ac:dyDescent="0.2">
      <c r="B240">
        <v>660117410</v>
      </c>
      <c r="C240" t="s">
        <v>2994</v>
      </c>
      <c r="D240">
        <v>51</v>
      </c>
      <c r="E240">
        <v>27</v>
      </c>
      <c r="F240">
        <v>43</v>
      </c>
      <c r="G240">
        <v>34</v>
      </c>
      <c r="H240">
        <f t="shared" si="3"/>
        <v>121</v>
      </c>
      <c r="J240">
        <v>21</v>
      </c>
      <c r="K240">
        <v>14</v>
      </c>
    </row>
    <row r="241" spans="2:11" ht="33.75" customHeight="1" x14ac:dyDescent="0.2">
      <c r="B241">
        <v>660150700</v>
      </c>
      <c r="C241" s="7" t="s">
        <v>2123</v>
      </c>
      <c r="D241">
        <v>0</v>
      </c>
      <c r="E241">
        <v>48</v>
      </c>
      <c r="F241">
        <v>51</v>
      </c>
      <c r="G241">
        <v>10</v>
      </c>
      <c r="H241">
        <f t="shared" si="3"/>
        <v>99</v>
      </c>
      <c r="J241">
        <v>10</v>
      </c>
      <c r="K241">
        <v>1</v>
      </c>
    </row>
    <row r="242" spans="2:11" ht="33.75" customHeight="1" x14ac:dyDescent="0.2">
      <c r="B242">
        <v>820033500</v>
      </c>
      <c r="C242" s="7" t="s">
        <v>592</v>
      </c>
      <c r="D242">
        <v>56</v>
      </c>
      <c r="E242">
        <v>39</v>
      </c>
      <c r="F242">
        <v>28</v>
      </c>
      <c r="G242">
        <v>15</v>
      </c>
      <c r="H242">
        <f t="shared" si="3"/>
        <v>123</v>
      </c>
      <c r="J242">
        <v>11</v>
      </c>
      <c r="K242">
        <v>2</v>
      </c>
    </row>
    <row r="243" spans="2:11" ht="33.75" customHeight="1" x14ac:dyDescent="0.2">
      <c r="B243">
        <v>820061900</v>
      </c>
      <c r="C243" s="7" t="s">
        <v>40</v>
      </c>
      <c r="D243">
        <v>40</v>
      </c>
      <c r="E243">
        <v>42</v>
      </c>
      <c r="F243">
        <v>35</v>
      </c>
      <c r="G243">
        <v>16</v>
      </c>
      <c r="H243">
        <f t="shared" si="3"/>
        <v>117</v>
      </c>
      <c r="J243">
        <v>14</v>
      </c>
      <c r="K243">
        <v>4</v>
      </c>
    </row>
    <row r="244" spans="2:11" ht="33.75" customHeight="1" x14ac:dyDescent="0.2">
      <c r="B244">
        <v>820061901</v>
      </c>
      <c r="C244" s="7" t="s">
        <v>46</v>
      </c>
      <c r="D244">
        <v>110</v>
      </c>
      <c r="E244">
        <v>84</v>
      </c>
      <c r="F244">
        <v>77</v>
      </c>
      <c r="G244">
        <v>17</v>
      </c>
      <c r="H244">
        <f t="shared" si="3"/>
        <v>271</v>
      </c>
      <c r="J244">
        <v>40</v>
      </c>
      <c r="K244">
        <v>10</v>
      </c>
    </row>
    <row r="245" spans="2:11" ht="33.75" customHeight="1" x14ac:dyDescent="0.2">
      <c r="B245">
        <v>820104900</v>
      </c>
      <c r="C245" s="7" t="s">
        <v>1999</v>
      </c>
      <c r="D245">
        <v>44</v>
      </c>
      <c r="E245">
        <v>89</v>
      </c>
      <c r="F245">
        <v>3</v>
      </c>
      <c r="G245">
        <v>18</v>
      </c>
      <c r="H245">
        <f t="shared" si="3"/>
        <v>136</v>
      </c>
      <c r="J245">
        <v>13</v>
      </c>
      <c r="K245">
        <v>6</v>
      </c>
    </row>
    <row r="246" spans="2:11" ht="33.75" customHeight="1" x14ac:dyDescent="0.2">
      <c r="B246">
        <v>820188400</v>
      </c>
      <c r="C246" s="7" t="s">
        <v>525</v>
      </c>
      <c r="D246">
        <v>237</v>
      </c>
      <c r="E246">
        <v>108</v>
      </c>
      <c r="F246">
        <v>141</v>
      </c>
      <c r="G246">
        <v>103</v>
      </c>
      <c r="H246">
        <f t="shared" si="3"/>
        <v>486</v>
      </c>
      <c r="J246">
        <v>69</v>
      </c>
      <c r="K246">
        <v>17</v>
      </c>
    </row>
    <row r="247" spans="2:11" ht="33.75" customHeight="1" x14ac:dyDescent="0.2">
      <c r="B247">
        <v>820188401</v>
      </c>
      <c r="C247" s="7" t="s">
        <v>82</v>
      </c>
      <c r="D247">
        <v>43</v>
      </c>
      <c r="E247">
        <v>33</v>
      </c>
      <c r="F247">
        <v>30</v>
      </c>
      <c r="G247">
        <v>17</v>
      </c>
      <c r="H247">
        <f t="shared" si="3"/>
        <v>106</v>
      </c>
      <c r="J247">
        <v>16</v>
      </c>
      <c r="K247">
        <v>4</v>
      </c>
    </row>
    <row r="248" spans="2:11" ht="33.75" customHeight="1" x14ac:dyDescent="0.2">
      <c r="B248">
        <v>820188402</v>
      </c>
      <c r="C248" s="7" t="s">
        <v>2455</v>
      </c>
      <c r="D248">
        <v>44</v>
      </c>
      <c r="E248">
        <v>26</v>
      </c>
      <c r="F248">
        <v>30</v>
      </c>
      <c r="G248">
        <v>30</v>
      </c>
      <c r="H248">
        <f t="shared" si="3"/>
        <v>100</v>
      </c>
      <c r="J248">
        <v>14</v>
      </c>
      <c r="K248">
        <v>4</v>
      </c>
    </row>
    <row r="249" spans="2:11" ht="33.75" customHeight="1" x14ac:dyDescent="0.2">
      <c r="B249">
        <v>820208400</v>
      </c>
      <c r="C249" s="7" t="s">
        <v>1084</v>
      </c>
      <c r="D249">
        <v>60</v>
      </c>
      <c r="E249">
        <v>62</v>
      </c>
      <c r="F249">
        <v>35</v>
      </c>
      <c r="G249">
        <v>13</v>
      </c>
      <c r="H249">
        <f t="shared" si="3"/>
        <v>157</v>
      </c>
      <c r="J249">
        <v>30</v>
      </c>
      <c r="K249">
        <v>4</v>
      </c>
    </row>
    <row r="250" spans="2:11" ht="33.75" customHeight="1" x14ac:dyDescent="0.2">
      <c r="B250">
        <v>820240200</v>
      </c>
      <c r="C250" s="7" t="s">
        <v>1031</v>
      </c>
      <c r="D250">
        <v>81</v>
      </c>
      <c r="E250">
        <v>58</v>
      </c>
      <c r="F250">
        <v>40</v>
      </c>
      <c r="G250">
        <v>35</v>
      </c>
      <c r="H250">
        <f t="shared" si="3"/>
        <v>179</v>
      </c>
      <c r="J250">
        <v>44</v>
      </c>
      <c r="K250">
        <v>9</v>
      </c>
    </row>
    <row r="251" spans="2:11" ht="33.75" customHeight="1" x14ac:dyDescent="0.2">
      <c r="B251">
        <v>820250700</v>
      </c>
      <c r="C251" s="7" t="s">
        <v>29</v>
      </c>
      <c r="D251">
        <v>95</v>
      </c>
      <c r="E251">
        <v>40</v>
      </c>
      <c r="F251">
        <v>65</v>
      </c>
      <c r="G251">
        <v>27</v>
      </c>
      <c r="H251">
        <f t="shared" si="3"/>
        <v>200</v>
      </c>
      <c r="J251">
        <v>18</v>
      </c>
      <c r="K251">
        <v>6</v>
      </c>
    </row>
    <row r="252" spans="2:11" ht="33.75" customHeight="1" x14ac:dyDescent="0.2">
      <c r="B252">
        <v>820252400</v>
      </c>
      <c r="C252" s="7" t="s">
        <v>622</v>
      </c>
      <c r="D252">
        <v>130</v>
      </c>
      <c r="E252">
        <v>98</v>
      </c>
      <c r="F252">
        <v>80</v>
      </c>
      <c r="G252">
        <v>32</v>
      </c>
      <c r="H252">
        <f t="shared" si="3"/>
        <v>308</v>
      </c>
      <c r="J252">
        <v>23</v>
      </c>
      <c r="K252">
        <v>5</v>
      </c>
    </row>
    <row r="253" spans="2:11" ht="33.75" customHeight="1" x14ac:dyDescent="0.2">
      <c r="B253">
        <v>820375600</v>
      </c>
      <c r="C253" s="7" t="s">
        <v>612</v>
      </c>
      <c r="D253">
        <v>70</v>
      </c>
      <c r="E253">
        <v>55</v>
      </c>
      <c r="F253">
        <v>42</v>
      </c>
      <c r="G253">
        <v>20</v>
      </c>
      <c r="H253">
        <f t="shared" si="3"/>
        <v>167</v>
      </c>
      <c r="J253">
        <v>15</v>
      </c>
      <c r="K253">
        <v>3</v>
      </c>
    </row>
    <row r="254" spans="2:11" ht="33.75" customHeight="1" x14ac:dyDescent="0.2">
      <c r="B254">
        <v>820381400</v>
      </c>
      <c r="C254" s="7" t="s">
        <v>52</v>
      </c>
      <c r="D254">
        <v>51</v>
      </c>
      <c r="E254">
        <v>34</v>
      </c>
      <c r="F254">
        <v>29</v>
      </c>
      <c r="G254">
        <v>31</v>
      </c>
      <c r="H254">
        <f t="shared" si="3"/>
        <v>114</v>
      </c>
      <c r="J254">
        <v>16</v>
      </c>
      <c r="K254">
        <v>3</v>
      </c>
    </row>
    <row r="255" spans="2:11" ht="33.75" customHeight="1" x14ac:dyDescent="0.2">
      <c r="B255">
        <v>820396700</v>
      </c>
      <c r="C255" s="7" t="s">
        <v>2381</v>
      </c>
      <c r="D255">
        <v>17</v>
      </c>
      <c r="E255">
        <v>29</v>
      </c>
      <c r="F255">
        <v>35</v>
      </c>
      <c r="G255">
        <v>13</v>
      </c>
      <c r="H255">
        <f t="shared" si="3"/>
        <v>81</v>
      </c>
      <c r="J255">
        <v>16</v>
      </c>
      <c r="K255">
        <v>3</v>
      </c>
    </row>
    <row r="256" spans="2:11" ht="33.75" customHeight="1" x14ac:dyDescent="0.2">
      <c r="B256">
        <v>820412100</v>
      </c>
      <c r="C256" s="7" t="s">
        <v>208</v>
      </c>
      <c r="D256">
        <v>220</v>
      </c>
      <c r="E256">
        <v>180</v>
      </c>
      <c r="F256">
        <v>90</v>
      </c>
      <c r="G256">
        <v>32</v>
      </c>
      <c r="H256">
        <f t="shared" si="3"/>
        <v>490</v>
      </c>
      <c r="J256">
        <v>26</v>
      </c>
      <c r="K256">
        <v>8</v>
      </c>
    </row>
    <row r="257" spans="2:11" ht="33.75" customHeight="1" x14ac:dyDescent="0.2">
      <c r="B257">
        <v>820413900</v>
      </c>
      <c r="C257" s="7" t="s">
        <v>456</v>
      </c>
      <c r="D257">
        <v>67</v>
      </c>
      <c r="E257">
        <v>51</v>
      </c>
      <c r="F257">
        <v>39</v>
      </c>
      <c r="G257">
        <v>32</v>
      </c>
      <c r="H257">
        <f t="shared" si="3"/>
        <v>157</v>
      </c>
      <c r="J257">
        <v>24</v>
      </c>
      <c r="K257">
        <v>7</v>
      </c>
    </row>
    <row r="258" spans="2:11" ht="33.75" customHeight="1" x14ac:dyDescent="0.2">
      <c r="B258">
        <v>820442800</v>
      </c>
      <c r="C258" s="7" t="s">
        <v>902</v>
      </c>
      <c r="D258">
        <v>138</v>
      </c>
      <c r="E258">
        <v>94</v>
      </c>
      <c r="F258">
        <v>83</v>
      </c>
      <c r="G258">
        <v>68</v>
      </c>
      <c r="H258">
        <f t="shared" ref="H258:H294" si="4">SUM(D258:F258)</f>
        <v>315</v>
      </c>
      <c r="J258">
        <v>29</v>
      </c>
      <c r="K258">
        <v>17</v>
      </c>
    </row>
    <row r="259" spans="2:11" ht="33.75" customHeight="1" x14ac:dyDescent="0.2">
      <c r="B259">
        <v>820443000</v>
      </c>
      <c r="C259" s="7" t="s">
        <v>601</v>
      </c>
      <c r="D259">
        <v>77</v>
      </c>
      <c r="E259">
        <v>72</v>
      </c>
      <c r="F259">
        <v>63</v>
      </c>
      <c r="G259">
        <v>44</v>
      </c>
      <c r="H259">
        <f t="shared" si="4"/>
        <v>212</v>
      </c>
      <c r="J259">
        <v>23</v>
      </c>
      <c r="K259">
        <v>10</v>
      </c>
    </row>
    <row r="260" spans="2:11" ht="33.75" customHeight="1" x14ac:dyDescent="0.2">
      <c r="B260">
        <v>820443100</v>
      </c>
      <c r="C260" s="7" t="s">
        <v>668</v>
      </c>
      <c r="D260">
        <v>94</v>
      </c>
      <c r="E260">
        <v>57</v>
      </c>
      <c r="F260">
        <v>83</v>
      </c>
      <c r="G260">
        <v>60</v>
      </c>
      <c r="H260">
        <f t="shared" si="4"/>
        <v>234</v>
      </c>
      <c r="J260">
        <v>48</v>
      </c>
      <c r="K260">
        <v>34</v>
      </c>
    </row>
    <row r="261" spans="2:11" ht="33.75" customHeight="1" x14ac:dyDescent="0.2">
      <c r="B261">
        <v>820443200</v>
      </c>
      <c r="C261" s="7" t="s">
        <v>2358</v>
      </c>
      <c r="D261">
        <v>0</v>
      </c>
      <c r="E261">
        <v>0</v>
      </c>
      <c r="F261">
        <v>21</v>
      </c>
      <c r="G261">
        <v>0</v>
      </c>
      <c r="H261">
        <f t="shared" si="4"/>
        <v>21</v>
      </c>
      <c r="J261">
        <v>7</v>
      </c>
      <c r="K261">
        <v>5</v>
      </c>
    </row>
    <row r="262" spans="2:11" ht="33.75" customHeight="1" x14ac:dyDescent="0.2">
      <c r="B262">
        <v>820455600</v>
      </c>
      <c r="C262" s="7" t="s">
        <v>1050</v>
      </c>
      <c r="D262">
        <v>36</v>
      </c>
      <c r="E262">
        <v>33</v>
      </c>
      <c r="F262">
        <v>28</v>
      </c>
      <c r="G262">
        <v>27</v>
      </c>
      <c r="H262">
        <f t="shared" si="4"/>
        <v>97</v>
      </c>
      <c r="J262">
        <v>25</v>
      </c>
      <c r="K262">
        <v>15</v>
      </c>
    </row>
    <row r="263" spans="2:11" ht="33.75" customHeight="1" x14ac:dyDescent="0.2">
      <c r="B263">
        <v>820460400</v>
      </c>
      <c r="C263" s="7" t="s">
        <v>722</v>
      </c>
      <c r="D263">
        <v>0</v>
      </c>
      <c r="E263">
        <v>25</v>
      </c>
      <c r="F263">
        <v>30</v>
      </c>
      <c r="G263">
        <v>4</v>
      </c>
      <c r="H263">
        <f t="shared" si="4"/>
        <v>55</v>
      </c>
      <c r="J263">
        <v>14</v>
      </c>
      <c r="K263">
        <v>9</v>
      </c>
    </row>
    <row r="264" spans="2:11" ht="33.75" customHeight="1" x14ac:dyDescent="0.2">
      <c r="B264">
        <v>820462100</v>
      </c>
      <c r="C264" s="7" t="s">
        <v>629</v>
      </c>
      <c r="D264">
        <v>60</v>
      </c>
      <c r="E264">
        <v>25</v>
      </c>
      <c r="F264">
        <v>35</v>
      </c>
      <c r="G264">
        <v>27</v>
      </c>
      <c r="H264">
        <f t="shared" si="4"/>
        <v>120</v>
      </c>
      <c r="J264">
        <v>22</v>
      </c>
      <c r="K264">
        <v>16</v>
      </c>
    </row>
    <row r="265" spans="2:11" ht="33.75" customHeight="1" x14ac:dyDescent="0.2">
      <c r="B265">
        <v>820468100</v>
      </c>
      <c r="C265" s="7" t="s">
        <v>972</v>
      </c>
      <c r="D265">
        <v>87</v>
      </c>
      <c r="E265">
        <v>73</v>
      </c>
      <c r="F265">
        <v>58</v>
      </c>
      <c r="G265">
        <v>10</v>
      </c>
      <c r="H265">
        <f t="shared" si="4"/>
        <v>218</v>
      </c>
      <c r="J265">
        <v>15</v>
      </c>
      <c r="K265">
        <v>4</v>
      </c>
    </row>
    <row r="266" spans="2:11" ht="33.75" customHeight="1" x14ac:dyDescent="0.2">
      <c r="B266">
        <v>820468200</v>
      </c>
      <c r="C266" s="7" t="s">
        <v>608</v>
      </c>
      <c r="D266">
        <v>330</v>
      </c>
      <c r="E266">
        <v>181</v>
      </c>
      <c r="F266">
        <v>103</v>
      </c>
      <c r="G266">
        <v>54</v>
      </c>
      <c r="H266">
        <f t="shared" si="4"/>
        <v>614</v>
      </c>
      <c r="J266">
        <v>60</v>
      </c>
      <c r="K266">
        <v>13</v>
      </c>
    </row>
    <row r="267" spans="2:11" ht="33.75" customHeight="1" x14ac:dyDescent="0.2">
      <c r="B267">
        <v>820471100</v>
      </c>
      <c r="C267" s="7" t="s">
        <v>908</v>
      </c>
      <c r="D267">
        <v>76</v>
      </c>
      <c r="E267">
        <v>49</v>
      </c>
      <c r="F267">
        <v>19</v>
      </c>
      <c r="G267">
        <v>9</v>
      </c>
      <c r="H267">
        <f t="shared" si="4"/>
        <v>144</v>
      </c>
      <c r="J267">
        <v>20</v>
      </c>
      <c r="K267">
        <v>16</v>
      </c>
    </row>
    <row r="268" spans="2:11" ht="33.75" customHeight="1" x14ac:dyDescent="0.2">
      <c r="B268">
        <v>860020601</v>
      </c>
      <c r="C268" s="7" t="s">
        <v>2410</v>
      </c>
      <c r="D268">
        <v>41</v>
      </c>
      <c r="E268">
        <v>49</v>
      </c>
      <c r="F268">
        <v>21</v>
      </c>
      <c r="G268">
        <v>7</v>
      </c>
      <c r="H268">
        <f t="shared" si="4"/>
        <v>111</v>
      </c>
      <c r="J268">
        <v>12</v>
      </c>
      <c r="K268">
        <v>2</v>
      </c>
    </row>
    <row r="269" spans="2:11" ht="33.75" customHeight="1" x14ac:dyDescent="0.2">
      <c r="B269">
        <v>860108800</v>
      </c>
      <c r="C269" s="7" t="s">
        <v>2419</v>
      </c>
      <c r="D269">
        <v>89</v>
      </c>
      <c r="E269">
        <v>74</v>
      </c>
      <c r="F269">
        <v>28</v>
      </c>
      <c r="G269">
        <v>26</v>
      </c>
      <c r="H269">
        <f t="shared" si="4"/>
        <v>191</v>
      </c>
      <c r="J269">
        <v>25</v>
      </c>
      <c r="K269">
        <v>5</v>
      </c>
    </row>
    <row r="270" spans="2:11" ht="33.75" customHeight="1" x14ac:dyDescent="0.2">
      <c r="B270">
        <v>860110700</v>
      </c>
      <c r="C270" s="7" t="s">
        <v>1897</v>
      </c>
      <c r="D270">
        <v>68</v>
      </c>
      <c r="E270">
        <v>39</v>
      </c>
      <c r="F270">
        <v>16</v>
      </c>
      <c r="G270">
        <v>13</v>
      </c>
      <c r="H270">
        <f t="shared" si="4"/>
        <v>123</v>
      </c>
      <c r="J270">
        <v>12</v>
      </c>
      <c r="K270">
        <v>5</v>
      </c>
    </row>
    <row r="271" spans="2:11" ht="33.75" customHeight="1" x14ac:dyDescent="0.2">
      <c r="B271">
        <v>860111800</v>
      </c>
      <c r="C271" t="s">
        <v>2945</v>
      </c>
      <c r="D271">
        <v>35</v>
      </c>
      <c r="E271">
        <v>43</v>
      </c>
      <c r="F271">
        <v>33</v>
      </c>
      <c r="G271">
        <v>12</v>
      </c>
      <c r="H271">
        <f t="shared" si="4"/>
        <v>111</v>
      </c>
      <c r="J271">
        <v>13</v>
      </c>
      <c r="K271">
        <v>3</v>
      </c>
    </row>
    <row r="272" spans="2:11" ht="33.75" customHeight="1" x14ac:dyDescent="0.2">
      <c r="B272">
        <v>860119000</v>
      </c>
      <c r="C272" s="7" t="s">
        <v>2404</v>
      </c>
      <c r="D272">
        <v>70</v>
      </c>
      <c r="E272">
        <v>49</v>
      </c>
      <c r="F272">
        <v>52</v>
      </c>
      <c r="G272">
        <v>12</v>
      </c>
      <c r="H272">
        <f t="shared" si="4"/>
        <v>171</v>
      </c>
      <c r="J272">
        <v>18</v>
      </c>
      <c r="K272">
        <v>3</v>
      </c>
    </row>
    <row r="273" spans="2:11" ht="33.75" customHeight="1" x14ac:dyDescent="0.2">
      <c r="B273" s="30">
        <v>860159700</v>
      </c>
      <c r="C273" s="30" t="s">
        <v>2363</v>
      </c>
      <c r="D273">
        <v>60</v>
      </c>
      <c r="E273">
        <v>69</v>
      </c>
      <c r="F273">
        <v>68</v>
      </c>
      <c r="G273">
        <v>15</v>
      </c>
      <c r="H273">
        <f t="shared" si="4"/>
        <v>197</v>
      </c>
      <c r="J273">
        <v>17</v>
      </c>
      <c r="K273">
        <v>2</v>
      </c>
    </row>
    <row r="274" spans="2:11" ht="33.75" customHeight="1" x14ac:dyDescent="0.2">
      <c r="B274">
        <v>860184700</v>
      </c>
      <c r="C274" t="s">
        <v>2935</v>
      </c>
      <c r="D274">
        <v>50</v>
      </c>
      <c r="E274">
        <v>36</v>
      </c>
      <c r="F274">
        <v>18</v>
      </c>
      <c r="G274">
        <v>36</v>
      </c>
      <c r="H274">
        <f t="shared" si="4"/>
        <v>104</v>
      </c>
      <c r="J274">
        <v>10</v>
      </c>
      <c r="K274">
        <v>2</v>
      </c>
    </row>
    <row r="275" spans="2:11" ht="33.75" customHeight="1" x14ac:dyDescent="0.2">
      <c r="B275">
        <v>860185300</v>
      </c>
      <c r="C275" s="7" t="s">
        <v>2065</v>
      </c>
      <c r="D275">
        <v>131</v>
      </c>
      <c r="E275">
        <v>62</v>
      </c>
      <c r="F275">
        <v>20</v>
      </c>
      <c r="G275">
        <v>3</v>
      </c>
      <c r="H275">
        <f t="shared" si="4"/>
        <v>213</v>
      </c>
      <c r="J275">
        <v>14</v>
      </c>
      <c r="K275">
        <v>4</v>
      </c>
    </row>
    <row r="276" spans="2:11" ht="33.75" customHeight="1" x14ac:dyDescent="0.2">
      <c r="B276">
        <v>860187600</v>
      </c>
      <c r="C276" s="7" t="s">
        <v>2833</v>
      </c>
      <c r="D276">
        <v>45</v>
      </c>
      <c r="E276">
        <v>25</v>
      </c>
      <c r="F276">
        <v>15</v>
      </c>
      <c r="G276">
        <v>5</v>
      </c>
      <c r="H276">
        <f t="shared" si="4"/>
        <v>85</v>
      </c>
      <c r="J276">
        <v>10</v>
      </c>
      <c r="K276">
        <v>4</v>
      </c>
    </row>
    <row r="277" spans="2:11" ht="33.75" customHeight="1" x14ac:dyDescent="0.2">
      <c r="B277">
        <v>860220000</v>
      </c>
      <c r="C277" s="7" t="s">
        <v>2250</v>
      </c>
      <c r="D277">
        <v>48</v>
      </c>
      <c r="E277">
        <v>45</v>
      </c>
      <c r="F277">
        <v>23</v>
      </c>
      <c r="G277">
        <v>9</v>
      </c>
      <c r="H277">
        <f t="shared" si="4"/>
        <v>116</v>
      </c>
      <c r="J277">
        <v>10</v>
      </c>
      <c r="K277">
        <v>7</v>
      </c>
    </row>
    <row r="278" spans="2:11" ht="33.75" customHeight="1" x14ac:dyDescent="0.2">
      <c r="B278">
        <v>900104000</v>
      </c>
      <c r="C278" s="7" t="s">
        <v>1334</v>
      </c>
      <c r="D278">
        <v>360</v>
      </c>
      <c r="E278">
        <v>336</v>
      </c>
      <c r="F278">
        <v>464</v>
      </c>
      <c r="G278">
        <v>158</v>
      </c>
      <c r="H278">
        <f t="shared" si="4"/>
        <v>1160</v>
      </c>
      <c r="J278">
        <v>29</v>
      </c>
      <c r="K278">
        <v>22</v>
      </c>
    </row>
    <row r="279" spans="2:11" ht="33.75" customHeight="1" x14ac:dyDescent="0.2">
      <c r="B279">
        <v>900104001</v>
      </c>
      <c r="C279" s="7" t="s">
        <v>1399</v>
      </c>
      <c r="D279">
        <v>165</v>
      </c>
      <c r="E279">
        <v>108</v>
      </c>
      <c r="F279">
        <v>135</v>
      </c>
      <c r="G279">
        <v>25</v>
      </c>
      <c r="H279">
        <f t="shared" si="4"/>
        <v>408</v>
      </c>
      <c r="J279">
        <v>13</v>
      </c>
      <c r="K279">
        <v>4</v>
      </c>
    </row>
    <row r="280" spans="2:11" ht="33.75" customHeight="1" x14ac:dyDescent="0.2">
      <c r="B280">
        <v>900104002</v>
      </c>
      <c r="C280" s="7" t="s">
        <v>1342</v>
      </c>
      <c r="D280">
        <v>88</v>
      </c>
      <c r="E280">
        <v>61</v>
      </c>
      <c r="F280">
        <v>65</v>
      </c>
      <c r="G280">
        <v>4</v>
      </c>
      <c r="H280">
        <f t="shared" si="4"/>
        <v>214</v>
      </c>
      <c r="J280">
        <v>10</v>
      </c>
      <c r="K280">
        <v>3</v>
      </c>
    </row>
    <row r="281" spans="2:11" ht="33.75" customHeight="1" x14ac:dyDescent="0.2">
      <c r="B281">
        <v>900104003</v>
      </c>
      <c r="C281" s="7" t="s">
        <v>1351</v>
      </c>
      <c r="D281">
        <v>73</v>
      </c>
      <c r="E281">
        <v>79</v>
      </c>
      <c r="F281">
        <v>77</v>
      </c>
      <c r="G281">
        <v>32</v>
      </c>
      <c r="H281">
        <f t="shared" si="4"/>
        <v>229</v>
      </c>
      <c r="J281">
        <v>29</v>
      </c>
      <c r="K281">
        <v>26</v>
      </c>
    </row>
    <row r="282" spans="2:11" ht="33.75" customHeight="1" x14ac:dyDescent="0.2">
      <c r="B282">
        <v>900104004</v>
      </c>
      <c r="C282" s="7" t="s">
        <v>1371</v>
      </c>
      <c r="D282">
        <v>49</v>
      </c>
      <c r="E282">
        <v>69</v>
      </c>
      <c r="F282">
        <v>54</v>
      </c>
      <c r="G282">
        <v>23</v>
      </c>
      <c r="H282">
        <f t="shared" si="4"/>
        <v>172</v>
      </c>
      <c r="J282">
        <v>11</v>
      </c>
      <c r="K282">
        <v>3</v>
      </c>
    </row>
    <row r="283" spans="2:11" ht="33.75" customHeight="1" x14ac:dyDescent="0.2">
      <c r="B283">
        <v>900104005</v>
      </c>
      <c r="C283" s="7" t="s">
        <v>1437</v>
      </c>
      <c r="D283">
        <v>133</v>
      </c>
      <c r="E283">
        <v>79</v>
      </c>
      <c r="F283">
        <v>57</v>
      </c>
      <c r="G283">
        <v>73</v>
      </c>
      <c r="H283">
        <f t="shared" si="4"/>
        <v>269</v>
      </c>
      <c r="J283">
        <v>13</v>
      </c>
      <c r="K283">
        <v>3</v>
      </c>
    </row>
    <row r="284" spans="2:11" ht="33.75" customHeight="1" x14ac:dyDescent="0.2">
      <c r="B284">
        <v>900104006</v>
      </c>
      <c r="C284" s="7" t="s">
        <v>1368</v>
      </c>
      <c r="D284">
        <v>88</v>
      </c>
      <c r="E284">
        <v>78</v>
      </c>
      <c r="F284">
        <v>102</v>
      </c>
      <c r="G284">
        <v>26</v>
      </c>
      <c r="H284">
        <f t="shared" si="4"/>
        <v>268</v>
      </c>
      <c r="J284">
        <v>10</v>
      </c>
      <c r="K284">
        <v>6</v>
      </c>
    </row>
    <row r="285" spans="2:11" ht="33.75" customHeight="1" x14ac:dyDescent="0.2">
      <c r="B285">
        <v>900104007</v>
      </c>
      <c r="C285" s="7" t="s">
        <v>1519</v>
      </c>
      <c r="D285">
        <v>77</v>
      </c>
      <c r="E285">
        <v>107</v>
      </c>
      <c r="F285">
        <v>167</v>
      </c>
      <c r="G285">
        <v>18</v>
      </c>
      <c r="H285">
        <f t="shared" si="4"/>
        <v>351</v>
      </c>
      <c r="J285">
        <v>14</v>
      </c>
      <c r="K285">
        <v>6</v>
      </c>
    </row>
    <row r="286" spans="2:11" ht="33.75" customHeight="1" x14ac:dyDescent="0.2">
      <c r="B286">
        <v>900104008</v>
      </c>
      <c r="C286" s="7" t="s">
        <v>1447</v>
      </c>
      <c r="D286">
        <v>44</v>
      </c>
      <c r="E286">
        <v>27</v>
      </c>
      <c r="F286">
        <v>33</v>
      </c>
      <c r="G286">
        <v>25</v>
      </c>
      <c r="H286">
        <f t="shared" si="4"/>
        <v>104</v>
      </c>
      <c r="J286">
        <v>10</v>
      </c>
      <c r="K286">
        <v>3</v>
      </c>
    </row>
    <row r="287" spans="2:11" ht="33.75" customHeight="1" x14ac:dyDescent="0.2">
      <c r="B287">
        <v>900104009</v>
      </c>
      <c r="C287" s="7" t="s">
        <v>1492</v>
      </c>
      <c r="D287">
        <v>67</v>
      </c>
      <c r="E287">
        <v>53</v>
      </c>
      <c r="F287">
        <v>36</v>
      </c>
      <c r="G287">
        <v>10</v>
      </c>
      <c r="H287">
        <f t="shared" si="4"/>
        <v>156</v>
      </c>
      <c r="J287">
        <v>11</v>
      </c>
      <c r="K287">
        <v>5</v>
      </c>
    </row>
    <row r="288" spans="2:11" ht="33.75" customHeight="1" x14ac:dyDescent="0.2">
      <c r="B288">
        <v>900104010</v>
      </c>
      <c r="C288" s="7" t="s">
        <v>1483</v>
      </c>
      <c r="D288">
        <v>58</v>
      </c>
      <c r="E288">
        <v>36</v>
      </c>
      <c r="F288">
        <v>16</v>
      </c>
      <c r="G288">
        <v>14</v>
      </c>
      <c r="H288">
        <f t="shared" si="4"/>
        <v>110</v>
      </c>
      <c r="J288">
        <v>8</v>
      </c>
      <c r="K288">
        <v>5</v>
      </c>
    </row>
    <row r="289" spans="2:11" ht="33.75" customHeight="1" x14ac:dyDescent="0.2">
      <c r="B289">
        <v>900104011</v>
      </c>
      <c r="C289" s="7" t="s">
        <v>1413</v>
      </c>
      <c r="D289">
        <v>89</v>
      </c>
      <c r="E289">
        <v>76</v>
      </c>
      <c r="F289">
        <v>47</v>
      </c>
      <c r="G289">
        <v>15</v>
      </c>
      <c r="H289">
        <f t="shared" si="4"/>
        <v>212</v>
      </c>
      <c r="J289">
        <v>10</v>
      </c>
      <c r="K289">
        <v>2</v>
      </c>
    </row>
    <row r="290" spans="2:11" ht="33.75" customHeight="1" x14ac:dyDescent="0.2">
      <c r="B290">
        <v>900104012</v>
      </c>
      <c r="C290" s="7" t="s">
        <v>1377</v>
      </c>
      <c r="D290">
        <v>74</v>
      </c>
      <c r="E290">
        <v>72</v>
      </c>
      <c r="F290">
        <v>69</v>
      </c>
      <c r="G290">
        <v>17</v>
      </c>
      <c r="H290">
        <f t="shared" si="4"/>
        <v>215</v>
      </c>
      <c r="J290">
        <v>10</v>
      </c>
      <c r="K290">
        <v>3</v>
      </c>
    </row>
    <row r="291" spans="2:11" ht="33.75" customHeight="1" x14ac:dyDescent="0.2">
      <c r="B291">
        <v>900104013</v>
      </c>
      <c r="C291" s="7" t="s">
        <v>1441</v>
      </c>
      <c r="D291">
        <v>129</v>
      </c>
      <c r="E291">
        <v>102</v>
      </c>
      <c r="F291">
        <v>60</v>
      </c>
      <c r="G291">
        <v>45</v>
      </c>
      <c r="H291">
        <f t="shared" si="4"/>
        <v>291</v>
      </c>
      <c r="J291">
        <v>23</v>
      </c>
      <c r="K291">
        <v>8</v>
      </c>
    </row>
    <row r="292" spans="2:11" ht="33.75" customHeight="1" x14ac:dyDescent="0.2">
      <c r="B292">
        <v>900104014</v>
      </c>
      <c r="C292" s="7" t="s">
        <v>1356</v>
      </c>
      <c r="D292">
        <v>138</v>
      </c>
      <c r="E292">
        <v>147</v>
      </c>
      <c r="F292">
        <v>102</v>
      </c>
      <c r="G292">
        <v>36</v>
      </c>
      <c r="H292">
        <f t="shared" si="4"/>
        <v>387</v>
      </c>
      <c r="J292">
        <v>20</v>
      </c>
      <c r="K292">
        <v>8</v>
      </c>
    </row>
    <row r="293" spans="2:11" ht="33.75" customHeight="1" x14ac:dyDescent="0.2">
      <c r="B293">
        <v>940003200</v>
      </c>
      <c r="C293" s="7" t="s">
        <v>1635</v>
      </c>
      <c r="D293">
        <v>200</v>
      </c>
      <c r="E293">
        <v>118</v>
      </c>
      <c r="F293">
        <v>113</v>
      </c>
      <c r="G293">
        <v>19</v>
      </c>
      <c r="H293">
        <f t="shared" si="4"/>
        <v>431</v>
      </c>
      <c r="J293">
        <v>66</v>
      </c>
      <c r="K293">
        <v>33</v>
      </c>
    </row>
    <row r="294" spans="2:11" ht="33.75" customHeight="1" x14ac:dyDescent="0.2">
      <c r="B294">
        <v>940006500</v>
      </c>
      <c r="C294" s="7" t="s">
        <v>1683</v>
      </c>
      <c r="D294">
        <v>261</v>
      </c>
      <c r="E294">
        <v>137</v>
      </c>
      <c r="F294">
        <v>73</v>
      </c>
      <c r="G294">
        <v>26</v>
      </c>
      <c r="H294">
        <f t="shared" si="4"/>
        <v>471</v>
      </c>
      <c r="J294">
        <v>80</v>
      </c>
      <c r="K294">
        <v>17</v>
      </c>
    </row>
  </sheetData>
  <autoFilter ref="B1:C2" xr:uid="{98BC0D3A-D93C-496A-8360-E3A7BD7A7741}"/>
  <sortState xmlns:xlrd2="http://schemas.microsoft.com/office/spreadsheetml/2017/richdata2" ref="B3:K294">
    <sortCondition ref="B294"/>
  </sortState>
  <mergeCells count="1">
    <mergeCell ref="J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3CBF-1E13-43D4-A221-3C1662827EAC}">
  <sheetPr>
    <tabColor rgb="FF548135"/>
  </sheetPr>
  <dimension ref="A1:BU26"/>
  <sheetViews>
    <sheetView topLeftCell="A13" workbookViewId="0">
      <selection activeCell="B18" sqref="B18"/>
    </sheetView>
  </sheetViews>
  <sheetFormatPr defaultColWidth="14.390625" defaultRowHeight="15" customHeight="1" x14ac:dyDescent="0.2"/>
  <cols>
    <col min="1" max="1" width="11.43359375" style="74" customWidth="1"/>
    <col min="2" max="2" width="88.37890625" style="23" customWidth="1"/>
    <col min="3" max="3" width="18.96484375" style="23" customWidth="1"/>
    <col min="4" max="4" width="19.37109375" style="23" customWidth="1"/>
    <col min="5" max="6" width="17.21875" style="23" customWidth="1"/>
    <col min="7" max="7" width="20.04296875" style="23" customWidth="1"/>
    <col min="8" max="9" width="22.46484375" style="23" customWidth="1"/>
    <col min="10" max="10" width="32.95703125" style="23" customWidth="1"/>
    <col min="11" max="11" width="22.46484375" style="23" customWidth="1"/>
    <col min="12" max="12" width="25.2890625" style="23" customWidth="1"/>
    <col min="13" max="13" width="33.765625" style="23" customWidth="1"/>
    <col min="14" max="14" width="34.70703125" style="23" customWidth="1"/>
    <col min="15" max="15" width="25.421875" style="23" customWidth="1"/>
    <col min="16" max="16" width="30.9375" style="23" customWidth="1"/>
    <col min="17" max="17" width="13.046875" style="23" customWidth="1"/>
    <col min="18" max="18" width="18.6953125" style="23" customWidth="1"/>
    <col min="19" max="19" width="10.35546875" style="23" customWidth="1"/>
    <col min="20" max="20" width="14.66015625" style="23" customWidth="1"/>
    <col min="21" max="21" width="33.8984375" style="23" customWidth="1"/>
    <col min="22" max="22" width="32.95703125" style="23" customWidth="1"/>
    <col min="23" max="23" width="32.6875" style="23" customWidth="1"/>
    <col min="24" max="24" width="16.6796875" style="23" customWidth="1"/>
    <col min="25" max="25" width="22.05859375" style="23" customWidth="1"/>
    <col min="26" max="26" width="13.046875" style="23" customWidth="1"/>
    <col min="27" max="27" width="15.6015625" style="23" customWidth="1"/>
    <col min="28" max="28" width="10.35546875" style="23" customWidth="1"/>
    <col min="29" max="37" width="11.43359375" style="23" customWidth="1"/>
    <col min="38" max="40" width="7.12890625" style="23" customWidth="1"/>
    <col min="41" max="41" width="9.81640625" style="23" customWidth="1"/>
    <col min="42" max="44" width="7.12890625" style="23" customWidth="1"/>
    <col min="45" max="45" width="9.81640625" style="23" customWidth="1"/>
    <col min="46" max="48" width="7.12890625" style="23" customWidth="1"/>
    <col min="49" max="49" width="9.81640625" style="23" customWidth="1"/>
    <col min="50" max="52" width="7.12890625" style="23" customWidth="1"/>
    <col min="53" max="53" width="10.0859375" style="23" customWidth="1"/>
    <col min="54" max="56" width="7.12890625" style="23" customWidth="1"/>
    <col min="57" max="57" width="9.68359375" style="23" customWidth="1"/>
    <col min="58" max="61" width="10.76171875" style="23" customWidth="1"/>
    <col min="62" max="71" width="11.43359375" style="23" customWidth="1"/>
    <col min="72" max="16384" width="14.390625" style="23"/>
  </cols>
  <sheetData>
    <row r="1" spans="1:73" ht="55.5" thickBot="1" x14ac:dyDescent="0.25">
      <c r="A1" s="66" t="s">
        <v>1922</v>
      </c>
      <c r="B1" s="8" t="s">
        <v>1923</v>
      </c>
      <c r="C1" s="9" t="s">
        <v>2457</v>
      </c>
      <c r="D1" s="9" t="s">
        <v>1925</v>
      </c>
      <c r="E1" s="9" t="s">
        <v>1926</v>
      </c>
      <c r="F1" s="9" t="s">
        <v>1928</v>
      </c>
      <c r="G1" s="9" t="s">
        <v>1929</v>
      </c>
      <c r="H1" s="9" t="s">
        <v>1930</v>
      </c>
      <c r="I1" s="10" t="s">
        <v>1931</v>
      </c>
      <c r="J1" s="9" t="s">
        <v>1932</v>
      </c>
      <c r="K1" s="9" t="s">
        <v>2458</v>
      </c>
      <c r="L1" s="10" t="s">
        <v>2459</v>
      </c>
      <c r="M1" s="9" t="s">
        <v>2460</v>
      </c>
      <c r="N1" s="11" t="s">
        <v>2461</v>
      </c>
      <c r="O1" s="10" t="s">
        <v>2462</v>
      </c>
      <c r="P1" s="9" t="s">
        <v>2463</v>
      </c>
      <c r="Q1" s="9" t="s">
        <v>2464</v>
      </c>
      <c r="R1" s="11" t="s">
        <v>2465</v>
      </c>
      <c r="S1" s="11" t="s">
        <v>2466</v>
      </c>
      <c r="T1" s="11" t="s">
        <v>2467</v>
      </c>
      <c r="U1" s="11" t="s">
        <v>2468</v>
      </c>
      <c r="V1" s="11" t="s">
        <v>2469</v>
      </c>
      <c r="W1" s="11" t="s">
        <v>2470</v>
      </c>
      <c r="X1" s="12" t="s">
        <v>2471</v>
      </c>
      <c r="Y1" s="12" t="s">
        <v>2472</v>
      </c>
      <c r="Z1" s="12" t="s">
        <v>2473</v>
      </c>
      <c r="AA1" s="12" t="s">
        <v>2474</v>
      </c>
      <c r="AB1" s="11" t="s">
        <v>2466</v>
      </c>
      <c r="AC1" s="11" t="s">
        <v>2475</v>
      </c>
      <c r="AD1" s="11" t="s">
        <v>2476</v>
      </c>
      <c r="AE1" s="11" t="s">
        <v>2477</v>
      </c>
      <c r="AF1" s="11" t="s">
        <v>2478</v>
      </c>
      <c r="AG1" s="11" t="s">
        <v>2479</v>
      </c>
      <c r="AH1" s="11" t="s">
        <v>2480</v>
      </c>
      <c r="AI1" s="11" t="s">
        <v>2481</v>
      </c>
      <c r="AJ1" s="11" t="s">
        <v>2482</v>
      </c>
      <c r="AK1" s="12" t="s">
        <v>2474</v>
      </c>
      <c r="AL1" s="13" t="s">
        <v>2483</v>
      </c>
      <c r="AM1" s="13" t="s">
        <v>2484</v>
      </c>
      <c r="AN1" s="13" t="s">
        <v>2485</v>
      </c>
      <c r="AO1" s="13" t="s">
        <v>2486</v>
      </c>
      <c r="AP1" s="14" t="s">
        <v>2487</v>
      </c>
      <c r="AQ1" s="14" t="s">
        <v>2488</v>
      </c>
      <c r="AR1" s="14" t="s">
        <v>2489</v>
      </c>
      <c r="AS1" s="14" t="s">
        <v>2490</v>
      </c>
      <c r="AT1" s="15" t="s">
        <v>2491</v>
      </c>
      <c r="AU1" s="15" t="s">
        <v>2492</v>
      </c>
      <c r="AV1" s="15" t="s">
        <v>2493</v>
      </c>
      <c r="AW1" s="15" t="s">
        <v>2494</v>
      </c>
      <c r="AX1" s="16" t="s">
        <v>2495</v>
      </c>
      <c r="AY1" s="16" t="s">
        <v>2496</v>
      </c>
      <c r="AZ1" s="16" t="s">
        <v>2497</v>
      </c>
      <c r="BA1" s="17" t="s">
        <v>2498</v>
      </c>
      <c r="BB1" s="18" t="s">
        <v>2499</v>
      </c>
      <c r="BC1" s="18" t="s">
        <v>2500</v>
      </c>
      <c r="BD1" s="18" t="s">
        <v>2501</v>
      </c>
      <c r="BE1" s="19" t="s">
        <v>2502</v>
      </c>
      <c r="BF1" s="20" t="s">
        <v>2503</v>
      </c>
      <c r="BG1" s="20" t="s">
        <v>2504</v>
      </c>
      <c r="BH1" s="20" t="s">
        <v>2505</v>
      </c>
      <c r="BI1" s="21" t="s">
        <v>2506</v>
      </c>
      <c r="BJ1" s="20" t="s">
        <v>2507</v>
      </c>
      <c r="BK1" s="20" t="s">
        <v>2508</v>
      </c>
      <c r="BL1" s="20" t="s">
        <v>2509</v>
      </c>
      <c r="BM1" s="20" t="s">
        <v>2510</v>
      </c>
      <c r="BN1" s="20" t="s">
        <v>2511</v>
      </c>
      <c r="BO1" s="20" t="s">
        <v>2512</v>
      </c>
      <c r="BP1" s="20" t="s">
        <v>2513</v>
      </c>
      <c r="BQ1" s="20" t="s">
        <v>2514</v>
      </c>
      <c r="BR1" s="20" t="s">
        <v>2515</v>
      </c>
      <c r="BS1" s="22" t="s">
        <v>2516</v>
      </c>
    </row>
    <row r="2" spans="1:73" ht="36" customHeight="1" x14ac:dyDescent="0.2">
      <c r="A2" s="67">
        <v>20237800</v>
      </c>
      <c r="B2" s="32" t="s">
        <v>2517</v>
      </c>
      <c r="C2" s="32" t="s">
        <v>1942</v>
      </c>
      <c r="D2" s="32" t="s">
        <v>1942</v>
      </c>
      <c r="E2" s="32" t="s">
        <v>1942</v>
      </c>
      <c r="F2" s="32">
        <v>1406</v>
      </c>
      <c r="G2" s="32" t="s">
        <v>2518</v>
      </c>
      <c r="H2" s="32" t="s">
        <v>2519</v>
      </c>
      <c r="I2" s="32" t="s">
        <v>2520</v>
      </c>
      <c r="J2" s="32" t="s">
        <v>2521</v>
      </c>
      <c r="K2" s="32" t="s">
        <v>2522</v>
      </c>
      <c r="L2" s="32" t="s">
        <v>2523</v>
      </c>
      <c r="M2" s="32" t="s">
        <v>2524</v>
      </c>
      <c r="N2" s="39" t="s">
        <v>2521</v>
      </c>
      <c r="O2" s="39" t="s">
        <v>2525</v>
      </c>
      <c r="P2" s="39" t="s">
        <v>2526</v>
      </c>
      <c r="Q2" s="32" t="s">
        <v>2527</v>
      </c>
      <c r="R2" s="32" t="s">
        <v>2528</v>
      </c>
      <c r="S2" s="32" t="s">
        <v>2529</v>
      </c>
      <c r="T2" s="32">
        <v>2022</v>
      </c>
      <c r="U2" s="32" t="s">
        <v>2530</v>
      </c>
      <c r="V2" s="32"/>
      <c r="W2" s="32"/>
      <c r="X2" s="51"/>
      <c r="Y2" s="51"/>
      <c r="Z2" s="51"/>
      <c r="AA2" s="51"/>
      <c r="AB2" s="51"/>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row>
    <row r="3" spans="1:73" ht="36" customHeight="1" x14ac:dyDescent="0.2">
      <c r="A3" s="68">
        <v>20288100</v>
      </c>
      <c r="B3" s="32" t="s">
        <v>2531</v>
      </c>
      <c r="C3" s="61" t="s">
        <v>1942</v>
      </c>
      <c r="D3" s="61" t="s">
        <v>1942</v>
      </c>
      <c r="E3" s="61" t="s">
        <v>1942</v>
      </c>
      <c r="F3" s="61">
        <v>1429</v>
      </c>
      <c r="G3" s="61" t="s">
        <v>2518</v>
      </c>
      <c r="H3" s="61" t="s">
        <v>2519</v>
      </c>
      <c r="I3" s="61" t="s">
        <v>2532</v>
      </c>
      <c r="J3" s="61" t="s">
        <v>2533</v>
      </c>
      <c r="K3" s="61" t="s">
        <v>2534</v>
      </c>
      <c r="L3" s="61" t="s">
        <v>2535</v>
      </c>
      <c r="M3" s="61" t="s">
        <v>2536</v>
      </c>
      <c r="N3" s="61" t="s">
        <v>2537</v>
      </c>
      <c r="O3" s="61" t="s">
        <v>2538</v>
      </c>
      <c r="P3" s="53" t="s">
        <v>2539</v>
      </c>
      <c r="Q3" s="53" t="s">
        <v>2540</v>
      </c>
      <c r="R3" s="51" t="s">
        <v>2541</v>
      </c>
      <c r="S3" s="30" t="s">
        <v>2542</v>
      </c>
      <c r="T3" s="51">
        <v>2018</v>
      </c>
      <c r="U3" s="51"/>
      <c r="V3" s="51"/>
      <c r="W3" s="51"/>
      <c r="X3" s="51"/>
      <c r="Y3" s="51"/>
      <c r="Z3" s="51"/>
      <c r="AA3" s="51"/>
      <c r="AB3" s="51"/>
      <c r="AC3" s="51"/>
      <c r="AD3" s="51"/>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row>
    <row r="4" spans="1:73" customFormat="1" ht="45" customHeight="1" x14ac:dyDescent="0.2">
      <c r="A4" s="71">
        <v>60229000</v>
      </c>
      <c r="B4" s="33" t="s">
        <v>2543</v>
      </c>
      <c r="C4" s="36" t="s">
        <v>2544</v>
      </c>
      <c r="D4" s="36" t="s">
        <v>2545</v>
      </c>
      <c r="E4" s="36" t="s">
        <v>2546</v>
      </c>
      <c r="F4" s="36" t="s">
        <v>2518</v>
      </c>
      <c r="G4" s="36" t="s">
        <v>2519</v>
      </c>
      <c r="H4" s="36" t="s">
        <v>2547</v>
      </c>
      <c r="I4" s="36" t="s">
        <v>2548</v>
      </c>
      <c r="J4" s="37" t="s">
        <v>2549</v>
      </c>
      <c r="K4" s="36" t="s">
        <v>2550</v>
      </c>
      <c r="L4" s="36" t="s">
        <v>2551</v>
      </c>
      <c r="M4" s="38" t="s">
        <v>2552</v>
      </c>
      <c r="N4" s="38" t="s">
        <v>2553</v>
      </c>
      <c r="O4" s="38" t="s">
        <v>2554</v>
      </c>
      <c r="P4" s="40">
        <v>0</v>
      </c>
      <c r="Q4" s="28" t="s">
        <v>2334</v>
      </c>
      <c r="R4" s="41">
        <v>0</v>
      </c>
      <c r="S4" s="28"/>
      <c r="T4" s="28">
        <v>2018</v>
      </c>
      <c r="U4" s="28"/>
      <c r="V4" s="28"/>
      <c r="W4" s="42"/>
      <c r="X4" s="27"/>
      <c r="Y4" s="42"/>
      <c r="Z4" s="35"/>
      <c r="AA4" s="36"/>
      <c r="AB4" s="28"/>
      <c r="AC4" s="28"/>
      <c r="AD4" s="28"/>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5"/>
      <c r="BH4" s="26"/>
      <c r="BI4" s="26"/>
      <c r="BJ4" s="26"/>
      <c r="BK4" s="26"/>
      <c r="BL4" s="26"/>
      <c r="BM4" s="26"/>
      <c r="BN4" s="26"/>
      <c r="BO4" s="26"/>
      <c r="BP4" s="26"/>
      <c r="BQ4" s="26"/>
      <c r="BR4" s="26"/>
      <c r="BS4" s="26"/>
      <c r="BT4" s="26"/>
      <c r="BU4" s="27"/>
    </row>
    <row r="5" spans="1:73" s="48" customFormat="1" ht="36" customHeight="1" x14ac:dyDescent="0.2">
      <c r="A5" s="68">
        <v>60596501</v>
      </c>
      <c r="B5" s="32" t="s">
        <v>2555</v>
      </c>
      <c r="C5" s="51" t="s">
        <v>2544</v>
      </c>
      <c r="D5" s="51" t="s">
        <v>1324</v>
      </c>
      <c r="E5" s="51" t="s">
        <v>2556</v>
      </c>
      <c r="F5" s="51">
        <v>7545</v>
      </c>
      <c r="G5" s="51" t="s">
        <v>2557</v>
      </c>
      <c r="H5" s="51" t="s">
        <v>2558</v>
      </c>
      <c r="I5" s="51" t="s">
        <v>2559</v>
      </c>
      <c r="J5" s="51" t="s">
        <v>2560</v>
      </c>
      <c r="K5" s="51" t="s">
        <v>2561</v>
      </c>
      <c r="L5" s="51" t="s">
        <v>2562</v>
      </c>
      <c r="M5" s="51" t="s">
        <v>2563</v>
      </c>
      <c r="N5" s="53" t="s">
        <v>2564</v>
      </c>
      <c r="O5" s="53" t="s">
        <v>2561</v>
      </c>
      <c r="P5" s="53" t="s">
        <v>2562</v>
      </c>
      <c r="Q5" s="51" t="s">
        <v>2563</v>
      </c>
      <c r="R5" s="51" t="s">
        <v>2564</v>
      </c>
      <c r="S5" s="51">
        <v>0</v>
      </c>
      <c r="T5" s="51">
        <v>2023</v>
      </c>
      <c r="U5" s="51"/>
      <c r="V5" s="51"/>
      <c r="W5" s="51"/>
      <c r="X5" s="51"/>
      <c r="Y5" s="51"/>
      <c r="Z5" s="51"/>
      <c r="AA5" s="51"/>
      <c r="AB5" s="51"/>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row>
    <row r="6" spans="1:73" s="48" customFormat="1" ht="36" customHeight="1" x14ac:dyDescent="0.2">
      <c r="A6" s="80">
        <v>60750301</v>
      </c>
      <c r="B6" s="82" t="s">
        <v>2565</v>
      </c>
      <c r="C6" s="84" t="s">
        <v>2544</v>
      </c>
      <c r="D6" s="84" t="s">
        <v>2566</v>
      </c>
      <c r="E6" s="84" t="s">
        <v>925</v>
      </c>
      <c r="F6" s="84" t="s">
        <v>2557</v>
      </c>
      <c r="G6" s="84" t="s">
        <v>2567</v>
      </c>
      <c r="H6" s="84" t="s">
        <v>926</v>
      </c>
      <c r="I6" s="84" t="s">
        <v>2568</v>
      </c>
      <c r="J6" s="86" t="s">
        <v>923</v>
      </c>
      <c r="K6" s="84" t="s">
        <v>927</v>
      </c>
      <c r="L6" s="84" t="s">
        <v>2569</v>
      </c>
      <c r="M6" s="87" t="s">
        <v>2568</v>
      </c>
      <c r="N6" s="87" t="s">
        <v>928</v>
      </c>
      <c r="O6" s="87" t="s">
        <v>2570</v>
      </c>
      <c r="P6" s="88" t="s">
        <v>2571</v>
      </c>
      <c r="Q6" s="90" t="s">
        <v>2572</v>
      </c>
      <c r="R6" s="91" t="s">
        <v>2573</v>
      </c>
      <c r="S6" s="43"/>
      <c r="T6" s="92"/>
      <c r="U6" s="92"/>
      <c r="V6" s="92"/>
      <c r="W6" s="93"/>
      <c r="X6" s="94"/>
      <c r="Y6" s="93"/>
      <c r="Z6" s="95"/>
      <c r="AA6" s="96"/>
      <c r="AB6" s="92"/>
      <c r="AC6" s="92"/>
      <c r="AD6" s="92"/>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5"/>
      <c r="BH6" s="46"/>
      <c r="BI6" s="46"/>
      <c r="BJ6" s="46"/>
      <c r="BK6" s="46"/>
      <c r="BL6" s="46"/>
      <c r="BM6" s="46"/>
      <c r="BN6" s="46"/>
      <c r="BO6" s="46"/>
      <c r="BP6" s="46"/>
      <c r="BQ6" s="46"/>
      <c r="BR6" s="46"/>
      <c r="BS6" s="46"/>
      <c r="BT6" s="46"/>
      <c r="BU6" s="47"/>
    </row>
    <row r="7" spans="1:73" s="48" customFormat="1" ht="36" customHeight="1" x14ac:dyDescent="0.2">
      <c r="A7" s="69">
        <v>60791000</v>
      </c>
      <c r="B7" s="32" t="s">
        <v>2574</v>
      </c>
      <c r="C7" s="34" t="s">
        <v>2544</v>
      </c>
      <c r="D7" s="34" t="s">
        <v>2575</v>
      </c>
      <c r="E7" s="34" t="s">
        <v>2575</v>
      </c>
      <c r="F7" s="34">
        <v>6346</v>
      </c>
      <c r="G7" s="34" t="s">
        <v>2557</v>
      </c>
      <c r="H7" s="34" t="s">
        <v>2558</v>
      </c>
      <c r="I7" s="34" t="s">
        <v>2576</v>
      </c>
      <c r="J7" s="34" t="s">
        <v>2577</v>
      </c>
      <c r="K7" s="34" t="s">
        <v>2578</v>
      </c>
      <c r="L7" s="34" t="s">
        <v>2579</v>
      </c>
      <c r="M7" s="34" t="s">
        <v>2569</v>
      </c>
      <c r="N7" s="34" t="s">
        <v>2577</v>
      </c>
      <c r="O7" s="34" t="s">
        <v>2580</v>
      </c>
      <c r="P7" s="39" t="s">
        <v>2581</v>
      </c>
      <c r="Q7" s="39" t="s">
        <v>2569</v>
      </c>
      <c r="R7" s="32" t="s">
        <v>2577</v>
      </c>
      <c r="S7" s="29">
        <v>0</v>
      </c>
      <c r="T7" s="51">
        <v>2022</v>
      </c>
      <c r="U7" s="32"/>
      <c r="V7" s="32"/>
      <c r="W7" s="51"/>
      <c r="X7" s="51"/>
      <c r="Y7" s="51"/>
      <c r="Z7" s="51"/>
      <c r="AA7" s="51"/>
      <c r="AB7" s="51"/>
      <c r="AC7" s="51"/>
      <c r="AD7" s="51"/>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73" s="30" customFormat="1" ht="29.25" customHeight="1" x14ac:dyDescent="0.2">
      <c r="A8" s="77">
        <v>60972200</v>
      </c>
      <c r="B8" s="29" t="s">
        <v>2582</v>
      </c>
      <c r="C8" s="29" t="s">
        <v>2544</v>
      </c>
      <c r="D8" s="29" t="s">
        <v>2583</v>
      </c>
      <c r="E8" s="29" t="s">
        <v>2583</v>
      </c>
      <c r="F8" s="29">
        <v>7414</v>
      </c>
      <c r="G8" s="29" t="s">
        <v>2557</v>
      </c>
      <c r="H8" s="29" t="s">
        <v>2567</v>
      </c>
      <c r="I8" s="29" t="s">
        <v>2584</v>
      </c>
      <c r="J8" s="29" t="s">
        <v>2585</v>
      </c>
      <c r="K8" s="29" t="s">
        <v>2586</v>
      </c>
      <c r="L8" s="29" t="s">
        <v>2587</v>
      </c>
      <c r="M8" s="29" t="s">
        <v>2569</v>
      </c>
      <c r="N8" s="29" t="s">
        <v>2588</v>
      </c>
      <c r="O8" s="29" t="s">
        <v>2589</v>
      </c>
      <c r="P8" s="29">
        <v>0</v>
      </c>
      <c r="Q8" s="29">
        <v>0</v>
      </c>
      <c r="R8" s="29" t="s">
        <v>2334</v>
      </c>
      <c r="S8" s="29">
        <v>0</v>
      </c>
      <c r="T8" s="29">
        <v>2021</v>
      </c>
      <c r="U8" s="29" t="s">
        <v>2590</v>
      </c>
      <c r="V8" s="29"/>
      <c r="W8" s="29"/>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row>
    <row r="9" spans="1:73" s="30" customFormat="1" ht="30" customHeight="1" x14ac:dyDescent="0.2">
      <c r="A9" s="79">
        <v>61377800</v>
      </c>
      <c r="B9" s="29" t="s">
        <v>2591</v>
      </c>
      <c r="C9" s="29" t="s">
        <v>2544</v>
      </c>
      <c r="D9" s="29" t="s">
        <v>1767</v>
      </c>
      <c r="E9" s="29" t="s">
        <v>1767</v>
      </c>
      <c r="F9" s="29">
        <v>7200</v>
      </c>
      <c r="G9" s="29" t="s">
        <v>2557</v>
      </c>
      <c r="H9" s="29" t="s">
        <v>2567</v>
      </c>
      <c r="I9" s="29" t="s">
        <v>2592</v>
      </c>
      <c r="J9" s="29" t="s">
        <v>2593</v>
      </c>
      <c r="K9" s="29" t="s">
        <v>1771</v>
      </c>
      <c r="L9" s="29" t="s">
        <v>2594</v>
      </c>
      <c r="M9" s="29" t="s">
        <v>2569</v>
      </c>
      <c r="N9" s="29" t="s">
        <v>2593</v>
      </c>
      <c r="O9" s="29" t="s">
        <v>2595</v>
      </c>
      <c r="P9" s="29" t="s">
        <v>2596</v>
      </c>
      <c r="Q9" s="29" t="s">
        <v>2597</v>
      </c>
      <c r="R9" s="29" t="s">
        <v>2598</v>
      </c>
      <c r="S9" s="29" t="s">
        <v>2599</v>
      </c>
      <c r="T9">
        <v>2021</v>
      </c>
      <c r="U9" t="s">
        <v>2600</v>
      </c>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row>
    <row r="10" spans="1:73" s="30" customFormat="1" ht="30" customHeight="1" x14ac:dyDescent="0.2">
      <c r="A10" s="79">
        <v>62327500</v>
      </c>
      <c r="B10" s="29" t="s">
        <v>2601</v>
      </c>
      <c r="C10" s="29" t="s">
        <v>2544</v>
      </c>
      <c r="D10" s="29" t="s">
        <v>2602</v>
      </c>
      <c r="E10" s="29" t="s">
        <v>2603</v>
      </c>
      <c r="F10" s="29">
        <v>1987</v>
      </c>
      <c r="G10" s="29" t="s">
        <v>2557</v>
      </c>
      <c r="H10" s="29" t="s">
        <v>2567</v>
      </c>
      <c r="I10" s="29" t="s">
        <v>2604</v>
      </c>
      <c r="J10" s="29" t="s">
        <v>2605</v>
      </c>
      <c r="K10" s="29" t="s">
        <v>2606</v>
      </c>
      <c r="L10" s="29" t="s">
        <v>2607</v>
      </c>
      <c r="M10" s="29" t="s">
        <v>2551</v>
      </c>
      <c r="N10" s="29" t="s">
        <v>2605</v>
      </c>
      <c r="O10" s="29" t="s">
        <v>2608</v>
      </c>
      <c r="P10" s="29" t="s">
        <v>2609</v>
      </c>
      <c r="Q10" s="29" t="s">
        <v>2610</v>
      </c>
      <c r="R10" s="29" t="s">
        <v>2611</v>
      </c>
      <c r="S10" s="29" t="s">
        <v>2612</v>
      </c>
      <c r="T10">
        <v>2021</v>
      </c>
      <c r="U10" t="s">
        <v>2613</v>
      </c>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row>
    <row r="11" spans="1:73" s="30" customFormat="1" ht="30" customHeight="1" x14ac:dyDescent="0.2">
      <c r="A11" s="56">
        <v>62327600</v>
      </c>
      <c r="B11" s="29" t="s">
        <v>2614</v>
      </c>
      <c r="C11" s="29" t="s">
        <v>2544</v>
      </c>
      <c r="D11" s="29" t="s">
        <v>2615</v>
      </c>
      <c r="E11" s="29" t="s">
        <v>2616</v>
      </c>
      <c r="F11" s="29">
        <v>7245</v>
      </c>
      <c r="G11" s="29" t="s">
        <v>2557</v>
      </c>
      <c r="H11" s="29" t="s">
        <v>2558</v>
      </c>
      <c r="I11" s="29" t="s">
        <v>2617</v>
      </c>
      <c r="J11" s="29" t="s">
        <v>2618</v>
      </c>
      <c r="K11" s="29" t="s">
        <v>789</v>
      </c>
      <c r="L11" s="29" t="s">
        <v>2619</v>
      </c>
      <c r="M11" s="29" t="s">
        <v>2620</v>
      </c>
      <c r="N11" s="29" t="s">
        <v>2621</v>
      </c>
      <c r="O11" s="29" t="s">
        <v>2622</v>
      </c>
      <c r="P11" s="29" t="s">
        <v>2619</v>
      </c>
      <c r="Q11" s="29" t="s">
        <v>2620</v>
      </c>
      <c r="R11" s="29" t="s">
        <v>2621</v>
      </c>
      <c r="S11" s="29" t="s">
        <v>2622</v>
      </c>
      <c r="T11" s="30">
        <v>2022</v>
      </c>
      <c r="U11" s="29"/>
      <c r="V11" s="29"/>
      <c r="W11" s="29"/>
      <c r="X11" s="29"/>
    </row>
    <row r="12" spans="1:73" s="30" customFormat="1" ht="30" customHeight="1" x14ac:dyDescent="0.2">
      <c r="A12" s="70">
        <v>140253502</v>
      </c>
      <c r="B12" s="58" t="s">
        <v>2623</v>
      </c>
      <c r="C12" s="60" t="s">
        <v>333</v>
      </c>
      <c r="D12" s="60" t="s">
        <v>2624</v>
      </c>
      <c r="E12" s="60" t="s">
        <v>886</v>
      </c>
      <c r="F12" s="60" t="s">
        <v>2557</v>
      </c>
      <c r="G12" s="60" t="s">
        <v>2519</v>
      </c>
      <c r="H12" s="60" t="s">
        <v>2625</v>
      </c>
      <c r="I12" s="57" t="s">
        <v>2626</v>
      </c>
      <c r="J12" s="62" t="s">
        <v>2627</v>
      </c>
      <c r="K12" s="60" t="s">
        <v>2628</v>
      </c>
      <c r="L12" s="57"/>
      <c r="M12" s="62" t="s">
        <v>2629</v>
      </c>
      <c r="N12" s="63" t="s">
        <v>2630</v>
      </c>
      <c r="O12" s="43" t="s">
        <v>2631</v>
      </c>
      <c r="P12" s="64" t="s">
        <v>2632</v>
      </c>
      <c r="Q12" s="43" t="s">
        <v>2633</v>
      </c>
      <c r="R12" s="43" t="s">
        <v>2634</v>
      </c>
      <c r="S12" s="43" t="s">
        <v>2635</v>
      </c>
      <c r="T12" s="43" t="s">
        <v>2636</v>
      </c>
      <c r="U12" s="65"/>
      <c r="V12" s="65"/>
      <c r="W12" s="65"/>
      <c r="X12" s="60">
        <v>2016</v>
      </c>
      <c r="Y12" s="59" t="s">
        <v>2637</v>
      </c>
      <c r="Z12" s="43">
        <v>1</v>
      </c>
      <c r="AA12" s="47">
        <v>3</v>
      </c>
      <c r="AB12" s="43" t="s">
        <v>2635</v>
      </c>
      <c r="AC12" s="44" t="s">
        <v>2331</v>
      </c>
      <c r="AD12" s="44">
        <v>150000</v>
      </c>
      <c r="AE12" s="44" t="s">
        <v>2331</v>
      </c>
      <c r="AF12" s="44">
        <v>101</v>
      </c>
      <c r="AG12" s="44">
        <v>59</v>
      </c>
      <c r="AH12" s="44">
        <v>127</v>
      </c>
      <c r="AI12" s="44">
        <v>215</v>
      </c>
      <c r="AJ12" s="44">
        <v>2017</v>
      </c>
      <c r="AK12" s="44">
        <v>3</v>
      </c>
      <c r="AL12" s="44">
        <v>75</v>
      </c>
      <c r="AM12" s="44">
        <v>38</v>
      </c>
      <c r="AN12" s="44">
        <v>30</v>
      </c>
      <c r="AO12" s="44">
        <v>23</v>
      </c>
      <c r="AP12" s="44">
        <v>87</v>
      </c>
      <c r="AQ12" s="44">
        <v>40</v>
      </c>
      <c r="AR12" s="44">
        <v>36</v>
      </c>
      <c r="AS12" s="44">
        <v>28</v>
      </c>
      <c r="AT12" s="44">
        <v>90</v>
      </c>
      <c r="AU12" s="44">
        <v>65</v>
      </c>
      <c r="AV12" s="44">
        <v>38</v>
      </c>
      <c r="AW12" s="44">
        <v>21</v>
      </c>
      <c r="AX12" s="44">
        <v>123</v>
      </c>
      <c r="AY12" s="44">
        <v>78</v>
      </c>
      <c r="AZ12" s="44">
        <v>45</v>
      </c>
      <c r="BA12" s="44">
        <v>22</v>
      </c>
      <c r="BB12" s="44">
        <v>97</v>
      </c>
      <c r="BC12" s="44">
        <v>87</v>
      </c>
      <c r="BD12" s="44">
        <v>47</v>
      </c>
      <c r="BE12" s="45">
        <v>31</v>
      </c>
      <c r="BF12" s="46">
        <v>0.30666666666666664</v>
      </c>
      <c r="BG12" s="46">
        <v>0.32183908045977011</v>
      </c>
      <c r="BH12" s="46">
        <v>0.23333333333333334</v>
      </c>
      <c r="BI12" s="46">
        <v>0.17886178861788618</v>
      </c>
      <c r="BJ12" s="46">
        <v>0.50666666666666671</v>
      </c>
      <c r="BK12" s="46">
        <v>0.78947368421052633</v>
      </c>
      <c r="BL12" s="46">
        <v>0.45977011494252873</v>
      </c>
      <c r="BM12" s="46">
        <v>0.9</v>
      </c>
      <c r="BN12" s="46">
        <v>0.72222222222222221</v>
      </c>
      <c r="BO12" s="46">
        <v>0.58461538461538465</v>
      </c>
      <c r="BP12" s="46">
        <v>0.63414634146341464</v>
      </c>
      <c r="BQ12" s="46">
        <v>0.57692307692307687</v>
      </c>
      <c r="BR12" s="49">
        <v>0.29333333333333333</v>
      </c>
      <c r="BS12" s="47"/>
      <c r="BT12" s="48"/>
      <c r="BU12" s="48"/>
    </row>
    <row r="13" spans="1:73" customFormat="1" ht="30" customHeight="1" x14ac:dyDescent="0.2">
      <c r="A13" s="71">
        <v>140535003</v>
      </c>
      <c r="B13" s="33" t="s">
        <v>2638</v>
      </c>
      <c r="C13" s="36" t="s">
        <v>333</v>
      </c>
      <c r="D13" s="36" t="s">
        <v>2639</v>
      </c>
      <c r="E13" s="36" t="s">
        <v>2640</v>
      </c>
      <c r="F13" s="36" t="s">
        <v>2557</v>
      </c>
      <c r="G13" s="36" t="s">
        <v>2519</v>
      </c>
      <c r="H13" s="36" t="s">
        <v>2641</v>
      </c>
      <c r="I13" s="36" t="s">
        <v>2642</v>
      </c>
      <c r="J13" s="37" t="s">
        <v>2643</v>
      </c>
      <c r="K13" s="36"/>
      <c r="L13" s="36" t="s">
        <v>2644</v>
      </c>
      <c r="M13" s="38"/>
      <c r="N13" s="38" t="s">
        <v>2645</v>
      </c>
      <c r="O13" s="38"/>
      <c r="P13" s="40"/>
      <c r="Q13" s="28"/>
      <c r="R13" s="41"/>
      <c r="S13" s="28" t="s">
        <v>2633</v>
      </c>
      <c r="T13" s="28"/>
      <c r="U13" s="28"/>
      <c r="V13" s="28"/>
      <c r="W13" s="42" t="s">
        <v>2646</v>
      </c>
      <c r="X13" s="27"/>
      <c r="Y13" s="42"/>
      <c r="Z13" s="35">
        <v>2018</v>
      </c>
      <c r="AA13" s="36" t="s">
        <v>2637</v>
      </c>
      <c r="AB13" s="28">
        <v>1</v>
      </c>
      <c r="AC13" s="28" t="s">
        <v>2647</v>
      </c>
      <c r="AD13" s="28"/>
      <c r="AE13" s="24" t="s">
        <v>444</v>
      </c>
      <c r="AF13" s="24">
        <v>0</v>
      </c>
      <c r="AG13" s="24">
        <v>0</v>
      </c>
      <c r="AH13" s="24">
        <v>73</v>
      </c>
      <c r="AI13" s="24">
        <v>21</v>
      </c>
      <c r="AJ13" s="24">
        <v>106</v>
      </c>
      <c r="AK13" s="24">
        <v>40</v>
      </c>
      <c r="AL13" s="24">
        <v>2018</v>
      </c>
      <c r="AM13" s="24" t="s">
        <v>2647</v>
      </c>
      <c r="AN13" s="24">
        <v>0</v>
      </c>
      <c r="AO13" s="24">
        <v>0</v>
      </c>
      <c r="AP13" s="24">
        <v>0</v>
      </c>
      <c r="AQ13" s="24">
        <v>0</v>
      </c>
      <c r="AR13" s="24">
        <v>80</v>
      </c>
      <c r="AS13" s="24">
        <v>0</v>
      </c>
      <c r="AT13" s="24">
        <v>0</v>
      </c>
      <c r="AU13" s="24">
        <v>0</v>
      </c>
      <c r="AV13" s="24">
        <v>0</v>
      </c>
      <c r="AW13" s="24">
        <v>42</v>
      </c>
      <c r="AX13" s="24">
        <v>0</v>
      </c>
      <c r="AY13" s="24">
        <v>0</v>
      </c>
      <c r="AZ13" s="24">
        <v>0</v>
      </c>
      <c r="BA13" s="24">
        <v>0</v>
      </c>
      <c r="BB13" s="24">
        <v>40</v>
      </c>
      <c r="BC13" s="24">
        <v>0</v>
      </c>
      <c r="BD13" s="24">
        <v>0</v>
      </c>
      <c r="BE13" s="24">
        <v>0</v>
      </c>
      <c r="BF13" s="24">
        <v>0</v>
      </c>
      <c r="BG13" s="25">
        <v>0</v>
      </c>
      <c r="BH13" s="26" t="s">
        <v>2648</v>
      </c>
      <c r="BI13" s="26">
        <v>0</v>
      </c>
      <c r="BJ13" s="26" t="s">
        <v>2648</v>
      </c>
      <c r="BK13" s="26" t="s">
        <v>2648</v>
      </c>
      <c r="BL13" s="26" t="s">
        <v>2648</v>
      </c>
      <c r="BM13" s="26" t="s">
        <v>2648</v>
      </c>
      <c r="BN13" s="26">
        <v>0</v>
      </c>
      <c r="BO13" s="26" t="s">
        <v>2648</v>
      </c>
      <c r="BP13" s="26" t="s">
        <v>2648</v>
      </c>
      <c r="BQ13" s="26">
        <v>0</v>
      </c>
      <c r="BR13" s="26" t="s">
        <v>2648</v>
      </c>
      <c r="BS13" s="26" t="s">
        <v>2648</v>
      </c>
      <c r="BT13" s="26" t="s">
        <v>2649</v>
      </c>
      <c r="BU13" s="27"/>
    </row>
    <row r="14" spans="1:73" ht="36" customHeight="1" x14ac:dyDescent="0.2">
      <c r="A14" s="80">
        <v>140544106</v>
      </c>
      <c r="B14" s="82" t="s">
        <v>2650</v>
      </c>
      <c r="C14" s="84" t="s">
        <v>333</v>
      </c>
      <c r="D14" s="84" t="s">
        <v>2651</v>
      </c>
      <c r="E14" s="84" t="s">
        <v>333</v>
      </c>
      <c r="F14" s="84" t="s">
        <v>2557</v>
      </c>
      <c r="G14" s="84" t="s">
        <v>2519</v>
      </c>
      <c r="H14" s="84" t="s">
        <v>2652</v>
      </c>
      <c r="I14" s="84" t="s">
        <v>2653</v>
      </c>
      <c r="J14" s="86" t="s">
        <v>2654</v>
      </c>
      <c r="K14" s="84" t="s">
        <v>2655</v>
      </c>
      <c r="L14" s="84" t="s">
        <v>2620</v>
      </c>
      <c r="M14" s="87" t="s">
        <v>2653</v>
      </c>
      <c r="N14" s="87" t="s">
        <v>2654</v>
      </c>
      <c r="O14" s="87" t="s">
        <v>2656</v>
      </c>
      <c r="P14" s="88" t="s">
        <v>2657</v>
      </c>
      <c r="Q14" s="90" t="s">
        <v>2658</v>
      </c>
      <c r="R14" s="91" t="s">
        <v>2659</v>
      </c>
      <c r="S14" s="43"/>
      <c r="T14" s="92">
        <v>2018</v>
      </c>
      <c r="U14" s="92"/>
      <c r="V14" s="92"/>
      <c r="W14" s="93"/>
      <c r="X14" s="94"/>
      <c r="Y14" s="93"/>
      <c r="Z14" s="95"/>
      <c r="AA14" s="96"/>
      <c r="AB14" s="92"/>
      <c r="AC14" s="92"/>
      <c r="AD14" s="92"/>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5"/>
      <c r="BH14" s="46"/>
      <c r="BI14" s="46"/>
      <c r="BJ14" s="46"/>
      <c r="BK14" s="46"/>
      <c r="BL14" s="46"/>
      <c r="BM14" s="46"/>
      <c r="BN14" s="46"/>
      <c r="BO14" s="46"/>
      <c r="BP14" s="46"/>
      <c r="BQ14" s="46"/>
      <c r="BR14" s="46"/>
      <c r="BS14" s="46"/>
      <c r="BT14" s="46"/>
      <c r="BU14" s="47"/>
    </row>
    <row r="15" spans="1:73" s="48" customFormat="1" ht="36" customHeight="1" x14ac:dyDescent="0.2">
      <c r="A15" s="81" t="s">
        <v>2660</v>
      </c>
      <c r="B15" s="83" t="s">
        <v>2661</v>
      </c>
      <c r="C15" s="85" t="s">
        <v>189</v>
      </c>
      <c r="D15" s="85" t="s">
        <v>2662</v>
      </c>
      <c r="E15" s="85" t="s">
        <v>2663</v>
      </c>
      <c r="F15" s="85">
        <v>3231</v>
      </c>
      <c r="G15" s="85" t="s">
        <v>2557</v>
      </c>
      <c r="H15" s="85" t="s">
        <v>2557</v>
      </c>
      <c r="I15" s="85" t="s">
        <v>2664</v>
      </c>
      <c r="J15" s="85" t="s">
        <v>2665</v>
      </c>
      <c r="K15" s="85" t="s">
        <v>2666</v>
      </c>
      <c r="L15" s="85" t="s">
        <v>2667</v>
      </c>
      <c r="M15" s="85" t="s">
        <v>2668</v>
      </c>
      <c r="N15" s="85" t="s">
        <v>2665</v>
      </c>
      <c r="O15" s="85" t="s">
        <v>2669</v>
      </c>
      <c r="P15" s="89" t="s">
        <v>2667</v>
      </c>
      <c r="Q15" s="89" t="s">
        <v>2668</v>
      </c>
      <c r="R15" s="83" t="s">
        <v>2665</v>
      </c>
      <c r="S15" s="23" t="s">
        <v>2669</v>
      </c>
      <c r="T15" s="83">
        <v>2018</v>
      </c>
      <c r="U15" s="83"/>
      <c r="V15" s="83"/>
      <c r="W15" s="83"/>
      <c r="X15" s="83"/>
      <c r="Y15" s="83"/>
      <c r="Z15" s="83"/>
      <c r="AA15" s="83"/>
      <c r="AB15" s="83"/>
      <c r="AC15" s="83"/>
      <c r="AD15" s="8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row>
    <row r="16" spans="1:73" customFormat="1" ht="45" customHeight="1" x14ac:dyDescent="0.2">
      <c r="A16" s="72">
        <v>180176502</v>
      </c>
      <c r="B16" s="33" t="s">
        <v>2670</v>
      </c>
      <c r="C16" s="35" t="s">
        <v>189</v>
      </c>
      <c r="D16" s="35" t="s">
        <v>1232</v>
      </c>
      <c r="E16" s="35" t="s">
        <v>2364</v>
      </c>
      <c r="F16" s="35" t="s">
        <v>2557</v>
      </c>
      <c r="G16" s="35" t="s">
        <v>2519</v>
      </c>
      <c r="H16" s="35" t="s">
        <v>2671</v>
      </c>
      <c r="I16" s="31" t="s">
        <v>2672</v>
      </c>
      <c r="J16" s="52" t="s">
        <v>2673</v>
      </c>
      <c r="K16" s="35" t="s">
        <v>2674</v>
      </c>
      <c r="L16" s="31" t="s">
        <v>2675</v>
      </c>
      <c r="M16" s="52" t="s">
        <v>2676</v>
      </c>
      <c r="N16" s="54"/>
      <c r="O16" s="28"/>
      <c r="P16" s="28"/>
      <c r="Q16" s="28"/>
      <c r="R16" s="28"/>
      <c r="S16" s="28"/>
      <c r="T16" s="28"/>
      <c r="U16" s="42"/>
      <c r="V16" s="42"/>
      <c r="W16" s="42"/>
      <c r="X16" s="35">
        <v>2017</v>
      </c>
      <c r="Y16" s="36" t="s">
        <v>2637</v>
      </c>
      <c r="Z16" s="28">
        <v>1</v>
      </c>
      <c r="AA16" s="27" t="s">
        <v>2677</v>
      </c>
      <c r="AB16" s="28"/>
      <c r="AC16" s="24" t="s">
        <v>444</v>
      </c>
      <c r="AD16" s="24">
        <v>0</v>
      </c>
      <c r="AE16" s="24" t="s">
        <v>2331</v>
      </c>
      <c r="AF16" s="24">
        <v>9</v>
      </c>
      <c r="AG16" s="24">
        <v>0</v>
      </c>
      <c r="AH16" s="24">
        <v>42</v>
      </c>
      <c r="AI16" s="24">
        <v>59</v>
      </c>
      <c r="AJ16" s="24">
        <v>2018</v>
      </c>
      <c r="AK16" s="24" t="s">
        <v>2677</v>
      </c>
      <c r="AL16" s="24">
        <v>0</v>
      </c>
      <c r="AM16" s="24">
        <v>0</v>
      </c>
      <c r="AN16" s="24">
        <v>0</v>
      </c>
      <c r="AO16" s="24">
        <v>0</v>
      </c>
      <c r="AP16" s="24">
        <v>111</v>
      </c>
      <c r="AQ16" s="24">
        <v>0</v>
      </c>
      <c r="AR16" s="24">
        <v>0</v>
      </c>
      <c r="AS16" s="24">
        <v>0</v>
      </c>
      <c r="AT16" s="24">
        <v>14</v>
      </c>
      <c r="AU16" s="24">
        <v>39</v>
      </c>
      <c r="AV16" s="24">
        <v>0</v>
      </c>
      <c r="AW16" s="24">
        <v>0</v>
      </c>
      <c r="AX16" s="24">
        <v>0</v>
      </c>
      <c r="AY16" s="24">
        <v>16</v>
      </c>
      <c r="AZ16" s="24">
        <v>15</v>
      </c>
      <c r="BA16" s="24">
        <v>0</v>
      </c>
      <c r="BB16" s="24">
        <v>0</v>
      </c>
      <c r="BC16" s="24">
        <v>0</v>
      </c>
      <c r="BD16" s="24">
        <v>8</v>
      </c>
      <c r="BE16" s="25">
        <v>2</v>
      </c>
      <c r="BF16" s="26" t="s">
        <v>2648</v>
      </c>
      <c r="BG16" s="26">
        <v>0</v>
      </c>
      <c r="BH16" s="26">
        <v>0</v>
      </c>
      <c r="BI16" s="26" t="s">
        <v>2648</v>
      </c>
      <c r="BJ16" s="26" t="s">
        <v>2648</v>
      </c>
      <c r="BK16" s="26" t="s">
        <v>2648</v>
      </c>
      <c r="BL16" s="26">
        <v>0</v>
      </c>
      <c r="BM16" s="26" t="s">
        <v>2648</v>
      </c>
      <c r="BN16" s="26">
        <v>2.7857142857142856</v>
      </c>
      <c r="BO16" s="26">
        <v>0</v>
      </c>
      <c r="BP16" s="26" t="s">
        <v>2648</v>
      </c>
      <c r="BQ16" s="26">
        <v>0.9375</v>
      </c>
      <c r="BR16" s="26" t="s">
        <v>2649</v>
      </c>
      <c r="BS16" s="27"/>
      <c r="BT16" s="23"/>
      <c r="BU16" s="23"/>
    </row>
    <row r="17" spans="1:73" s="30" customFormat="1" ht="30" customHeight="1" x14ac:dyDescent="0.2">
      <c r="A17" s="73">
        <v>300136300</v>
      </c>
      <c r="B17" s="30" t="s">
        <v>2678</v>
      </c>
      <c r="C17" s="29" t="s">
        <v>1393</v>
      </c>
      <c r="D17" s="29" t="s">
        <v>2679</v>
      </c>
      <c r="E17" s="30" t="s">
        <v>2680</v>
      </c>
      <c r="F17" s="30">
        <v>2826</v>
      </c>
      <c r="G17" s="29" t="s">
        <v>2557</v>
      </c>
      <c r="H17" s="29" t="s">
        <v>2519</v>
      </c>
      <c r="I17" s="30" t="s">
        <v>2681</v>
      </c>
      <c r="J17" s="30" t="s">
        <v>2682</v>
      </c>
      <c r="K17" s="30" t="s">
        <v>2683</v>
      </c>
      <c r="L17" s="30" t="s">
        <v>2684</v>
      </c>
      <c r="M17" s="30" t="s">
        <v>2527</v>
      </c>
      <c r="N17" s="30" t="s">
        <v>2682</v>
      </c>
      <c r="O17" s="30" t="s">
        <v>2683</v>
      </c>
      <c r="P17" s="30" t="s">
        <v>2684</v>
      </c>
      <c r="Q17" s="30" t="s">
        <v>2527</v>
      </c>
      <c r="R17" s="30" t="s">
        <v>2685</v>
      </c>
      <c r="S17" s="30" t="s">
        <v>2683</v>
      </c>
      <c r="T17" s="29">
        <v>2017</v>
      </c>
      <c r="U17" s="30" t="s">
        <v>2686</v>
      </c>
      <c r="V17" s="29"/>
      <c r="W17" s="29"/>
    </row>
    <row r="18" spans="1:73" s="30" customFormat="1" ht="30" customHeight="1" x14ac:dyDescent="0.2">
      <c r="A18" s="50" t="s">
        <v>2687</v>
      </c>
      <c r="B18" s="29" t="s">
        <v>2688</v>
      </c>
      <c r="C18" s="30" t="s">
        <v>2689</v>
      </c>
      <c r="D18" s="30" t="s">
        <v>2690</v>
      </c>
      <c r="E18" s="30" t="s">
        <v>2182</v>
      </c>
      <c r="F18" s="30">
        <v>4600</v>
      </c>
      <c r="G18" s="30" t="s">
        <v>2557</v>
      </c>
      <c r="H18" s="30" t="s">
        <v>2519</v>
      </c>
      <c r="I18" s="30" t="s">
        <v>2691</v>
      </c>
      <c r="J18" s="30" t="s">
        <v>2692</v>
      </c>
      <c r="K18" s="30">
        <v>0</v>
      </c>
      <c r="L18" s="30" t="s">
        <v>2185</v>
      </c>
      <c r="M18" s="30" t="s">
        <v>2693</v>
      </c>
      <c r="N18" s="30" t="s">
        <v>2694</v>
      </c>
      <c r="O18" s="30" t="s">
        <v>2695</v>
      </c>
      <c r="P18" s="30" t="s">
        <v>2185</v>
      </c>
      <c r="Q18" s="30" t="s">
        <v>2527</v>
      </c>
      <c r="R18" s="30" t="s">
        <v>2694</v>
      </c>
      <c r="S18" s="30" t="s">
        <v>2695</v>
      </c>
      <c r="T18" s="30">
        <v>2016</v>
      </c>
      <c r="W18" s="29"/>
      <c r="X18" s="29"/>
    </row>
    <row r="19" spans="1:73" s="30" customFormat="1" ht="30" customHeight="1" x14ac:dyDescent="0.2">
      <c r="A19" s="56">
        <v>380092800</v>
      </c>
      <c r="B19" s="29" t="s">
        <v>2696</v>
      </c>
      <c r="C19" s="29" t="s">
        <v>2689</v>
      </c>
      <c r="D19" s="29" t="s">
        <v>2690</v>
      </c>
      <c r="E19" s="29" t="s">
        <v>553</v>
      </c>
      <c r="F19" s="29">
        <v>4600</v>
      </c>
      <c r="G19" s="29" t="s">
        <v>2518</v>
      </c>
      <c r="H19" s="29" t="s">
        <v>2519</v>
      </c>
      <c r="I19" s="29" t="s">
        <v>2697</v>
      </c>
      <c r="J19" s="29" t="s">
        <v>2698</v>
      </c>
      <c r="K19" s="29" t="s">
        <v>2699</v>
      </c>
      <c r="L19" s="29" t="s">
        <v>2700</v>
      </c>
      <c r="M19" s="29" t="s">
        <v>2693</v>
      </c>
      <c r="N19" s="29" t="s">
        <v>2701</v>
      </c>
      <c r="O19" s="29" t="s">
        <v>2035</v>
      </c>
      <c r="P19" s="29" t="s">
        <v>2034</v>
      </c>
      <c r="Q19" s="29" t="s">
        <v>2693</v>
      </c>
      <c r="R19" s="29" t="s">
        <v>2701</v>
      </c>
      <c r="S19" s="29" t="s">
        <v>2035</v>
      </c>
      <c r="T19" s="30">
        <v>2023</v>
      </c>
      <c r="U19" s="29"/>
      <c r="V19" s="29"/>
      <c r="W19" s="29"/>
      <c r="X19" s="29"/>
    </row>
    <row r="20" spans="1:73" customFormat="1" ht="30" customHeight="1" x14ac:dyDescent="0.2">
      <c r="A20" s="56">
        <v>380094900</v>
      </c>
      <c r="B20" s="29" t="s">
        <v>2702</v>
      </c>
      <c r="C20" s="29" t="s">
        <v>2689</v>
      </c>
      <c r="D20" s="29" t="s">
        <v>1238</v>
      </c>
      <c r="E20" s="29" t="s">
        <v>2703</v>
      </c>
      <c r="F20" s="29">
        <v>4500</v>
      </c>
      <c r="G20" s="29" t="s">
        <v>2518</v>
      </c>
      <c r="H20" s="29" t="s">
        <v>2519</v>
      </c>
      <c r="I20" s="29" t="s">
        <v>2704</v>
      </c>
      <c r="J20" s="29" t="s">
        <v>2705</v>
      </c>
      <c r="K20" s="29" t="s">
        <v>2706</v>
      </c>
      <c r="L20" s="29" t="s">
        <v>2707</v>
      </c>
      <c r="M20" s="29" t="s">
        <v>2708</v>
      </c>
      <c r="N20" s="29" t="s">
        <v>2709</v>
      </c>
      <c r="O20" s="29" t="s">
        <v>2710</v>
      </c>
      <c r="P20" s="29" t="s">
        <v>2711</v>
      </c>
      <c r="Q20" s="29" t="s">
        <v>2712</v>
      </c>
      <c r="R20" s="29" t="s">
        <v>2713</v>
      </c>
      <c r="S20" s="29" t="s">
        <v>2714</v>
      </c>
      <c r="T20" s="30">
        <v>2023</v>
      </c>
      <c r="U20" s="29"/>
      <c r="V20" s="29"/>
      <c r="W20" s="29"/>
      <c r="X20" s="29"/>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row>
    <row r="21" spans="1:73" ht="15" customHeight="1" x14ac:dyDescent="0.2">
      <c r="A21" s="73" t="s">
        <v>2715</v>
      </c>
      <c r="B21" s="29" t="s">
        <v>2716</v>
      </c>
      <c r="C21" s="30" t="s">
        <v>2717</v>
      </c>
      <c r="D21" s="29" t="s">
        <v>2718</v>
      </c>
      <c r="E21" s="30" t="s">
        <v>2719</v>
      </c>
      <c r="F21">
        <v>5513</v>
      </c>
      <c r="G21" s="29" t="s">
        <v>2557</v>
      </c>
      <c r="H21" s="29" t="s">
        <v>2519</v>
      </c>
      <c r="I21" t="s">
        <v>2720</v>
      </c>
      <c r="J21">
        <v>2622434713</v>
      </c>
      <c r="K21" t="s">
        <v>2282</v>
      </c>
      <c r="L21" t="s">
        <v>1162</v>
      </c>
      <c r="M21" t="s">
        <v>6</v>
      </c>
      <c r="N21">
        <v>2622628740</v>
      </c>
      <c r="O21" t="s">
        <v>1161</v>
      </c>
      <c r="P21" t="s">
        <v>2721</v>
      </c>
      <c r="Q21" t="s">
        <v>17</v>
      </c>
      <c r="R21" t="s">
        <v>2722</v>
      </c>
      <c r="S21" t="s">
        <v>2282</v>
      </c>
      <c r="T21" s="30">
        <v>2016</v>
      </c>
      <c r="U21" s="29"/>
      <c r="V21" s="29"/>
      <c r="W21" s="29"/>
      <c r="X21" s="29"/>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row>
    <row r="22" spans="1:73" s="30" customFormat="1" ht="30" customHeight="1" x14ac:dyDescent="0.2">
      <c r="A22" s="29" t="s">
        <v>2723</v>
      </c>
      <c r="B22" s="29" t="s">
        <v>2724</v>
      </c>
      <c r="C22" s="30" t="s">
        <v>2725</v>
      </c>
      <c r="D22" t="s">
        <v>2545</v>
      </c>
      <c r="E22" t="s">
        <v>2726</v>
      </c>
      <c r="F22">
        <v>8500</v>
      </c>
      <c r="G22" t="s">
        <v>2518</v>
      </c>
      <c r="H22" t="s">
        <v>2519</v>
      </c>
      <c r="I22" t="s">
        <v>2727</v>
      </c>
      <c r="J22" t="s">
        <v>2728</v>
      </c>
      <c r="K22" t="s">
        <v>2729</v>
      </c>
      <c r="L22" t="s">
        <v>2730</v>
      </c>
      <c r="M22" t="s">
        <v>2551</v>
      </c>
      <c r="N22"/>
      <c r="O22" t="s">
        <v>1815</v>
      </c>
      <c r="P22" t="s">
        <v>2731</v>
      </c>
      <c r="Q22" t="s">
        <v>2732</v>
      </c>
      <c r="R22" t="s">
        <v>2733</v>
      </c>
      <c r="S22" t="s">
        <v>2734</v>
      </c>
      <c r="T22">
        <v>2021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row>
    <row r="23" spans="1:73" s="30" customFormat="1" ht="30" customHeight="1" x14ac:dyDescent="0.2">
      <c r="A23" s="71">
        <v>820445801</v>
      </c>
      <c r="B23" s="33" t="s">
        <v>2735</v>
      </c>
      <c r="C23" s="36" t="s">
        <v>209</v>
      </c>
      <c r="D23" s="36" t="s">
        <v>2736</v>
      </c>
      <c r="E23" s="36" t="s">
        <v>209</v>
      </c>
      <c r="F23" s="36" t="s">
        <v>2557</v>
      </c>
      <c r="G23" s="36" t="s">
        <v>2519</v>
      </c>
      <c r="H23" s="36" t="s">
        <v>2737</v>
      </c>
      <c r="I23" s="36" t="s">
        <v>2738</v>
      </c>
      <c r="J23" s="37" t="s">
        <v>2739</v>
      </c>
      <c r="K23" s="36" t="s">
        <v>2740</v>
      </c>
      <c r="L23" s="36" t="s">
        <v>2741</v>
      </c>
      <c r="M23" s="38" t="s">
        <v>2742</v>
      </c>
      <c r="N23" s="38" t="s">
        <v>2743</v>
      </c>
      <c r="O23" s="38"/>
      <c r="P23" s="40"/>
      <c r="Q23" s="28" t="s">
        <v>2744</v>
      </c>
      <c r="R23" s="41"/>
      <c r="S23" s="28">
        <v>150</v>
      </c>
      <c r="T23" s="28" t="s">
        <v>2745</v>
      </c>
      <c r="U23" s="28"/>
      <c r="V23" s="28"/>
      <c r="W23" s="42"/>
      <c r="X23" s="27">
        <v>2016</v>
      </c>
      <c r="Y23" s="42" t="s">
        <v>2637</v>
      </c>
      <c r="Z23" s="35">
        <v>2</v>
      </c>
      <c r="AA23" s="36">
        <v>3</v>
      </c>
      <c r="AB23" s="28">
        <v>150</v>
      </c>
      <c r="AC23" s="28" t="s">
        <v>444</v>
      </c>
      <c r="AD23" s="28">
        <v>150000</v>
      </c>
      <c r="AE23" s="24" t="s">
        <v>2331</v>
      </c>
      <c r="AF23" s="24">
        <v>185</v>
      </c>
      <c r="AG23" s="24">
        <v>208</v>
      </c>
      <c r="AH23" s="24">
        <v>278</v>
      </c>
      <c r="AI23" s="24">
        <v>396</v>
      </c>
      <c r="AJ23" s="24">
        <v>2018</v>
      </c>
      <c r="AK23" s="24">
        <v>3</v>
      </c>
      <c r="AL23" s="24">
        <v>215</v>
      </c>
      <c r="AM23" s="24">
        <v>151</v>
      </c>
      <c r="AN23" s="24">
        <v>0</v>
      </c>
      <c r="AO23" s="24">
        <v>0</v>
      </c>
      <c r="AP23" s="24">
        <v>156</v>
      </c>
      <c r="AQ23" s="24">
        <v>183</v>
      </c>
      <c r="AR23" s="24">
        <v>132</v>
      </c>
      <c r="AS23" s="24">
        <v>0</v>
      </c>
      <c r="AT23" s="24">
        <v>173</v>
      </c>
      <c r="AU23" s="24">
        <v>121</v>
      </c>
      <c r="AV23" s="24">
        <v>154</v>
      </c>
      <c r="AW23" s="24">
        <v>23</v>
      </c>
      <c r="AX23" s="24">
        <v>196</v>
      </c>
      <c r="AY23" s="24">
        <v>138</v>
      </c>
      <c r="AZ23" s="24">
        <v>102</v>
      </c>
      <c r="BA23" s="24">
        <v>36</v>
      </c>
      <c r="BB23" s="24">
        <v>182</v>
      </c>
      <c r="BC23" s="24">
        <v>139</v>
      </c>
      <c r="BD23" s="24">
        <v>97</v>
      </c>
      <c r="BE23" s="24">
        <v>59</v>
      </c>
      <c r="BF23" s="24">
        <v>0</v>
      </c>
      <c r="BG23" s="25">
        <v>0</v>
      </c>
      <c r="BH23" s="26">
        <v>0.13294797687861271</v>
      </c>
      <c r="BI23" s="26">
        <v>0.18367346938775511</v>
      </c>
      <c r="BJ23" s="26">
        <v>0.70232558139534884</v>
      </c>
      <c r="BK23" s="26">
        <v>0</v>
      </c>
      <c r="BL23" s="26">
        <v>1.1730769230769231</v>
      </c>
      <c r="BM23" s="26">
        <v>0.72131147540983609</v>
      </c>
      <c r="BN23" s="26">
        <v>0.69942196531791911</v>
      </c>
      <c r="BO23" s="26">
        <v>1.2727272727272727</v>
      </c>
      <c r="BP23" s="26">
        <v>0.70408163265306123</v>
      </c>
      <c r="BQ23" s="26">
        <v>0.73913043478260865</v>
      </c>
      <c r="BR23" s="26">
        <v>0.1674418604651163</v>
      </c>
      <c r="BS23" s="26"/>
      <c r="BT23" s="26"/>
      <c r="BU23" s="27"/>
    </row>
    <row r="24" spans="1:73" ht="15" customHeight="1" x14ac:dyDescent="0.2">
      <c r="A24" s="55" t="s">
        <v>2746</v>
      </c>
      <c r="B24" s="29" t="s">
        <v>1450</v>
      </c>
      <c r="C24" s="29" t="s">
        <v>333</v>
      </c>
      <c r="D24" s="29" t="s">
        <v>2651</v>
      </c>
      <c r="E24" s="29" t="s">
        <v>2747</v>
      </c>
      <c r="F24" s="29">
        <v>5000</v>
      </c>
      <c r="G24" s="29" t="s">
        <v>2557</v>
      </c>
      <c r="H24" s="29" t="s">
        <v>2519</v>
      </c>
      <c r="I24" s="29" t="s">
        <v>2748</v>
      </c>
      <c r="J24" s="29" t="s">
        <v>1456</v>
      </c>
      <c r="K24" s="29" t="s">
        <v>1457</v>
      </c>
      <c r="L24" s="29" t="s">
        <v>2749</v>
      </c>
      <c r="M24" s="29" t="s">
        <v>33</v>
      </c>
      <c r="N24" s="29">
        <v>3515400730</v>
      </c>
      <c r="O24" s="29" t="s">
        <v>2750</v>
      </c>
      <c r="P24" s="29" t="s">
        <v>2749</v>
      </c>
      <c r="Q24" s="29" t="s">
        <v>8</v>
      </c>
      <c r="R24" s="29">
        <v>3515400730</v>
      </c>
      <c r="S24" s="29" t="s">
        <v>2751</v>
      </c>
      <c r="T24" s="30">
        <v>2016</v>
      </c>
    </row>
    <row r="25" spans="1:73" ht="15" customHeight="1" x14ac:dyDescent="0.2">
      <c r="A25" s="55" t="s">
        <v>2752</v>
      </c>
      <c r="B25" s="29" t="s">
        <v>2753</v>
      </c>
      <c r="C25" s="29" t="s">
        <v>333</v>
      </c>
      <c r="D25" s="29" t="s">
        <v>2754</v>
      </c>
      <c r="E25" s="29" t="s">
        <v>2755</v>
      </c>
      <c r="F25" s="29">
        <v>5125</v>
      </c>
      <c r="G25" s="29" t="s">
        <v>2557</v>
      </c>
      <c r="H25" s="29" t="s">
        <v>2519</v>
      </c>
      <c r="I25" s="29" t="s">
        <v>2756</v>
      </c>
      <c r="J25" s="29">
        <v>3513373172</v>
      </c>
      <c r="K25" s="29" t="s">
        <v>2757</v>
      </c>
      <c r="L25" s="29" t="s">
        <v>2758</v>
      </c>
      <c r="M25" s="29" t="s">
        <v>33</v>
      </c>
      <c r="N25" s="29">
        <v>3513373172</v>
      </c>
      <c r="O25" s="29" t="s">
        <v>1300</v>
      </c>
      <c r="P25" s="29" t="s">
        <v>2759</v>
      </c>
      <c r="Q25" s="29" t="s">
        <v>17</v>
      </c>
      <c r="R25" s="29">
        <v>3513373172</v>
      </c>
      <c r="S25" s="29" t="s">
        <v>2757</v>
      </c>
      <c r="T25" s="30">
        <v>2018</v>
      </c>
    </row>
    <row r="26" spans="1:73" s="30" customFormat="1" ht="30" customHeight="1" x14ac:dyDescent="0.2">
      <c r="A26" s="30">
        <v>140068803</v>
      </c>
      <c r="B26" s="29" t="s">
        <v>2760</v>
      </c>
      <c r="C26" s="29" t="s">
        <v>333</v>
      </c>
      <c r="D26" s="29" t="s">
        <v>593</v>
      </c>
      <c r="E26" s="29" t="s">
        <v>2761</v>
      </c>
      <c r="F26" s="29">
        <v>2589</v>
      </c>
      <c r="G26" s="29" t="s">
        <v>2557</v>
      </c>
      <c r="H26" s="29" t="s">
        <v>2519</v>
      </c>
      <c r="I26" s="29" t="s">
        <v>2762</v>
      </c>
      <c r="J26" s="29">
        <v>3467446980</v>
      </c>
      <c r="K26" s="29" t="s">
        <v>2763</v>
      </c>
      <c r="L26" s="29" t="s">
        <v>2764</v>
      </c>
      <c r="M26" s="29" t="s">
        <v>33</v>
      </c>
      <c r="N26" s="29">
        <v>3472507218</v>
      </c>
      <c r="O26" s="29" t="s">
        <v>2765</v>
      </c>
      <c r="P26" s="29" t="s">
        <v>2764</v>
      </c>
      <c r="Q26" s="29" t="s">
        <v>8</v>
      </c>
      <c r="R26" s="29">
        <v>3472507218</v>
      </c>
      <c r="S26" s="29" t="s">
        <v>2765</v>
      </c>
      <c r="T26" s="97">
        <v>2019</v>
      </c>
      <c r="U26" s="29" t="e">
        <f>VLOOKUP(#REF!,[1]Institucionales!$B$4:$V$287,21,FALSE)</f>
        <v>#REF!</v>
      </c>
      <c r="V26" s="29"/>
      <c r="W26" s="29"/>
      <c r="X26" s="29"/>
    </row>
  </sheetData>
  <dataValidations count="1">
    <dataValidation type="whole" allowBlank="1" showErrorMessage="1" error="Valor incorrecto._x000a_Por favor, ingrese solo números sin guiones ni barras." sqref="A23" xr:uid="{3060C480-4CE5-4EEC-A428-1D09F7EC1262}">
      <formula1>20017500</formula1>
      <formula2>999999999</formula2>
    </dataValidation>
  </dataValidations>
  <hyperlinks>
    <hyperlink ref="J12" r:id="rId1" xr:uid="{CACFC0D1-9428-4068-B387-486F947FC9CB}"/>
    <hyperlink ref="M12" r:id="rId2" xr:uid="{9CF4F185-DB1E-4D49-BCC9-1DF8A99758D6}"/>
    <hyperlink ref="P12" r:id="rId3" xr:uid="{D2CF1D51-379B-4F8D-A679-E4EB5B24EB01}"/>
  </hyperlinks>
  <pageMargins left="0.7" right="0.7" top="0.75" bottom="0.75" header="0" footer="0"/>
  <pageSetup orientation="landscape" r:id="rId4"/>
  <legacyDrawing r:id="rId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4</vt:i4>
      </vt:variant>
    </vt:vector>
  </HeadingPairs>
  <TitlesOfParts>
    <vt:vector size="4" baseType="lpstr">
      <vt:lpstr>Institucionales</vt:lpstr>
      <vt:lpstr>Hoja1</vt:lpstr>
      <vt:lpstr>AlumnosYDocentes</vt:lpstr>
      <vt:lpstr>BAJAS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Nestor Cristian Gonzalez Opelt</dc:creator>
  <cp:lastModifiedBy>Nestor Cristian Gonzalez Opelt</cp:lastModifiedBy>
  <cp:lastPrinted>2025-06-10T14:13:26Z</cp:lastPrinted>
  <dcterms:created xsi:type="dcterms:W3CDTF">2025-05-21T14:01:46Z</dcterms:created>
  <dcterms:modified xsi:type="dcterms:W3CDTF">2025-09-18T12:51:30Z</dcterms:modified>
</cp:coreProperties>
</file>