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mc:AlternateContent xmlns:mc="http://schemas.openxmlformats.org/markup-compatibility/2006">
    <mc:Choice Requires="x15">
      <x15ac:absPath xmlns:x15ac="http://schemas.microsoft.com/office/spreadsheetml/2010/11/ac" url="\\10.90.90.21\ui\PRONAFE\2. INSTITUCIONES\Base de datos\Bases viejas y respaldo\"/>
    </mc:Choice>
  </mc:AlternateContent>
  <xr:revisionPtr revIDLastSave="0" documentId="8_{185C0E28-B681-A44A-8AE8-2756BBAA3517}" xr6:coauthVersionLast="47" xr6:coauthVersionMax="47" xr10:uidLastSave="{00000000-0000-0000-0000-000000000000}"/>
  <bookViews>
    <workbookView xWindow="-120" yWindow="-120" windowWidth="24240" windowHeight="13140" tabRatio="841" activeTab="4" xr2:uid="{94E85BB9-519D-4B52-B057-9C82535C0EED}"/>
  </bookViews>
  <sheets>
    <sheet name="Institucionales" sheetId="1" r:id="rId1"/>
    <sheet name="AlumnosYDocentes" sheetId="2" r:id="rId2"/>
    <sheet name="Datos económicos" sheetId="14" r:id="rId3"/>
    <sheet name="Comentarios" sheetId="9" r:id="rId4"/>
    <sheet name="BAJAS" sheetId="3" r:id="rId5"/>
  </sheets>
  <definedNames>
    <definedName name="_xlnm._FilterDatabase" localSheetId="1" hidden="1">AlumnosYDocentes!$D$2:$S$267</definedName>
    <definedName name="_xlnm._FilterDatabase" localSheetId="2" hidden="1">'Datos económicos'!$A$2:$L$108</definedName>
    <definedName name="_xlnm._FilterDatabase" localSheetId="0" hidden="1">Institucionales!$D$3:$F$297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2" i="2" l="1"/>
  <c r="H152" i="2"/>
  <c r="L191" i="2"/>
  <c r="H191" i="2"/>
  <c r="L276" i="2"/>
  <c r="H276" i="2"/>
  <c r="L150" i="2"/>
  <c r="H150" i="2"/>
  <c r="L58" i="14"/>
  <c r="L57" i="14"/>
  <c r="L133" i="2"/>
  <c r="H133" i="2"/>
  <c r="L62" i="14"/>
  <c r="B65" i="14"/>
  <c r="L75" i="14"/>
  <c r="L56" i="14"/>
  <c r="L11" i="14"/>
  <c r="L78" i="14"/>
  <c r="L77" i="14"/>
  <c r="L80" i="14"/>
  <c r="L79" i="14"/>
  <c r="H146" i="2"/>
  <c r="H145" i="2"/>
  <c r="L146" i="2"/>
  <c r="L145" i="2"/>
  <c r="L63" i="14"/>
  <c r="L6" i="14"/>
  <c r="L93" i="14"/>
  <c r="L153" i="2"/>
  <c r="L147" i="2"/>
  <c r="L149" i="2"/>
  <c r="H153" i="2"/>
  <c r="H147" i="2"/>
  <c r="H149" i="2"/>
  <c r="L60" i="14"/>
  <c r="L92" i="14"/>
  <c r="L14" i="14"/>
  <c r="L20" i="14"/>
  <c r="L10" i="14"/>
  <c r="L13" i="14"/>
  <c r="L19" i="14"/>
  <c r="L37" i="14"/>
  <c r="L39" i="14"/>
  <c r="L18" i="14"/>
  <c r="L16" i="14"/>
  <c r="L8" i="14"/>
  <c r="L7" i="14"/>
  <c r="L70" i="14"/>
  <c r="L87" i="14"/>
  <c r="L104" i="14"/>
  <c r="B1" i="14"/>
  <c r="L84" i="14"/>
  <c r="L9" i="14"/>
  <c r="L12" i="14"/>
  <c r="L15" i="14"/>
  <c r="L17" i="14"/>
  <c r="L21" i="14"/>
  <c r="L22" i="14"/>
  <c r="L23" i="14"/>
  <c r="L24" i="14"/>
  <c r="L25" i="14"/>
  <c r="L26" i="14"/>
  <c r="L27" i="14"/>
  <c r="L28" i="14"/>
  <c r="L29" i="14"/>
  <c r="L30" i="14"/>
  <c r="L31" i="14"/>
  <c r="L32" i="14"/>
  <c r="L33" i="14"/>
  <c r="L34" i="14"/>
  <c r="L35" i="14"/>
  <c r="L36" i="14"/>
  <c r="L38" i="14"/>
  <c r="L40" i="14"/>
  <c r="L41" i="14"/>
  <c r="L42" i="14"/>
  <c r="L43" i="14"/>
  <c r="L44" i="14"/>
  <c r="L45" i="14"/>
  <c r="L46" i="14"/>
  <c r="L47" i="14"/>
  <c r="L48" i="14"/>
  <c r="L49" i="14"/>
  <c r="L50" i="14"/>
  <c r="L51" i="14"/>
  <c r="L52" i="14"/>
  <c r="L53" i="14"/>
  <c r="L54" i="14"/>
  <c r="L55" i="14"/>
  <c r="L59" i="14"/>
  <c r="L61" i="14"/>
  <c r="L64" i="14"/>
  <c r="L65" i="14"/>
  <c r="L66" i="14"/>
  <c r="L67" i="14"/>
  <c r="L68" i="14"/>
  <c r="L69" i="14"/>
  <c r="L71" i="14"/>
  <c r="L72" i="14"/>
  <c r="L73" i="14"/>
  <c r="L74" i="14"/>
  <c r="L76" i="14"/>
  <c r="L82" i="14"/>
  <c r="L83" i="14"/>
  <c r="L85" i="14"/>
  <c r="L86" i="14"/>
  <c r="L88" i="14"/>
  <c r="L89" i="14"/>
  <c r="L90" i="14"/>
  <c r="L91" i="14"/>
  <c r="L94" i="14"/>
  <c r="L95" i="14"/>
  <c r="L96" i="14"/>
  <c r="L97" i="14"/>
  <c r="L98" i="14"/>
  <c r="L99" i="14"/>
  <c r="L100" i="14"/>
  <c r="L101" i="14"/>
  <c r="L102" i="14"/>
  <c r="L154" i="2"/>
  <c r="H154" i="2"/>
  <c r="L137" i="2"/>
  <c r="L138" i="2"/>
  <c r="H137" i="2"/>
  <c r="H138" i="2"/>
  <c r="L73" i="2"/>
  <c r="H73" i="2"/>
  <c r="L231" i="2"/>
  <c r="L229" i="2"/>
  <c r="H231" i="2"/>
  <c r="H229" i="2"/>
  <c r="B2" i="14"/>
  <c r="H161" i="2"/>
  <c r="L90" i="2"/>
  <c r="L93" i="2"/>
  <c r="L110" i="2"/>
  <c r="L121" i="2"/>
  <c r="L126" i="2"/>
  <c r="L163" i="2"/>
  <c r="L123" i="2"/>
  <c r="L175" i="2"/>
  <c r="L176" i="2"/>
  <c r="L161" i="2"/>
  <c r="H175" i="2"/>
  <c r="H176" i="2"/>
  <c r="H90" i="2"/>
  <c r="H93" i="2"/>
  <c r="H110" i="2"/>
  <c r="H121" i="2"/>
  <c r="H126" i="2"/>
  <c r="H163" i="2"/>
  <c r="H123" i="2"/>
  <c r="L155" i="2"/>
  <c r="L185" i="2"/>
  <c r="L181" i="2"/>
  <c r="H155" i="2"/>
  <c r="H185" i="2"/>
  <c r="H181" i="2"/>
  <c r="H19" i="2"/>
  <c r="L19" i="2"/>
  <c r="H5" i="2"/>
  <c r="H6" i="2"/>
  <c r="H7" i="2"/>
  <c r="H8" i="2"/>
  <c r="H9" i="2"/>
  <c r="H10" i="2"/>
  <c r="H11" i="2"/>
  <c r="H12" i="2"/>
  <c r="H13" i="2"/>
  <c r="H14" i="2"/>
  <c r="H15" i="2"/>
  <c r="H16" i="2"/>
  <c r="H17" i="2"/>
  <c r="H18"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4" i="2"/>
  <c r="H75" i="2"/>
  <c r="H76" i="2"/>
  <c r="H77" i="2"/>
  <c r="H78" i="2"/>
  <c r="H79" i="2"/>
  <c r="H80" i="2"/>
  <c r="H81" i="2"/>
  <c r="H82" i="2"/>
  <c r="H83" i="2"/>
  <c r="H84" i="2"/>
  <c r="H85" i="2"/>
  <c r="H86" i="2"/>
  <c r="H87" i="2"/>
  <c r="H88" i="2"/>
  <c r="H89" i="2"/>
  <c r="H91" i="2"/>
  <c r="H92" i="2"/>
  <c r="H94" i="2"/>
  <c r="H95" i="2"/>
  <c r="H96" i="2"/>
  <c r="H97" i="2"/>
  <c r="H98" i="2"/>
  <c r="H99" i="2"/>
  <c r="H100" i="2"/>
  <c r="H101" i="2"/>
  <c r="H102" i="2"/>
  <c r="H103" i="2"/>
  <c r="H104" i="2"/>
  <c r="H105" i="2"/>
  <c r="H106" i="2"/>
  <c r="H107" i="2"/>
  <c r="H108" i="2"/>
  <c r="H109" i="2"/>
  <c r="H111" i="2"/>
  <c r="H112" i="2"/>
  <c r="H113" i="2"/>
  <c r="H114" i="2"/>
  <c r="H115" i="2"/>
  <c r="H116" i="2"/>
  <c r="H117" i="2"/>
  <c r="H118" i="2"/>
  <c r="H119" i="2"/>
  <c r="H120" i="2"/>
  <c r="H122" i="2"/>
  <c r="H124" i="2"/>
  <c r="H125" i="2"/>
  <c r="H127" i="2"/>
  <c r="H128" i="2"/>
  <c r="H129" i="2"/>
  <c r="H130" i="2"/>
  <c r="H131" i="2"/>
  <c r="H132" i="2"/>
  <c r="H134" i="2"/>
  <c r="H135" i="2"/>
  <c r="H136" i="2"/>
  <c r="H139" i="2"/>
  <c r="H140" i="2"/>
  <c r="H141" i="2"/>
  <c r="H142" i="2"/>
  <c r="H143" i="2"/>
  <c r="H144" i="2"/>
  <c r="H148" i="2"/>
  <c r="H151" i="2"/>
  <c r="H156" i="2"/>
  <c r="H157" i="2"/>
  <c r="H158" i="2"/>
  <c r="H159" i="2"/>
  <c r="H160" i="2"/>
  <c r="H162" i="2"/>
  <c r="H164" i="2"/>
  <c r="H165" i="2"/>
  <c r="H166" i="2"/>
  <c r="H167" i="2"/>
  <c r="H168" i="2"/>
  <c r="H169" i="2"/>
  <c r="H170" i="2"/>
  <c r="H171" i="2"/>
  <c r="H172" i="2"/>
  <c r="H173" i="2"/>
  <c r="H174" i="2"/>
  <c r="H177" i="2"/>
  <c r="H178" i="2"/>
  <c r="H179" i="2"/>
  <c r="H180" i="2"/>
  <c r="H182" i="2"/>
  <c r="H183" i="2"/>
  <c r="H184" i="2"/>
  <c r="H186" i="2"/>
  <c r="H187" i="2"/>
  <c r="H188" i="2"/>
  <c r="H189" i="2"/>
  <c r="H190"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30"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7" i="2"/>
  <c r="H278" i="2"/>
  <c r="H279" i="2"/>
  <c r="H280" i="2"/>
  <c r="H281" i="2"/>
  <c r="H282" i="2"/>
  <c r="H283" i="2"/>
  <c r="H284" i="2"/>
  <c r="H285" i="2"/>
  <c r="H286" i="2"/>
  <c r="H287" i="2"/>
  <c r="H288" i="2"/>
  <c r="H289" i="2"/>
  <c r="H290" i="2"/>
  <c r="H291" i="2"/>
  <c r="H292" i="2"/>
  <c r="H293" i="2"/>
  <c r="H4" i="2"/>
  <c r="L274" i="2"/>
  <c r="L88" i="2"/>
  <c r="L96" i="2"/>
  <c r="L92" i="2"/>
  <c r="L95" i="2"/>
  <c r="L109" i="2"/>
  <c r="L115" i="2"/>
  <c r="L224" i="2"/>
  <c r="L140" i="2"/>
  <c r="L127" i="2"/>
  <c r="L125" i="2"/>
  <c r="L144" i="2"/>
  <c r="L66" i="2"/>
  <c r="L139" i="2"/>
  <c r="L209" i="2"/>
  <c r="L210" i="2"/>
  <c r="L196" i="2"/>
  <c r="L5" i="2"/>
  <c r="L6" i="2"/>
  <c r="L7" i="2"/>
  <c r="L8" i="2"/>
  <c r="L9" i="2"/>
  <c r="L10" i="2"/>
  <c r="L11" i="2"/>
  <c r="L12" i="2"/>
  <c r="L13" i="2"/>
  <c r="L14" i="2"/>
  <c r="L15" i="2"/>
  <c r="L16" i="2"/>
  <c r="L17" i="2"/>
  <c r="L18"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7" i="2"/>
  <c r="L68" i="2"/>
  <c r="L69" i="2"/>
  <c r="L70" i="2"/>
  <c r="L71" i="2"/>
  <c r="L72" i="2"/>
  <c r="L74" i="2"/>
  <c r="L75" i="2"/>
  <c r="L76" i="2"/>
  <c r="L77" i="2"/>
  <c r="L78" i="2"/>
  <c r="L79" i="2"/>
  <c r="L80" i="2"/>
  <c r="L81" i="2"/>
  <c r="L82" i="2"/>
  <c r="L83" i="2"/>
  <c r="L84" i="2"/>
  <c r="L85" i="2"/>
  <c r="L86" i="2"/>
  <c r="L87" i="2"/>
  <c r="L89" i="2"/>
  <c r="L91" i="2"/>
  <c r="L94" i="2"/>
  <c r="L97" i="2"/>
  <c r="L98" i="2"/>
  <c r="L99" i="2"/>
  <c r="L100" i="2"/>
  <c r="L101" i="2"/>
  <c r="L102" i="2"/>
  <c r="L103" i="2"/>
  <c r="L104" i="2"/>
  <c r="L105" i="2"/>
  <c r="L106" i="2"/>
  <c r="L107" i="2"/>
  <c r="L108" i="2"/>
  <c r="L111" i="2"/>
  <c r="L112" i="2"/>
  <c r="L113" i="2"/>
  <c r="L114" i="2"/>
  <c r="L116" i="2"/>
  <c r="L117" i="2"/>
  <c r="L118" i="2"/>
  <c r="L119" i="2"/>
  <c r="L120" i="2"/>
  <c r="L122" i="2"/>
  <c r="L124" i="2"/>
  <c r="L128" i="2"/>
  <c r="L129" i="2"/>
  <c r="L130" i="2"/>
  <c r="L131" i="2"/>
  <c r="L132" i="2"/>
  <c r="L134" i="2"/>
  <c r="L135" i="2"/>
  <c r="L136" i="2"/>
  <c r="L141" i="2"/>
  <c r="L142" i="2"/>
  <c r="L143" i="2"/>
  <c r="L148" i="2"/>
  <c r="L151" i="2"/>
  <c r="L156" i="2"/>
  <c r="L157" i="2"/>
  <c r="L158" i="2"/>
  <c r="L159" i="2"/>
  <c r="L160" i="2"/>
  <c r="L162" i="2"/>
  <c r="L164" i="2"/>
  <c r="L165" i="2"/>
  <c r="L166" i="2"/>
  <c r="L167" i="2"/>
  <c r="L168" i="2"/>
  <c r="L169" i="2"/>
  <c r="L170" i="2"/>
  <c r="L171" i="2"/>
  <c r="L172" i="2"/>
  <c r="L173" i="2"/>
  <c r="L174" i="2"/>
  <c r="L177" i="2"/>
  <c r="L178" i="2"/>
  <c r="L179" i="2"/>
  <c r="L180" i="2"/>
  <c r="L182" i="2"/>
  <c r="L183" i="2"/>
  <c r="L184" i="2"/>
  <c r="L186" i="2"/>
  <c r="L187" i="2"/>
  <c r="L188" i="2"/>
  <c r="L189" i="2"/>
  <c r="L190" i="2"/>
  <c r="L192" i="2"/>
  <c r="L193" i="2"/>
  <c r="L194" i="2"/>
  <c r="L195" i="2"/>
  <c r="L197" i="2"/>
  <c r="L198" i="2"/>
  <c r="L199" i="2"/>
  <c r="L200" i="2"/>
  <c r="L201" i="2"/>
  <c r="L202" i="2"/>
  <c r="L203" i="2"/>
  <c r="L204" i="2"/>
  <c r="L205" i="2"/>
  <c r="L206" i="2"/>
  <c r="L207" i="2"/>
  <c r="L208" i="2"/>
  <c r="L211" i="2"/>
  <c r="L212" i="2"/>
  <c r="L213" i="2"/>
  <c r="L214" i="2"/>
  <c r="L215" i="2"/>
  <c r="L216" i="2"/>
  <c r="L217" i="2"/>
  <c r="L218" i="2"/>
  <c r="L219" i="2"/>
  <c r="L220" i="2"/>
  <c r="L221" i="2"/>
  <c r="L222" i="2"/>
  <c r="L223" i="2"/>
  <c r="L225" i="2"/>
  <c r="L226" i="2"/>
  <c r="L227" i="2"/>
  <c r="L228" i="2"/>
  <c r="L230"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5" i="2"/>
  <c r="L277" i="2"/>
  <c r="L278" i="2"/>
  <c r="L279" i="2"/>
  <c r="L280" i="2"/>
  <c r="L281" i="2"/>
  <c r="L282" i="2"/>
  <c r="L283" i="2"/>
  <c r="L284" i="2"/>
  <c r="L285" i="2"/>
  <c r="L286" i="2"/>
  <c r="L287" i="2"/>
  <c r="L288" i="2"/>
  <c r="L289" i="2"/>
  <c r="L290" i="2"/>
  <c r="L291" i="2"/>
  <c r="L292" i="2"/>
  <c r="L293" i="2"/>
  <c r="L4" i="2"/>
  <c r="E2" i="2"/>
  <c r="F2" i="2"/>
  <c r="G2" i="2"/>
  <c r="D2" i="2"/>
  <c r="H2" i="2"/>
  <c r="L2" i="2"/>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4" i="14"/>
  <c r="L5" i="14"/>
  <c r="L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Nestor Cristian Gonzalez Opelt</author>
    <author>INET</author>
  </authors>
  <commentList>
    <comment ref="C106" authorId="0" shapeId="0" xr:uid="{75102718-60AF-42CE-9082-84374BAA9CD3}">
      <text>
        <r>
          <rPr>
            <b/>
            <sz val="9"/>
            <color indexed="81"/>
            <rFont val="Tahoma"/>
            <family val="2"/>
          </rPr>
          <t>Nestor Cristian Gonzalez Opelt:</t>
        </r>
        <r>
          <rPr>
            <sz val="9"/>
            <color indexed="81"/>
            <rFont val="Tahoma"/>
            <family val="2"/>
          </rPr>
          <t xml:space="preserve">
No dicta enfermeria en 2024. Informa EVenturini14/05/24.
7/3/25 Solicitan nueva incorporacion.</t>
        </r>
      </text>
    </comment>
    <comment ref="M510" authorId="1" shapeId="0" xr:uid="{00000000-0006-0000-0000-000001000000}">
      <text>
        <r>
          <rPr>
            <b/>
            <sz val="9"/>
            <color indexed="81"/>
            <rFont val="Tahoma"/>
            <family val="2"/>
          </rPr>
          <t xml:space="preserve">INET:
</t>
        </r>
        <r>
          <rPr>
            <sz val="9"/>
            <color indexed="81"/>
            <rFont val="Tahoma"/>
            <family val="2"/>
          </rPr>
          <t>Toda la comunicación enviarla a ambas autoridades.</t>
        </r>
      </text>
    </comment>
    <comment ref="Q510" authorId="1" shapeId="0" xr:uid="{00000000-0006-0000-0000-000002000000}">
      <text>
        <r>
          <rPr>
            <b/>
            <sz val="9"/>
            <color indexed="81"/>
            <rFont val="Tahoma"/>
            <family val="2"/>
          </rPr>
          <t>INET:</t>
        </r>
        <r>
          <rPr>
            <sz val="9"/>
            <color indexed="81"/>
            <rFont val="Tahoma"/>
            <family val="2"/>
          </rPr>
          <t xml:space="preserve">
Toda la comunicación enviarla a mabas autoridades.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INET</author>
  </authors>
  <commentList>
    <comment ref="F341" authorId="0" shapeId="0" xr:uid="{00000000-0006-0000-0100-000001000000}">
      <text>
        <r>
          <rPr>
            <b/>
            <sz val="9"/>
            <color indexed="81"/>
            <rFont val="Tahoma"/>
            <family val="2"/>
          </rPr>
          <t>INET:</t>
        </r>
        <r>
          <rPr>
            <sz val="9"/>
            <color indexed="81"/>
            <rFont val="Tahoma"/>
            <family val="2"/>
          </rPr>
          <t xml:space="preserve">
Descuento 11, por la explicacion dada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Nestor Cristian Gonzalez Opelt</author>
    <author>INET</author>
    <author/>
  </authors>
  <commentList>
    <comment ref="B2" authorId="0" shapeId="0" xr:uid="{71ABDFFE-D678-48FC-B18F-CDD0979A8878}">
      <text>
        <r>
          <rPr>
            <b/>
            <sz val="9"/>
            <color indexed="81"/>
            <rFont val="Tahoma"/>
            <family val="2"/>
          </rPr>
          <t>Nestor Cristian Gonzalez Opelt:</t>
        </r>
        <r>
          <rPr>
            <sz val="9"/>
            <color indexed="81"/>
            <rFont val="Tahoma"/>
            <family val="2"/>
          </rPr>
          <t xml:space="preserve">
Cese de actividades en marzo 2023</t>
        </r>
      </text>
    </comment>
    <comment ref="B3" authorId="0" shapeId="0" xr:uid="{EB44EF46-77A9-4248-955A-171ED79073F8}">
      <text>
        <r>
          <rPr>
            <b/>
            <sz val="9"/>
            <color indexed="81"/>
            <rFont val="Tahoma"/>
            <family val="2"/>
          </rPr>
          <t>Nestor Cristian Gonzalez Opelt:</t>
        </r>
        <r>
          <rPr>
            <sz val="9"/>
            <color indexed="81"/>
            <rFont val="Tahoma"/>
            <family val="2"/>
          </rPr>
          <t xml:space="preserve">
Cesa sus actividades en marzo 2024. Informado telefonicamente por Anibal Avila.</t>
        </r>
      </text>
    </comment>
    <comment ref="B4" authorId="1" shapeId="0" xr:uid="{00000000-0006-0000-0500-000001000000}">
      <text>
        <r>
          <rPr>
            <b/>
            <sz val="9"/>
            <color indexed="81"/>
            <rFont val="Tahoma"/>
            <family val="2"/>
          </rPr>
          <t xml:space="preserve">INET: </t>
        </r>
        <r>
          <rPr>
            <sz val="9"/>
            <color indexed="81"/>
            <rFont val="Tahoma"/>
            <family val="2"/>
          </rPr>
          <t>2021 deja de dictar la TSE. Informado por Eventurini 23/06/21</t>
        </r>
      </text>
    </comment>
    <comment ref="B5" authorId="0" shapeId="0" xr:uid="{1C8B8B91-380D-406E-A686-153A1B9F1E38}">
      <text>
        <r>
          <rPr>
            <b/>
            <sz val="9"/>
            <color indexed="81"/>
            <rFont val="Tahoma"/>
            <family val="2"/>
          </rPr>
          <t>Nestor Cristian Gonzalez Opelt:</t>
        </r>
        <r>
          <rPr>
            <sz val="9"/>
            <color indexed="81"/>
            <rFont val="Tahoma"/>
            <family val="2"/>
          </rPr>
          <t xml:space="preserve">
No dicta enfermeria en 2024. Informa EVenturini14/05/24</t>
        </r>
      </text>
    </comment>
    <comment ref="B6" authorId="1" shapeId="0" xr:uid="{7A65A1BA-C991-4B98-B371-1D40A36ADE1A}">
      <text>
        <r>
          <rPr>
            <b/>
            <sz val="9"/>
            <color indexed="81"/>
            <rFont val="Tahoma"/>
            <family val="2"/>
          </rPr>
          <t>INET:</t>
        </r>
        <r>
          <rPr>
            <sz val="9"/>
            <color indexed="81"/>
            <rFont val="Tahoma"/>
            <family val="2"/>
          </rPr>
          <t xml:space="preserve">
Se convirtio en Instituto Superior de Formación Docente y Técnica Nº 236. CUE: 062420800 </t>
        </r>
      </text>
    </comment>
    <comment ref="B7" authorId="0" shapeId="0" xr:uid="{2479473C-5547-4151-AFF1-AE381EE25C6E}">
      <text>
        <r>
          <rPr>
            <b/>
            <sz val="9"/>
            <color indexed="81"/>
            <rFont val="Tahoma"/>
            <family val="2"/>
          </rPr>
          <t>Nestor Cristian Gonzalez Opelt:</t>
        </r>
        <r>
          <rPr>
            <sz val="9"/>
            <color indexed="81"/>
            <rFont val="Tahoma"/>
            <family val="2"/>
          </rPr>
          <t xml:space="preserve">
No dicta enfermeria en 2024. Informa EVenturini14/05/24</t>
        </r>
      </text>
    </comment>
    <comment ref="B8" authorId="1" shapeId="0" xr:uid="{00000000-0006-0000-0500-000003000000}">
      <text>
        <r>
          <rPr>
            <b/>
            <sz val="9"/>
            <color indexed="81"/>
            <rFont val="Tahoma"/>
            <family val="2"/>
          </rPr>
          <t>INET:</t>
        </r>
        <r>
          <rPr>
            <sz val="9"/>
            <color indexed="81"/>
            <rFont val="Tahoma"/>
            <family val="2"/>
          </rPr>
          <t xml:space="preserve">
No dicta TSE en 2022. Informa CMAglione por nota 29/07/22</t>
        </r>
      </text>
    </comment>
    <comment ref="B9" authorId="1" shapeId="0" xr:uid="{203795D7-41B0-4CA6-A1EE-748D4FE238E7}">
      <text>
        <r>
          <rPr>
            <b/>
            <sz val="9"/>
            <color indexed="81"/>
            <rFont val="Tahoma"/>
            <family val="2"/>
          </rPr>
          <t>INET:</t>
        </r>
        <r>
          <rPr>
            <sz val="9"/>
            <color indexed="81"/>
            <rFont val="Tahoma"/>
            <family val="2"/>
          </rPr>
          <t xml:space="preserve">
No dicta TSE en 2022. Informa CMAglione por nota 29/07/22. Vuelve a dictar en 2023
</t>
        </r>
      </text>
    </comment>
    <comment ref="B10" authorId="1" shapeId="0" xr:uid="{00000000-0006-0000-0500-000005000000}">
      <text>
        <r>
          <rPr>
            <b/>
            <sz val="9"/>
            <color indexed="81"/>
            <rFont val="Tahoma"/>
            <family val="2"/>
          </rPr>
          <t>INET:</t>
        </r>
        <r>
          <rPr>
            <sz val="9"/>
            <color indexed="81"/>
            <rFont val="Tahoma"/>
            <family val="2"/>
          </rPr>
          <t xml:space="preserve">
No dicta TSE en 2022. Informa CMAglione por nota 29/07/22</t>
        </r>
      </text>
    </comment>
    <comment ref="B11" authorId="0" shapeId="0" xr:uid="{41E48B1E-01D0-455D-97A1-388D6F30052D}">
      <text>
        <r>
          <rPr>
            <b/>
            <sz val="9"/>
            <color indexed="81"/>
            <rFont val="Tahoma"/>
            <family val="2"/>
          </rPr>
          <t>Nestor Cristian Gonzalez Opelt:</t>
        </r>
        <r>
          <rPr>
            <sz val="9"/>
            <color indexed="81"/>
            <rFont val="Tahoma"/>
            <family val="2"/>
          </rPr>
          <t xml:space="preserve">
No dicta enfermeria en 2024. Informa EVenturini14/05/24.
7/3/25 Solicitan nueva incorporacion.</t>
        </r>
      </text>
    </comment>
    <comment ref="B12" authorId="2" shapeId="0" xr:uid="{5079345F-2703-4783-AD75-8E06E28EB10C}">
      <text>
        <r>
          <rPr>
            <sz val="11"/>
            <color rgb="FF000000"/>
            <rFont val="Calibri"/>
            <family val="2"/>
          </rPr>
          <t>======
ncgonzalez    (2020-10-02 15:03:15)
Por resolución Ministerial Nº 1131,las carreras técnicas de nivel superior que se dictan en el Instituto Superior Dr. Ramón J. Carrillo Anexo Villa María, son transferidas al Instituto de Educación Superior del centro de la República "Dr. Ángel Diego Márquez" CUE 140337300. Córdoba, 07 de noviembre de 2019.</t>
        </r>
      </text>
    </comment>
    <comment ref="B13" authorId="2" shapeId="0" xr:uid="{00000000-0006-0000-0500-000007000000}">
      <text>
        <r>
          <rPr>
            <sz val="11"/>
            <color rgb="FF000000"/>
            <rFont val="Calibri"/>
            <family val="2"/>
          </rPr>
          <t>======
ID#AAAAIvyVNgY
ncgonzalez    (2020-10-02 15:03:15)
Dejo de dictar la carrera</t>
        </r>
      </text>
    </comment>
    <comment ref="B14" authorId="1" shapeId="0" xr:uid="{C912A736-7BBF-474F-AE5E-EF90D54BE37B}">
      <text>
        <r>
          <rPr>
            <b/>
            <sz val="9"/>
            <color indexed="81"/>
            <rFont val="Tahoma"/>
            <family val="2"/>
          </rPr>
          <t>INET:</t>
        </r>
        <r>
          <rPr>
            <sz val="9"/>
            <color indexed="81"/>
            <rFont val="Tahoma"/>
            <family val="2"/>
          </rPr>
          <t xml:space="preserve">
2021 deja de dictar la TSE. Informado por Zamar 15/06/21</t>
        </r>
      </text>
    </comment>
    <comment ref="B15" authorId="0" shapeId="0" xr:uid="{8AE6BB90-F0B5-461D-92C8-174CDE1A7028}">
      <text>
        <r>
          <rPr>
            <b/>
            <sz val="9"/>
            <color indexed="81"/>
            <rFont val="Tahoma"/>
            <family val="2"/>
          </rPr>
          <t>Nestor Cristian Gonzalez Opelt:</t>
        </r>
        <r>
          <rPr>
            <sz val="9"/>
            <color indexed="81"/>
            <rFont val="Tahoma"/>
            <family val="2"/>
          </rPr>
          <t xml:space="preserve">
Ya no dicta TSE. Informa por mail CMartinez 27/05/24</t>
        </r>
      </text>
    </comment>
    <comment ref="B16" authorId="2" shapeId="0" xr:uid="{00000000-0006-0000-0500-000009000000}">
      <text>
        <r>
          <rPr>
            <sz val="11"/>
            <color rgb="FF000000"/>
            <rFont val="Calibri"/>
            <family val="2"/>
          </rPr>
          <t>======
ID#AAAAIvyVNgU
ncgonzalez    (2020-10-02 15:03:15)
Dejo de dictar la carrera</t>
        </r>
      </text>
    </comment>
    <comment ref="B17" authorId="0" shapeId="0" xr:uid="{E877FC45-0F6B-4473-B268-2ECBC8357FBA}">
      <text>
        <r>
          <rPr>
            <b/>
            <sz val="9"/>
            <color indexed="81"/>
            <rFont val="Tahoma"/>
            <family val="2"/>
          </rPr>
          <t>Nestor Cristian Gonzalez Opelt:</t>
        </r>
        <r>
          <rPr>
            <sz val="9"/>
            <color indexed="81"/>
            <rFont val="Tahoma"/>
            <family val="2"/>
          </rPr>
          <t xml:space="preserve">
Informado verbalmente por ARougier el 31/05/23</t>
        </r>
      </text>
    </comment>
    <comment ref="B18" authorId="0" shapeId="0" xr:uid="{AE4128E4-8E94-4B2A-AA76-C47C97BF3815}">
      <text>
        <r>
          <rPr>
            <b/>
            <sz val="9"/>
            <color indexed="81"/>
            <rFont val="Tahoma"/>
            <family val="2"/>
          </rPr>
          <t>Nestor Cristian Gonzalez Opelt:</t>
        </r>
        <r>
          <rPr>
            <sz val="9"/>
            <color indexed="81"/>
            <rFont val="Tahoma"/>
            <family val="2"/>
          </rPr>
          <t xml:space="preserve">
Informado telefonicamente por Carla Wayar 24/05/24</t>
        </r>
      </text>
    </comment>
    <comment ref="B19" authorId="0" shapeId="0" xr:uid="{B6580B83-38DA-4A3E-AF8A-96CD0292904B}">
      <text>
        <r>
          <rPr>
            <b/>
            <sz val="9"/>
            <color indexed="81"/>
            <rFont val="Tahoma"/>
            <family val="2"/>
          </rPr>
          <t>Nestor Cristian Gonzalez Opelt:</t>
        </r>
        <r>
          <rPr>
            <sz val="9"/>
            <color indexed="81"/>
            <rFont val="Tahoma"/>
            <family val="2"/>
          </rPr>
          <t xml:space="preserve">
No se autorizo la cohorte 2023. Ver nota </t>
        </r>
      </text>
    </comment>
    <comment ref="B20" authorId="0" shapeId="0" xr:uid="{F3413A83-A9F4-465C-BCBA-23A0CA62BC3B}">
      <text>
        <r>
          <rPr>
            <b/>
            <sz val="9"/>
            <color indexed="81"/>
            <rFont val="Tahoma"/>
            <family val="2"/>
          </rPr>
          <t>Nestor Cristian Gonzalez Opelt:</t>
        </r>
        <r>
          <rPr>
            <sz val="9"/>
            <color indexed="81"/>
            <rFont val="Tahoma"/>
            <family val="2"/>
          </rPr>
          <t xml:space="preserve">
No se autorizo la cohorte 2023. Ver nota </t>
        </r>
      </text>
    </comment>
    <comment ref="B21" authorId="0" shapeId="0" xr:uid="{71063033-65E5-4614-9B89-19659D9846E5}">
      <text>
        <r>
          <rPr>
            <b/>
            <sz val="9"/>
            <color indexed="81"/>
            <rFont val="Tahoma"/>
            <family val="2"/>
          </rPr>
          <t>Nestor Cristian Gonzalez Opelt:</t>
        </r>
        <r>
          <rPr>
            <sz val="9"/>
            <color indexed="81"/>
            <rFont val="Tahoma"/>
            <family val="2"/>
          </rPr>
          <t xml:space="preserve">
En 2024 no dicta la TSE. Informado por LCuello en mail 27/5/24</t>
        </r>
      </text>
    </comment>
    <comment ref="B22" authorId="0" shapeId="0" xr:uid="{43813815-B87C-40BE-BDE4-75D83BE9BD3C}">
      <text>
        <r>
          <rPr>
            <b/>
            <sz val="9"/>
            <color indexed="81"/>
            <rFont val="Tahoma"/>
            <family val="2"/>
          </rPr>
          <t>Nestor Cristian Gonzalez Opelt:</t>
        </r>
        <r>
          <rPr>
            <sz val="9"/>
            <color indexed="81"/>
            <rFont val="Tahoma"/>
            <family val="2"/>
          </rPr>
          <t xml:space="preserve">
No dicta TSE en 2024. Informado por ACMerlo por mail 22/05</t>
        </r>
      </text>
    </comment>
    <comment ref="B23" authorId="2" shapeId="0" xr:uid="{00000000-0006-0000-0500-00000A000000}">
      <text>
        <r>
          <rPr>
            <sz val="11"/>
            <color rgb="FF000000"/>
            <rFont val="Calibri"/>
            <family val="2"/>
          </rPr>
          <t>======
ID#AAAAIvyVNgc
ncgonzalez    (2020-10-02 15:03:15)
Dejo de ser Anexo paso a ser ISP 67 CUE 820468200</t>
        </r>
      </text>
    </comment>
    <comment ref="B24" authorId="0" shapeId="0" xr:uid="{FA0CC3C8-3ADE-47F4-A7D4-A77BCD8F941D}">
      <text>
        <r>
          <rPr>
            <b/>
            <sz val="9"/>
            <color indexed="81"/>
            <rFont val="Tahoma"/>
            <family val="2"/>
          </rPr>
          <t>Nestor Cristian Gonzalez Opelt:</t>
        </r>
        <r>
          <rPr>
            <sz val="9"/>
            <color indexed="81"/>
            <rFont val="Tahoma"/>
            <family val="2"/>
          </rPr>
          <t xml:space="preserve">
Sin alumnos en 2024</t>
        </r>
      </text>
    </comment>
    <comment ref="B25" authorId="0" shapeId="0" xr:uid="{7D9F69D0-B183-441C-8527-90A206C147DA}">
      <text>
        <r>
          <rPr>
            <b/>
            <sz val="9"/>
            <color indexed="81"/>
            <rFont val="Tahoma"/>
            <family val="2"/>
          </rPr>
          <t>Nestor Cristian Gonzalez Opelt:</t>
        </r>
        <r>
          <rPr>
            <sz val="9"/>
            <color indexed="81"/>
            <rFont val="Tahoma"/>
            <family val="2"/>
          </rPr>
          <t xml:space="preserve">
Sin alumnos en 2024</t>
        </r>
      </text>
    </comment>
  </commentList>
</comments>
</file>

<file path=xl/sharedStrings.xml><?xml version="1.0" encoding="utf-8"?>
<sst xmlns="http://schemas.openxmlformats.org/spreadsheetml/2006/main" count="5719" uniqueCount="2818">
  <si>
    <t>CUE</t>
  </si>
  <si>
    <t>Nombre de la Institución</t>
  </si>
  <si>
    <t>DEPARTAMENTO</t>
  </si>
  <si>
    <t>LOCALIDAD</t>
  </si>
  <si>
    <t>Ambito de Gestión</t>
  </si>
  <si>
    <t>Tipo de Institución</t>
  </si>
  <si>
    <t>DIRECCION</t>
  </si>
  <si>
    <t>TELEFONO</t>
  </si>
  <si>
    <t>MAIL</t>
  </si>
  <si>
    <t>Autoridad Institucional</t>
  </si>
  <si>
    <t>Autoridad de Carrera</t>
  </si>
  <si>
    <t>Instituto Superior Huellas Misioneras</t>
  </si>
  <si>
    <t>CP</t>
  </si>
  <si>
    <t>Cargo</t>
  </si>
  <si>
    <t>Docentes</t>
  </si>
  <si>
    <t>Nombre</t>
  </si>
  <si>
    <t>Instituto Superior Adventista de Misiones</t>
  </si>
  <si>
    <t>PROVINCIA</t>
  </si>
  <si>
    <t>PCIA</t>
  </si>
  <si>
    <t>DIRECTOR</t>
  </si>
  <si>
    <t>TELÉFONO DIRECTOR</t>
  </si>
  <si>
    <t>MAIL DIRECTOR</t>
  </si>
  <si>
    <t>COORDINADOR CARRERA</t>
  </si>
  <si>
    <t>TELÉFONO Coordinador</t>
  </si>
  <si>
    <t>MAIL Coordinador</t>
  </si>
  <si>
    <t>Turno Cursada Enfermería</t>
  </si>
  <si>
    <t>Requisito para el ingreso</t>
  </si>
  <si>
    <t>Vacantes 1° año</t>
  </si>
  <si>
    <t>Fechas de inscripción a la carrera</t>
  </si>
  <si>
    <t>Prácticas Profesionalizantes 1° año</t>
  </si>
  <si>
    <t>Prácticas Profesionalizantes 2° año</t>
  </si>
  <si>
    <t>Prácticas Profesionalizantes 3° año</t>
  </si>
  <si>
    <t>Año ingreso al Pronafé</t>
  </si>
  <si>
    <t>Dependencia</t>
  </si>
  <si>
    <t>Cantidad de carreras que dictan</t>
  </si>
  <si>
    <t>Cantidad años en curso</t>
  </si>
  <si>
    <t>Aporte $150</t>
  </si>
  <si>
    <t xml:space="preserve"> (150,000 Acreditado)</t>
  </si>
  <si>
    <t xml:space="preserve">SImuladores entregados </t>
  </si>
  <si>
    <t>Mochilas entregadas</t>
  </si>
  <si>
    <t>Becados 2017</t>
  </si>
  <si>
    <t>Becados 2018</t>
  </si>
  <si>
    <t>Matricula (RFIETP)</t>
  </si>
  <si>
    <t>última Actualización</t>
  </si>
  <si>
    <t>1° 2015</t>
  </si>
  <si>
    <t>2° 2015</t>
  </si>
  <si>
    <t>3° 2015</t>
  </si>
  <si>
    <t>Egresados 2015</t>
  </si>
  <si>
    <t>1° 2016</t>
  </si>
  <si>
    <t>2° 2016</t>
  </si>
  <si>
    <t>3° 2016</t>
  </si>
  <si>
    <t>Egresados 2016</t>
  </si>
  <si>
    <t>1° 2017</t>
  </si>
  <si>
    <t>2° 2017</t>
  </si>
  <si>
    <t>3° 2017</t>
  </si>
  <si>
    <t>Egresados 2017</t>
  </si>
  <si>
    <t>1° 2018</t>
  </si>
  <si>
    <t>2° 2018</t>
  </si>
  <si>
    <t>3° 2018</t>
  </si>
  <si>
    <t>Egresados 2018</t>
  </si>
  <si>
    <t>1° 2019</t>
  </si>
  <si>
    <t>2° 2019</t>
  </si>
  <si>
    <t>3° 2019</t>
  </si>
  <si>
    <t>Egresados 2019</t>
  </si>
  <si>
    <t>% teórico egresados 2015</t>
  </si>
  <si>
    <t>% teórico egresados 2016</t>
  </si>
  <si>
    <t>% teórico egresados 2017</t>
  </si>
  <si>
    <t>% teórico egresados 2018</t>
  </si>
  <si>
    <t>2015% teorico promovidos 1-2</t>
  </si>
  <si>
    <t>2015 % teorico promovidos 2-3</t>
  </si>
  <si>
    <t>2016 % teorico promovidos 1-2</t>
  </si>
  <si>
    <t>2016% teorico promovidos 2-3</t>
  </si>
  <si>
    <t>2017 % teorico promovidos 1-2</t>
  </si>
  <si>
    <t>2017 % teorico promovidos 2-3</t>
  </si>
  <si>
    <t>2018 % teorico promovidos 1-2</t>
  </si>
  <si>
    <t>2018 % teorico promovidos 2-3</t>
  </si>
  <si>
    <t>% egreso real</t>
  </si>
  <si>
    <t>Observaciones</t>
  </si>
  <si>
    <t>Instituto de Educación Superior de Formación Docente Caá Catí</t>
  </si>
  <si>
    <t>Corrientes</t>
  </si>
  <si>
    <t>San Miguel</t>
  </si>
  <si>
    <t>Loreto</t>
  </si>
  <si>
    <t>Estatal</t>
  </si>
  <si>
    <t>Institución de ETP</t>
  </si>
  <si>
    <t>Corrientes N° 316</t>
  </si>
  <si>
    <t>(0379) 154636366</t>
  </si>
  <si>
    <t>subsedeloretoisfdcaacati@gmail.com</t>
  </si>
  <si>
    <t>Luis Emilio Cáceres Vecchietti</t>
  </si>
  <si>
    <t>03795 328993</t>
  </si>
  <si>
    <t>luisc_milo@yahoo.com.ar</t>
  </si>
  <si>
    <t>Ministerio Educación</t>
  </si>
  <si>
    <t>2 (1°y2°)</t>
  </si>
  <si>
    <t>NO</t>
  </si>
  <si>
    <t>SI</t>
  </si>
  <si>
    <t>Faltan Datos</t>
  </si>
  <si>
    <t>S/D</t>
  </si>
  <si>
    <t>Instituto de Educación Superior del Profesorado (I.S.P.) N° 60 San Carlos - Anexo B° Yapeyú</t>
  </si>
  <si>
    <t>Santa Fe</t>
  </si>
  <si>
    <t>La Capital</t>
  </si>
  <si>
    <t>Sarmiento N° 579</t>
  </si>
  <si>
    <t>03404-421813/ 0342 482-7200</t>
  </si>
  <si>
    <t>superior60_sancarloscentro@santafe.edu.ar; anexoisp60@gmail.com</t>
  </si>
  <si>
    <t>Diego Martín Farias</t>
  </si>
  <si>
    <t>0342 6985714</t>
  </si>
  <si>
    <t>diegofarias251303@gmail.com</t>
  </si>
  <si>
    <t>Miriam Mariela Maidana</t>
  </si>
  <si>
    <t>Diurno</t>
  </si>
  <si>
    <t>Feb</t>
  </si>
  <si>
    <t>Instituto Superior Dr. Ramón J. Carrillo -Anexo Villa María</t>
  </si>
  <si>
    <t>Córdoba</t>
  </si>
  <si>
    <t>General San Martín</t>
  </si>
  <si>
    <t>Villa María</t>
  </si>
  <si>
    <t>Mariano Moreno N° 264</t>
  </si>
  <si>
    <t>0353-4619034</t>
  </si>
  <si>
    <t>carrilloanexovillamaria@gmail.com</t>
  </si>
  <si>
    <t>Liliana María Lapelle</t>
  </si>
  <si>
    <t>llapelle@yahoo.com.ar</t>
  </si>
  <si>
    <t>Fabiana Noemí González</t>
  </si>
  <si>
    <t>0353 4180110</t>
  </si>
  <si>
    <t>fabiana.gonzalez4@gmail.com</t>
  </si>
  <si>
    <t>Nocturno</t>
  </si>
  <si>
    <t>Curso Nivelatorio</t>
  </si>
  <si>
    <t>Sin límite</t>
  </si>
  <si>
    <t>Nov-Marz</t>
  </si>
  <si>
    <t>Instituto Superior Técnico "Anexo Villa Huidobro"</t>
  </si>
  <si>
    <t>General Roca</t>
  </si>
  <si>
    <t>Villa Huidobro</t>
  </si>
  <si>
    <t>Pampa y Av. Libertador San Martín</t>
  </si>
  <si>
    <t>(0351) 4342718/22</t>
  </si>
  <si>
    <t>inspeccion.superioretp@cba.gov.ar</t>
  </si>
  <si>
    <t>Roberto René Borello</t>
  </si>
  <si>
    <t>roberto.borello@cba.gov.ar</t>
  </si>
  <si>
    <t xml:space="preserve"> Hospital Muncipal “Arnaldo Garofalo” (Elsa Venturini 571)/ Hogar Provincial de Ancianos “Evita” (Guemes S/n)</t>
  </si>
  <si>
    <t>1 (3°)</t>
  </si>
  <si>
    <t>Privado</t>
  </si>
  <si>
    <t>Total</t>
  </si>
  <si>
    <t>Buenos Aires</t>
  </si>
  <si>
    <t>CABA</t>
  </si>
  <si>
    <t>Catamarca</t>
  </si>
  <si>
    <t>Chaco</t>
  </si>
  <si>
    <t>Entre Ríos</t>
  </si>
  <si>
    <t>Jujuy</t>
  </si>
  <si>
    <t>Mendoza</t>
  </si>
  <si>
    <t>Misiones</t>
  </si>
  <si>
    <t>Neuquén</t>
  </si>
  <si>
    <t>Salta</t>
  </si>
  <si>
    <t>Santiago del Estero</t>
  </si>
  <si>
    <t>Tucumán</t>
  </si>
  <si>
    <t>Tierra del Fuego</t>
  </si>
  <si>
    <t>-</t>
  </si>
  <si>
    <t>Instituto Superior de Enfermería Israelita A-839</t>
  </si>
  <si>
    <t>Rosario del Tala</t>
  </si>
  <si>
    <t>Capital</t>
  </si>
  <si>
    <t>Añatuya</t>
  </si>
  <si>
    <t>Instituto Superior "Bernardo Houssay anexo Monte Buey"</t>
  </si>
  <si>
    <t>DIRECTORA</t>
  </si>
  <si>
    <t>Bell Ville</t>
  </si>
  <si>
    <t>Instituto de Educación Superior Arturo Capdevila</t>
  </si>
  <si>
    <t>Directora</t>
  </si>
  <si>
    <t xml:space="preserve">Instituto Superior "Del Centro de la República Dr. Angel Diego Márquez" </t>
  </si>
  <si>
    <t>Instituto Privado N° A-0895 "Escuela de Enfermería Helena Larroque de Roffo"</t>
  </si>
  <si>
    <t>Instituto Superior Cruz del Sacrificio</t>
  </si>
  <si>
    <t>Río Cuarto</t>
  </si>
  <si>
    <t>Villa del Rosario</t>
  </si>
  <si>
    <t>Instituto "S.E.P San Nicolás" (Sindicato de Empleados Públicos) -Anexo Cosquín</t>
  </si>
  <si>
    <t>Instituto "S.E.P San Nicolás" (Sindicato de Empleados Públicos) -Anexo Río Cuarto</t>
  </si>
  <si>
    <t>Villa General Belgrano</t>
  </si>
  <si>
    <t>Escuela Superior de Salud Pública N° 1453</t>
  </si>
  <si>
    <t>Instituto de Educación Superior (I. E. S.) N° 1453 Escuela Superior de Salud Pública - Anexo Pampa del Indio</t>
  </si>
  <si>
    <t>Instituto de Educación Superior (I. E. S.) N° 1453 Escuela Superior de Salud Pública - Anexo Villa Ángela</t>
  </si>
  <si>
    <t>Instituto de Educación Superior (I. E. S.) N° 1453 Escuela Superior de Salud Pública -Anexo Castelli</t>
  </si>
  <si>
    <t>Instituto de Educación Superior (I. E. S.) N° 1453 Escuela Superior de Salud Pública - Anexo Puerto Tirol</t>
  </si>
  <si>
    <t>Gualeguaychú</t>
  </si>
  <si>
    <t>Viale</t>
  </si>
  <si>
    <t>Gualeguay</t>
  </si>
  <si>
    <t>San Salvador de Jujuy</t>
  </si>
  <si>
    <t>Instituto "S.E.P San Nicolás" (Sindicato de Empleados Públicos) -Anexo Cruz del Eje</t>
  </si>
  <si>
    <t>Cruz del Eje</t>
  </si>
  <si>
    <t>Instituto "S.E.P San Nicolás" (Sindicato de Empleados Públicos) -Anexo Colón</t>
  </si>
  <si>
    <t>Instituto "S.E.P San Nicolás" (Sindicato de Empleados Públicos) -Anexo Marcos Juarez</t>
  </si>
  <si>
    <t>Instituto "S.E.P San Nicolás" (Sindicato de Empleados Públicos) -Anexo Oliva</t>
  </si>
  <si>
    <t>Instituto "S.E.P San Nicolás" (Sindicato de Empleados Públicos) -Anexo Villa María</t>
  </si>
  <si>
    <t>Instituto de Formación Técnica Superior (I.F.T.S.) N° A1493 "Instituto Superior Facultar"</t>
  </si>
  <si>
    <t>Instituto de Formación Técnica Superior (I.F.T.S.) N° A 1508 "Superior de Artes y Ciencias de la Salud"</t>
  </si>
  <si>
    <t>Instituto Superior de Formación Técnica (I.S.F.T.) N° 4796 "Instituto Superior de Estudios Paramedicos"</t>
  </si>
  <si>
    <t>Hurlingham</t>
  </si>
  <si>
    <t>General Pinto</t>
  </si>
  <si>
    <t>Instituto de Educación Superior de Formación Docente y Técnica (I.S.F.D.yT.) N° 90</t>
  </si>
  <si>
    <t>Punta Indio</t>
  </si>
  <si>
    <t>Bragado</t>
  </si>
  <si>
    <t>San Nicolás de los Arroyos</t>
  </si>
  <si>
    <t>Instituto "Saturnino E. Unzue de San José"</t>
  </si>
  <si>
    <t>Carhué</t>
  </si>
  <si>
    <t>Carlos Casares</t>
  </si>
  <si>
    <t>Instituto Superior de Formacion Docente y Tecnica N° 173</t>
  </si>
  <si>
    <t>Lomas de Zamora</t>
  </si>
  <si>
    <t>Instituto Superior de Formación Docente (I.S.F.D.) N° 60</t>
  </si>
  <si>
    <t>General Viamonte</t>
  </si>
  <si>
    <t>Los Toldos</t>
  </si>
  <si>
    <t xml:space="preserve"> Instituto de Educación Superior de Formación Docente y Técnica N° 93</t>
  </si>
  <si>
    <t>San Vicente</t>
  </si>
  <si>
    <t> Instituto de Educación Superior de Formación Docente y Técnica (I.S.F.D.yT.) N° 44</t>
  </si>
  <si>
    <t>Instituto de Educación Superior de Formación Docente y Técnica (I.S.F.D.yT.) N° 48</t>
  </si>
  <si>
    <t>Coronel Suárez</t>
  </si>
  <si>
    <t>Instituto Superior de Formación Docente (I.S.F.D.) N° 85</t>
  </si>
  <si>
    <t>Zárate</t>
  </si>
  <si>
    <t>Instituto Escuela de Enfermería N° 4785 Escuela de Enfermeria de la Cruz Roja Argentina</t>
  </si>
  <si>
    <t>Morón</t>
  </si>
  <si>
    <t>Instituto Escuela de Enfermería Inst.Escuela de Enfermeria y Espec.Paramedicas Cruz Roja</t>
  </si>
  <si>
    <t>San Fernando</t>
  </si>
  <si>
    <t>Instituto de Educación Superior de Formación Docente y Técnica (I.S.F.D.yT.) N° 68</t>
  </si>
  <si>
    <t>Adolfo Gonzales Chaves</t>
  </si>
  <si>
    <t>Instituto Superior de Formacion Docente y Tecnica N° 37</t>
  </si>
  <si>
    <t>Puan</t>
  </si>
  <si>
    <t>Carlos Tejedor</t>
  </si>
  <si>
    <t>Coronel Pringles</t>
  </si>
  <si>
    <t xml:space="preserve"> Instituto Superior de Formación Docente N° 91 René Favaloro</t>
  </si>
  <si>
    <t>Instituto de Educación Superior de Formación Docente y Técnica (I.S.F.D.yT.) N° 38 Extensión</t>
  </si>
  <si>
    <t>Ramallo</t>
  </si>
  <si>
    <t>Villa Ramallo</t>
  </si>
  <si>
    <t>La Costa</t>
  </si>
  <si>
    <t>Salto</t>
  </si>
  <si>
    <t>Instituto Superior de Formación Docente (I.S.F.D.) N° 26</t>
  </si>
  <si>
    <t>Dolores</t>
  </si>
  <si>
    <t>Instituto Superior de Formación Docente (I.S.F.D.) N° 49</t>
  </si>
  <si>
    <t>Brandsen</t>
  </si>
  <si>
    <t>ISFD yT N° 138 – Escuela Normal Superior “Domingo Fidel Sarmiento”</t>
  </si>
  <si>
    <t>Capitán Sarmiento</t>
  </si>
  <si>
    <t>Chacabuco</t>
  </si>
  <si>
    <t>Instituto Superior de Formación Docente (I.S.F.D.) N° 53</t>
  </si>
  <si>
    <t>Almirante Brown</t>
  </si>
  <si>
    <t>Glew</t>
  </si>
  <si>
    <t>Rauch</t>
  </si>
  <si>
    <t>Instituto Escuela de Enfermería N° 4948 Escuela de Enfermeria de la Cruz Roja Argentina</t>
  </si>
  <si>
    <t>Tres de Febrero</t>
  </si>
  <si>
    <t>Santos Lugares</t>
  </si>
  <si>
    <t>Instituto Superior de Formacion Docente y Tecnica N° 72</t>
  </si>
  <si>
    <t>Instituto Superior de Formación Técnica (I.S.F.T.) N° 182</t>
  </si>
  <si>
    <t>Ayacucho</t>
  </si>
  <si>
    <t>Colón</t>
  </si>
  <si>
    <t>Instituto Superior de Formacion Docente y Tecnica N° 92</t>
  </si>
  <si>
    <t>Instituto de Educación Superior de Formación Docente y Técnica (I.S.F.D.yT.) N° 40</t>
  </si>
  <si>
    <t>Trenque Lauquen</t>
  </si>
  <si>
    <t xml:space="preserve"> Instituto Superior de Formacion Docente y Tecnica N° 184</t>
  </si>
  <si>
    <t>Pilar</t>
  </si>
  <si>
    <t>Rojas</t>
  </si>
  <si>
    <t>Lanús</t>
  </si>
  <si>
    <t>Instituto Superior de Formacion Docente y Tecnica N° 162</t>
  </si>
  <si>
    <t>Tornquist</t>
  </si>
  <si>
    <t>Instituto de Educación Superior de Formación Docente y Técnica (I.S.F.D.yT.) N° 65</t>
  </si>
  <si>
    <t>San Cayetano</t>
  </si>
  <si>
    <t>Instituto Superior N° 4709 Escuela de Enfermeria Instituto Cruz Roja Argentina</t>
  </si>
  <si>
    <t>San Isidro</t>
  </si>
  <si>
    <t>Moreno</t>
  </si>
  <si>
    <t>Instituto Superior de Formación Técnica (I.S.F.T.) N° 192</t>
  </si>
  <si>
    <t>Baradero</t>
  </si>
  <si>
    <t>Vicente López</t>
  </si>
  <si>
    <t>Florida</t>
  </si>
  <si>
    <t>Instituto Superior de Formacion Docente y Tecnica N° 146</t>
  </si>
  <si>
    <t>Salliquelo</t>
  </si>
  <si>
    <t>Tres Lomas</t>
  </si>
  <si>
    <t xml:space="preserve"> Instituto de Educación Superior de Formación Docente y Técnica N° 152 Domingo Faustino Sarmiento</t>
  </si>
  <si>
    <t>Adrogué</t>
  </si>
  <si>
    <t>Instituto Superior de Formación Técnica (I.S.F.T.) N° 75</t>
  </si>
  <si>
    <t>Tandil</t>
  </si>
  <si>
    <t xml:space="preserve">Instituto Superior de Formación Técnica (I.S.F.T.) N° 194  </t>
  </si>
  <si>
    <t>General Alvarado</t>
  </si>
  <si>
    <t>Miramar</t>
  </si>
  <si>
    <t>Escuela Municipal de Enfermería e Instrumentación Quirúrgica María Eva Duarte de Perón</t>
  </si>
  <si>
    <t>La Plata</t>
  </si>
  <si>
    <t>Bahía Blanca</t>
  </si>
  <si>
    <t>La Matanza</t>
  </si>
  <si>
    <t>Avellaneda</t>
  </si>
  <si>
    <t>Florencio Varela</t>
  </si>
  <si>
    <t>Lanus</t>
  </si>
  <si>
    <t>General Pueyrredon</t>
  </si>
  <si>
    <t>Mar del Plata</t>
  </si>
  <si>
    <t>San Martín</t>
  </si>
  <si>
    <t>Haedo</t>
  </si>
  <si>
    <t>Loma Hermosa</t>
  </si>
  <si>
    <t>Instituto Superior de Educación Técnica (I.S.F.T.) N° 201</t>
  </si>
  <si>
    <t>Campana</t>
  </si>
  <si>
    <t>Instituto Superior de Formación Técnica (I.S.F.T.) N° 200</t>
  </si>
  <si>
    <t>Villa Gesell</t>
  </si>
  <si>
    <t>Instituto Superior de Formación Técnica (I.S.F.T.) N° 197</t>
  </si>
  <si>
    <t>Instituto Superior de Formación Docente y Técnica N° 164</t>
  </si>
  <si>
    <t>Florentino Ameghino</t>
  </si>
  <si>
    <t>Ameghino</t>
  </si>
  <si>
    <t>Instituto Superior de Formacion Docente y Tecnica N° 211</t>
  </si>
  <si>
    <t>Vedia</t>
  </si>
  <si>
    <t>Instituto Superior de Formacion Docente y Tecnica N° 215</t>
  </si>
  <si>
    <t>Lezama</t>
  </si>
  <si>
    <t>Instituto de Educación Superior de Formación Docente y Técnica N° 212</t>
  </si>
  <si>
    <t>Instituto Superior de Formación Técnica (I.S.F.T.) N° 221</t>
  </si>
  <si>
    <t>Capayán</t>
  </si>
  <si>
    <t>Chumbicha</t>
  </si>
  <si>
    <t>IES Pomán</t>
  </si>
  <si>
    <t>IES Gobernador José Cubas</t>
  </si>
  <si>
    <t>Instituto Superior "Prof. Gabriela Mistral"</t>
  </si>
  <si>
    <t>Unión</t>
  </si>
  <si>
    <t>Pozo del Molle</t>
  </si>
  <si>
    <t>Instituto Superior del Profesorado Manuel Belgrano</t>
  </si>
  <si>
    <t>San Justo</t>
  </si>
  <si>
    <t>San Javier</t>
  </si>
  <si>
    <t>Rio Cuarto</t>
  </si>
  <si>
    <t>Punilla</t>
  </si>
  <si>
    <t>Calamuchita</t>
  </si>
  <si>
    <t>Malvinas Argentinas</t>
  </si>
  <si>
    <t>Instituto Técnico Superior Córdoba</t>
  </si>
  <si>
    <t>Instituto Superior Técnico "Córdoba -Anexo Juarez Celman"</t>
  </si>
  <si>
    <t>Instituto Superior Técnico "Córdoba Anexo La France"</t>
  </si>
  <si>
    <t>Instituto Superior Técnico "Córdoba Anexo Los Pinos"</t>
  </si>
  <si>
    <t>Instituto Superior Técnico "Córdoba Anexo Villa del Libertador"</t>
  </si>
  <si>
    <t>Santo Tomé</t>
  </si>
  <si>
    <t>Esquina</t>
  </si>
  <si>
    <t>Mercedes</t>
  </si>
  <si>
    <t>Paso de los Libres</t>
  </si>
  <si>
    <t>Instituto de Educación Superior de Formación Docente "Profesor Agustín Gómez- Anexo Yapeyú"</t>
  </si>
  <si>
    <t>Instituto de Educación Superior de Formación Docente Julio Cortázar</t>
  </si>
  <si>
    <t>Empedrado</t>
  </si>
  <si>
    <t>San Roque</t>
  </si>
  <si>
    <t>Saladas</t>
  </si>
  <si>
    <t>Instituto Superior de Formación Docente de Caa Cati</t>
  </si>
  <si>
    <t>Lavalle</t>
  </si>
  <si>
    <t>Itatí</t>
  </si>
  <si>
    <t>Resistencia</t>
  </si>
  <si>
    <t>General Güemes</t>
  </si>
  <si>
    <t>Puerto Tirol</t>
  </si>
  <si>
    <t>Paraná</t>
  </si>
  <si>
    <t>Islas del Ibicuy</t>
  </si>
  <si>
    <t>Villa Paranacito</t>
  </si>
  <si>
    <t>Instituto Técnico Superior "Urdinarrain"</t>
  </si>
  <si>
    <t>Tala</t>
  </si>
  <si>
    <t>Diamante</t>
  </si>
  <si>
    <t>La Paz</t>
  </si>
  <si>
    <t>Escuela Normal Superior N° 4 "Dr. Antonio Sagarna"</t>
  </si>
  <si>
    <t>Nogoyá</t>
  </si>
  <si>
    <t>Concordia</t>
  </si>
  <si>
    <t>Instituto de Educación Superior Gaspar Lucilo Benavento</t>
  </si>
  <si>
    <t>Victoria</t>
  </si>
  <si>
    <t>Dr. Manuel Belgrano</t>
  </si>
  <si>
    <t>San Carlos</t>
  </si>
  <si>
    <t>La Consulta</t>
  </si>
  <si>
    <t>Guaymallén</t>
  </si>
  <si>
    <t>San Rafael</t>
  </si>
  <si>
    <t>Tunuyán</t>
  </si>
  <si>
    <t>Maipú</t>
  </si>
  <si>
    <t>Coquimbito</t>
  </si>
  <si>
    <t>Rivadavia</t>
  </si>
  <si>
    <t>Luján de Cuyo</t>
  </si>
  <si>
    <t>Chacras de Coria</t>
  </si>
  <si>
    <t>Santa Rosa</t>
  </si>
  <si>
    <t>General Alvear</t>
  </si>
  <si>
    <t>Instituto de Educación Superior (I.E.S.) N° 9-023</t>
  </si>
  <si>
    <t>Las Heras</t>
  </si>
  <si>
    <t>Instituto Superior de Enfermería PT 254 Reinalda Balancini</t>
  </si>
  <si>
    <t>Godoy Cruz</t>
  </si>
  <si>
    <t xml:space="preserve"> Instituto de Educación Superior Particular Incorporada (I.S.P.I.) N° 4026 "Santisima Virgen Niña"</t>
  </si>
  <si>
    <t>Villa Ocampo</t>
  </si>
  <si>
    <t>Las Colonias</t>
  </si>
  <si>
    <t>Esperanza</t>
  </si>
  <si>
    <t>San Cristóbal</t>
  </si>
  <si>
    <t>General López</t>
  </si>
  <si>
    <t>Rufino</t>
  </si>
  <si>
    <t>Rosario</t>
  </si>
  <si>
    <t>ISET N° 57</t>
  </si>
  <si>
    <t>Caseros</t>
  </si>
  <si>
    <t>Casilda</t>
  </si>
  <si>
    <t xml:space="preserve"> Instituto de Educación Superior Particular Incorporada (I.S.P.I.) N° 9231 "Garibaldi"</t>
  </si>
  <si>
    <t>I.S.P.A. N° 4084 "Centro de Educación Técnica para el Diagnóstico"</t>
  </si>
  <si>
    <t>General Obligado</t>
  </si>
  <si>
    <t>Reconquista</t>
  </si>
  <si>
    <t>Castellanos</t>
  </si>
  <si>
    <t>Rafaela</t>
  </si>
  <si>
    <t>Escuela Superior de Enfermería Venado Tuerto</t>
  </si>
  <si>
    <t>Venado Tuerto</t>
  </si>
  <si>
    <t>San Jorge</t>
  </si>
  <si>
    <t>Iriondo</t>
  </si>
  <si>
    <t>Cañada de Gómez</t>
  </si>
  <si>
    <t>Instituto Superior de Profesorado N° 67</t>
  </si>
  <si>
    <t>Robles</t>
  </si>
  <si>
    <t>INSTITUTO SUPERIOR DEL PROFESORADO PROVINCIAL N° 6</t>
  </si>
  <si>
    <t>Banda</t>
  </si>
  <si>
    <t>La Banda</t>
  </si>
  <si>
    <t>Choya</t>
  </si>
  <si>
    <t>Instituto de Educación Superior de Formación Docente N° 09</t>
  </si>
  <si>
    <t>Juan Felipe Ibarra</t>
  </si>
  <si>
    <t>Suncho Corral</t>
  </si>
  <si>
    <t>Instituto de Educación Superior de Formación Docente N° 05</t>
  </si>
  <si>
    <t>General Taboada</t>
  </si>
  <si>
    <t>Instituto de Educación Superior (I.E.S.) N° 74</t>
  </si>
  <si>
    <t>Instituto de Educación Superior (I.E.S.) N° 74 Anexo Concepción</t>
  </si>
  <si>
    <t>Chicligasta</t>
  </si>
  <si>
    <t>Instituto de Educación Superior (I.E.S.) N° 74 Anexo Monteros</t>
  </si>
  <si>
    <t>Instituto de Educación Superior (I.E.S.) N° 74 Anexo Faimallá</t>
  </si>
  <si>
    <t>Instituto de Educación Superior (I.E.S.) N° 74 Anexo Trancas</t>
  </si>
  <si>
    <t>Trancas</t>
  </si>
  <si>
    <t>Instituto de Educación Superior (I.E.S.) N° 74 Anexo Alderetes</t>
  </si>
  <si>
    <t>Cruz Alta</t>
  </si>
  <si>
    <t>Instituto de Educación Superior (I.E.S.) N° 74 Anexo La Ramada</t>
  </si>
  <si>
    <t>Instituto de Educación Superior (I.E.S.) N° 74 Anexo Delfín Gallo</t>
  </si>
  <si>
    <t>Instituto de Educación Superior (I.E.S.) N° 74 Anexo Graneros</t>
  </si>
  <si>
    <t>Graneros</t>
  </si>
  <si>
    <t>Simoca</t>
  </si>
  <si>
    <t>Centro Educativo de Nivel Terciario (C.E.N.T.) N° 74 Anexo Los Ralos</t>
  </si>
  <si>
    <t>Centro Educativo de Nivel Terciario (C.E.N.T.) N° 74 Anexo Amaicha del Valle</t>
  </si>
  <si>
    <t>Tafí del Valle</t>
  </si>
  <si>
    <t>Centro Educativo de Nivel Terciario (C.E.N.T.) N° 74 Anexo Leales</t>
  </si>
  <si>
    <t>Río Grande</t>
  </si>
  <si>
    <t>Ushuaia</t>
  </si>
  <si>
    <t>Institución de Otro Nivel y/o Modalidad</t>
  </si>
  <si>
    <t>351-4897942</t>
  </si>
  <si>
    <t>itscordoba2015@gmail.com</t>
  </si>
  <si>
    <t>351-2049691</t>
  </si>
  <si>
    <t>aguilerabivon@hotmail.com</t>
  </si>
  <si>
    <t>Coordinadora del Área de Salud</t>
  </si>
  <si>
    <t>PADRE LUIS MONTI N° 3687 - B° LOS PINOS</t>
  </si>
  <si>
    <t>MARÍA LAURA GIRARDI</t>
  </si>
  <si>
    <t>ROSAICELA IVON AGUILERA BASTIDAS</t>
  </si>
  <si>
    <t>sanjosesuperior1@gmail.com</t>
  </si>
  <si>
    <t>Profesora ARIAS ELIANA</t>
  </si>
  <si>
    <t>2914410897-2936412247</t>
  </si>
  <si>
    <t>eliana82arias@gmail.com</t>
  </si>
  <si>
    <t>No hay referente</t>
  </si>
  <si>
    <t>Matricula</t>
  </si>
  <si>
    <t>Año de ingreso</t>
  </si>
  <si>
    <t>2936-412247</t>
  </si>
  <si>
    <t>Boulevar Adolfo Alsina N° 820</t>
  </si>
  <si>
    <t>Comentarios</t>
  </si>
  <si>
    <t>Instituto Superior de Formacion Docente y Tecnica N° 237</t>
  </si>
  <si>
    <t>Adolfo Alsina</t>
  </si>
  <si>
    <t>Chubut</t>
  </si>
  <si>
    <t>Instituto de Docencia, Investigación y Capacitación Laboral de la Sanidad</t>
  </si>
  <si>
    <t>Instituto Sup. de Ciencias de la Salud y Gestión</t>
  </si>
  <si>
    <t>Rio Negro</t>
  </si>
  <si>
    <t>Juárez Celman</t>
  </si>
  <si>
    <t>Las Catitas</t>
  </si>
  <si>
    <t>Hasenkamp</t>
  </si>
  <si>
    <t>MAIL2</t>
  </si>
  <si>
    <t>TELÉFONO2</t>
  </si>
  <si>
    <t>MAIL1</t>
  </si>
  <si>
    <t>TELÉFONO1</t>
  </si>
  <si>
    <t>Coordinadora</t>
  </si>
  <si>
    <t>Director</t>
  </si>
  <si>
    <t>Dr. Bonfiglio 561</t>
  </si>
  <si>
    <t>3407-89152</t>
  </si>
  <si>
    <t>isfdyt236ramallo@abc.gob.ar</t>
  </si>
  <si>
    <t>Nestor Marinangeli</t>
  </si>
  <si>
    <t>nmarinangeli@abc.gob.ar</t>
  </si>
  <si>
    <t>Claudia Ferreyra</t>
  </si>
  <si>
    <t>336-4-645655</t>
  </si>
  <si>
    <t>caudiaferre@hotmail.com</t>
  </si>
  <si>
    <t>Instituto Escuela de Enfermería N° 5003 Escuela de Enf. y Esp. Paramedicas Cruz Roja Argentina Filial Lujan</t>
  </si>
  <si>
    <t>Profesora</t>
  </si>
  <si>
    <t>Instituto Privado Nº A-1047 Superior Mitre</t>
  </si>
  <si>
    <t>Instituto de Educación Superior de Formación Docente  Dr. Luis Alberto Esteban Arienti</t>
  </si>
  <si>
    <t>Federal</t>
  </si>
  <si>
    <t xml:space="preserve">Instituto de Educación Superior (I.E.S.) Nº 6047 </t>
  </si>
  <si>
    <t>Cachi</t>
  </si>
  <si>
    <t>Instituto de Educación Superior de Formación Docente Ramón de la Cruz Moreno</t>
  </si>
  <si>
    <t>San José de Feliciano</t>
  </si>
  <si>
    <t xml:space="preserve">Instituto Superior de Formación Técnica (I.S.F.T.) Nº 188 </t>
  </si>
  <si>
    <t>General Rodriguez</t>
  </si>
  <si>
    <t>Tapalqué</t>
  </si>
  <si>
    <t>Instituto de Educación Superior de Formación Docente y Técnica (I.S.F.D.yT.) N° 63 Malvinas Argentinas</t>
  </si>
  <si>
    <t>Mar Chiquita</t>
  </si>
  <si>
    <t>Leandro N. Alem</t>
  </si>
  <si>
    <t xml:space="preserve">Feliciano </t>
  </si>
  <si>
    <t>Instituto Privado Nº A-1243 Instituto Superior de Ciencias de la Salud</t>
  </si>
  <si>
    <t>Instituto Nº 1507 Centro de Estudios Nueva Vida</t>
  </si>
  <si>
    <t>Instituto de Formación Técnica Superior Nuestra Señora de Fátima</t>
  </si>
  <si>
    <t>Instituto de Formación Técnica Superior Don Orione</t>
  </si>
  <si>
    <t xml:space="preserve">Instituto de Educación Superior de Formación Docente y Técnica (I.S.F.D.yT.) Nº 118 </t>
  </si>
  <si>
    <t xml:space="preserve">Instituto de Educación Superior de Formación Docente y Técnica (I.S.F.D.yT.) Nº 57 </t>
  </si>
  <si>
    <t>Instituto de Educación Superior de Formación Docente y Técnica (I.S.F.D.yT.) Nº 71 Profesor Ceferino Artigas</t>
  </si>
  <si>
    <t xml:space="preserve">Instituto de Educación Superior de Formación Docente y Técnica (I.S.F.D.yT.) Nº 218 </t>
  </si>
  <si>
    <t>Instituto Superior Arturo Umberto Illia</t>
  </si>
  <si>
    <t>Instituto Superior Clelia Fanny Castagnino</t>
  </si>
  <si>
    <t>Instituto Superior FASTA - Inmaculada Concepcion</t>
  </si>
  <si>
    <t>Instituto Superior Madre Teresa de Calcuta</t>
  </si>
  <si>
    <t>Inst. de Docencia, Investigación y Capacitación Laboral de la Sanidad Nº 1818</t>
  </si>
  <si>
    <t>Instituto en Formación, Capacitación y Superación Lic. Myriam Beatriz Gloss</t>
  </si>
  <si>
    <t>Instituto en Formación, Capacitación y Superación Lic. Myriam Beatriz Gloss - Anexo San Pedro</t>
  </si>
  <si>
    <t>Instituto en Formación, Capacitación y Superación Lic. Myriam Beatriz Gloss - Anexo La Quiaca</t>
  </si>
  <si>
    <t>Superior de Ciencias de la Salud y Gestión Anexo Bariloche</t>
  </si>
  <si>
    <t>Superior de Ciencias de la Salud y Gestión Anexo Villa Regina</t>
  </si>
  <si>
    <t>Superior de Ciencias de la Salud y Gestión Anexo Cinco Saltos</t>
  </si>
  <si>
    <t>Superior de Ciencias de la Salud y Gestión Anexo San Antonio Oeste</t>
  </si>
  <si>
    <t>Superior de Ciencias de la Salud y Gestión Anexo Viedma</t>
  </si>
  <si>
    <t>Instituto de Educación Superior de Formación Docente Nº 6015</t>
  </si>
  <si>
    <t>Inst. Sup. de Formación y Capacitacion Doctor Ramon Carrillo</t>
  </si>
  <si>
    <t>Inst. Sup. de Formación y Capacitacion Doctor Ramón Carrillo - Anexo Tartagal</t>
  </si>
  <si>
    <t>Inst. Sup. de Formación y Capacitacion Doctor Ramón Carrillo - Anexo Rosario de Lerma</t>
  </si>
  <si>
    <t>Inst. Sup. de Formación y Capacitacion Doctor Ramón Carrillo - Anexo Oran</t>
  </si>
  <si>
    <t>Inst. Sup. de Formación y Capacitacion Doctor Ramón Carrillo - Anexo Gral. Güemes</t>
  </si>
  <si>
    <t>Inst. Sup. de Formación y Capacitacion Doctor Ramón Carrillo - Anexo Joaquín V. González</t>
  </si>
  <si>
    <t>Inst. Sup. de Formación y Capacitacion Doctor Ramón Carrillo - Anexo El Carril</t>
  </si>
  <si>
    <t>Inst. Sup. de Formación y Capacitacion Doctor Ramón Carrillo - Anexo Rosario de la Frontera</t>
  </si>
  <si>
    <t>Instituto de Educación Superior de Formación Docente y Técnica (I.S.F.D.yT.) Nº 20 Senador Néstor Juan Zamaro</t>
  </si>
  <si>
    <t>I.S.P.I N.º 9246 “Fundación Hospital Oliveros”</t>
  </si>
  <si>
    <t>I.S.P.I N.º 9246 “Fundación Hospital Oliveros” Anexo Rosario</t>
  </si>
  <si>
    <t>Instituto de Educación Superior del Profesorado (I.S.P.) Nº 09 Profesor José María Scalenghe</t>
  </si>
  <si>
    <t>Instituto de Educación Superior del Profesorado (I.S.P.) Nº 66</t>
  </si>
  <si>
    <t>Instituto Superior de Profesorado N° 02 Dr. Joaquín V. González</t>
  </si>
  <si>
    <t>Chascomús</t>
  </si>
  <si>
    <t>Roque Perez</t>
  </si>
  <si>
    <t>Calchaquí</t>
  </si>
  <si>
    <t>Vera</t>
  </si>
  <si>
    <t>Nueve de julio</t>
  </si>
  <si>
    <t>Roque Pérez</t>
  </si>
  <si>
    <t>Bariloche</t>
  </si>
  <si>
    <t>Tostado</t>
  </si>
  <si>
    <t>Darregueira</t>
  </si>
  <si>
    <t>Pellegrini</t>
  </si>
  <si>
    <t>Profesor</t>
  </si>
  <si>
    <t>Salliqueló</t>
  </si>
  <si>
    <t>San Pedro</t>
  </si>
  <si>
    <t>Yavi</t>
  </si>
  <si>
    <t>Yapeyú</t>
  </si>
  <si>
    <t>Itati</t>
  </si>
  <si>
    <t>Laprida</t>
  </si>
  <si>
    <t>Carlos Pellegrini 1178</t>
  </si>
  <si>
    <t>2285 419480-419480</t>
  </si>
  <si>
    <t>isfdyt92laprida@abc.gob.ar</t>
  </si>
  <si>
    <t>Estefanía Madrid</t>
  </si>
  <si>
    <t>2284 609263-419480</t>
  </si>
  <si>
    <t>emadrid@abc.gob.ar</t>
  </si>
  <si>
    <t>Gral. Lamadrid</t>
  </si>
  <si>
    <t>General Paz</t>
  </si>
  <si>
    <t>Trelew</t>
  </si>
  <si>
    <t>%egreso real 2022</t>
  </si>
  <si>
    <t>Villa Maria</t>
  </si>
  <si>
    <t>Villa Carlos Paz</t>
  </si>
  <si>
    <t>San Francisco</t>
  </si>
  <si>
    <t>Posadas</t>
  </si>
  <si>
    <t>Eldorado</t>
  </si>
  <si>
    <t>-37.54328788848487, -60.80163969852033</t>
  </si>
  <si>
    <t>Instituto Superior Nº 8693 Establecimiento Profesional de la Salud</t>
  </si>
  <si>
    <t>Ranchos</t>
  </si>
  <si>
    <t>Centurión 3220</t>
  </si>
  <si>
    <t>2241-481021</t>
  </si>
  <si>
    <t>is041057@gmail.com</t>
  </si>
  <si>
    <t>María Romina Bozzano</t>
  </si>
  <si>
    <t>robozzano@yahoo.com</t>
  </si>
  <si>
    <t>Anabel Castro</t>
  </si>
  <si>
    <t>2241-470955</t>
  </si>
  <si>
    <t>anabelakastro@gmail.com</t>
  </si>
  <si>
    <t>-35.514258551435496, -58.31920337552628</t>
  </si>
  <si>
    <t>Las Flores</t>
  </si>
  <si>
    <t>Las Heras 575</t>
  </si>
  <si>
    <t>-2244 473093</t>
  </si>
  <si>
    <t>isfd152lasflores@abc.gob.ar</t>
  </si>
  <si>
    <t>Alberto Ariel Torres</t>
  </si>
  <si>
    <t>albetorres@abc.gob.ar</t>
  </si>
  <si>
    <t>Silvio Juliani</t>
  </si>
  <si>
    <t>-2244 429277</t>
  </si>
  <si>
    <t>juliani.silvio@gmail.com</t>
  </si>
  <si>
    <t>-36.01536003942308, -59.1015397912657</t>
  </si>
  <si>
    <t>Instituto Privado Nº A-1428  Superior Auxiliares de la Medicina</t>
  </si>
  <si>
    <t>Cordoba</t>
  </si>
  <si>
    <t>Urdinarrain</t>
  </si>
  <si>
    <t>Saujil</t>
  </si>
  <si>
    <t>General José de San Martín</t>
  </si>
  <si>
    <t>Instituto Nº A-1538 de Educación en Áreas de la Salud</t>
  </si>
  <si>
    <t>Instituto "S.E.P San Nicolás" (Sindicato de Empleados Públicos) -Anexo Deán Funes</t>
  </si>
  <si>
    <t>Instituto de Educación Superior de Formación Docente y Técnica (I.S.F.D.yT.) Nº 165 Domingo A. Teruggi</t>
  </si>
  <si>
    <t>Loberia</t>
  </si>
  <si>
    <t>Instituto Superior de Formación Técnica (I.S.F.T.)  Instituto Superior de Estudios Técnicos</t>
  </si>
  <si>
    <t>Escuela Superior de Enfermería N° 1260234 Cruz Roja Argentina Rio Cuarto</t>
  </si>
  <si>
    <t>Kowalk 168</t>
  </si>
  <si>
    <t>358-4627080</t>
  </si>
  <si>
    <t>cruzrojariocuarto@fibertel.com.ar</t>
  </si>
  <si>
    <t>358-5093150</t>
  </si>
  <si>
    <t>jorgepossio@gmail.com</t>
  </si>
  <si>
    <t>Instituto de Educación Superior N° D- 74 Cruz Roja Argentina -Filial Paraná</t>
  </si>
  <si>
    <t>educa.parana@cruzroja.org.ar</t>
  </si>
  <si>
    <t>343-4257387</t>
  </si>
  <si>
    <t>mnani@cruzroja.org.ar</t>
  </si>
  <si>
    <t>I.U.C.E - Instituto de Capacitación y Gestión</t>
  </si>
  <si>
    <t>Fray Luis Beltrán 1523</t>
  </si>
  <si>
    <t>ispi4026@gmail.com</t>
  </si>
  <si>
    <t>silmale76@gmail.com</t>
  </si>
  <si>
    <t>hugoinsaurralde85@gmail.com</t>
  </si>
  <si>
    <t>Instituto de Educación Superior Particular Incorporada (I.S.P.I.) Cruz Roja Argentina - Anexo</t>
  </si>
  <si>
    <t>ispi9195crasancristobal@gmail.com</t>
  </si>
  <si>
    <t>santiagogberti@gmail.com</t>
  </si>
  <si>
    <t>Instituto de Educación Superior Particular Incorporada (I.S.P.I.) N° 9203 Cruz Roja Argentina</t>
  </si>
  <si>
    <t>España 1983</t>
  </si>
  <si>
    <t>Rectora</t>
  </si>
  <si>
    <t>mzallocco@cruzroja.org.ar</t>
  </si>
  <si>
    <t>Docente</t>
  </si>
  <si>
    <t>Escuela Superior de Enfermería M. E. Araya de Colombres</t>
  </si>
  <si>
    <t>Alem 1450</t>
  </si>
  <si>
    <t>ese_rosario@santafe.gov.ar</t>
  </si>
  <si>
    <t>María Gabriela La Guzza</t>
  </si>
  <si>
    <t>gabylaguzza@gmail.com</t>
  </si>
  <si>
    <t>Instituto Privado N° A-914 Metropolitana de Altos Estudios</t>
  </si>
  <si>
    <t>Instituto de Formación Técnica Superior (I.F.T.S.) Escuela Superior de Enfermería Cecilia Grierson</t>
  </si>
  <si>
    <t>Escuela de Enfermería N° 90 Cecilia Grierson -Anexo Lugano</t>
  </si>
  <si>
    <t>Escuela de Enfermería N° A-0732 Especialidades Paramédicas Cruz Roja Argentina Filial Saavedra</t>
  </si>
  <si>
    <t>Escuela de Enfermería N° A-825 Especialidades Paramédicas Cruz Roja Argentina (Sede Central)</t>
  </si>
  <si>
    <t>Instituto Privado N° A-0896 Instituto Amado Olmos Atsa</t>
  </si>
  <si>
    <t>Instituto Privado N° A-0691 Instituto del Profesorado en Enfermería Padre Luis Tezza</t>
  </si>
  <si>
    <t>Instituto Privado N° A-1385 Instituto Superior Octubre (I.S.O.)</t>
  </si>
  <si>
    <t>Instituto Privado N° A-1450 Instituto UOCRA</t>
  </si>
  <si>
    <t>Instituto N° A-1519 Superior de Enfermería Artémides Zatti</t>
  </si>
  <si>
    <t>Instituto Superior de Formación Docente (I.S.F.D.) N° 133 Otto Pascual La Falce</t>
  </si>
  <si>
    <t>Instituto Superior de Formación Docente y Técnica  (ISFDyT N° 78)</t>
  </si>
  <si>
    <t>Instituto Superior N° 4726 Escuela de Enfermería Cruz Roja Arg. F. S. Nicolas P. Ogallar</t>
  </si>
  <si>
    <t>Instituto de Educación Superior de Formación Docente y Técnica (I.S.F.D.yT.) N° 80 Paulo Freire</t>
  </si>
  <si>
    <t>Instituto de Educación Superior de Formación Docente y Técnica (I.S.F.D.yT.) N° 59 Dr. Carlos Madariaga</t>
  </si>
  <si>
    <t>Instituto de Formación y Capacitación del Sindicato de Salud Pública de la Provincia de Buenos Aires</t>
  </si>
  <si>
    <t>Instituto Superior de Formación Técnica (I.S.F.T.) N° 150 25 de Mayo</t>
  </si>
  <si>
    <t>Instituto de Educación Superior de Formación Docente y Técnica (I.S.F.D.yT.) N° 158 José Manuel Estrada</t>
  </si>
  <si>
    <t>Instituto de Educación Superior de Formación Docente y Técnica (I.S.F.D.yT.) N° 89 Dr. René Favaloro</t>
  </si>
  <si>
    <t>Instituto de Educación Superior de Formación Docente y Técnica (I.S.F.D.yT.) N° 126 General José de San Martín</t>
  </si>
  <si>
    <t xml:space="preserve">Instituto Superior de Formación Técnica (I.S.F.T.) N° 132 Colegio Nacional General San Martín </t>
  </si>
  <si>
    <t>Instituto Superior de Formación Técnica (I.S.F.T.) N° 4406 Escuela de Enfermería. y Esp. Paramédicas Cruz Roja -Lomas de Zamora</t>
  </si>
  <si>
    <t>Instituto de Educación Superior de Formación Docente y Técnica (ISFDyT) N° 70 Manuel Belgrano</t>
  </si>
  <si>
    <t>Instituto Superior de Formación Docente (I.S.F.D.) N° 87 Domingo Faustino Sarmiento</t>
  </si>
  <si>
    <t>Instituto de Educación Superior de Formación Docente y Técnica (I.S.F.D.yT.) N° 124 Juan B. Marenzi</t>
  </si>
  <si>
    <t>Instituto Superior de Formación Docente (I.S.F.D.) N° 73 Rosario Vera Peñaloza</t>
  </si>
  <si>
    <t>Instituto de Educación Superior de Formación Docente y Técnica (I.S.F.D.yT.) N° 125 Nicolás Avellaneda</t>
  </si>
  <si>
    <t>Instituto Superior de Formación Técnica (I.S.F.T.) N° 180 Localidad Mariano Moreno</t>
  </si>
  <si>
    <t>Escuela Técnica Privada N° 4996 Esc. de Enf. de la Cruz Roja Arg. F. Vicente Lopez 4996</t>
  </si>
  <si>
    <t>Escuela Técnica Privada N° 5679 Escuela de Enfermeria Cruz Roja Argentina</t>
  </si>
  <si>
    <t>Instituto Superior de Formación Técnica (I.S.F.T.) N° 6012 Escuela Superior de Formación en Salud</t>
  </si>
  <si>
    <t>Instituto Superior de Formación Técnica (I.S.F.T.) N° 6012 Escuela Superior de Formación en Salud - Anexo Hospital de Agudos José Penna</t>
  </si>
  <si>
    <t>Instituto Superior de Formación Técnica (I.S.F.T.) N° 6012 Escuela Superior de Formación en Salud - Anexo Higa Dr. Diego Paroissien</t>
  </si>
  <si>
    <t>Instituto Superior de Formación Técnica (I.S.F.T.) N° 6012 Escuela Superior de Formación en Salud Anexo Hospital Pedro Fiorito</t>
  </si>
  <si>
    <t> Instituto Superior de Formación Técnica (I.S.F.T.) N° 6012 Escuela Superior de Formación en Salud- Anexo Hospital Zonal General de Agudos Mi pueblo Florencio Varela</t>
  </si>
  <si>
    <t> Instituto Superior de Formación Técnica (I.S.F.T.) N° 6012 Escuela Superior de Formación en Salud - Anexo Hospital General de Agudos Simplemente Evita</t>
  </si>
  <si>
    <t>Instituto Superior de Formación Técnica (I.S.F.T.) N° 6012 Escuela Superior de Formación en Salud - Anexo Hospital de Agudos Evita</t>
  </si>
  <si>
    <t>Instituto Superior de Formación Técnica (I.S.F.T.) N° 6012 Escuela Superior de Formación en Salud Anexo Hospital Don Victorio Tetamanti</t>
  </si>
  <si>
    <t>Instituto Superior de Formación Técnica (I.S.F.T.) N° 6012 Escuela Superior de Formación en Salud -Anexo Hospital Mariano y Luciano de la Vega</t>
  </si>
  <si>
    <t>Instituto Superior de Formación Técnica (I.S.F.T.) N° 6012 Escuela Superior de Formación en Salud - Anexo Hospital Interzonal Gral de Agudos Eva Perón</t>
  </si>
  <si>
    <t>Instituto Superior de Formación Técnica (I.S.F.T.) N° 6012 Escuela Superior de Formación en Salud - Anexo Hospital ZGA Dr. Carlos Bocalandro</t>
  </si>
  <si>
    <t>Instituto Superior de Formación Docente y Técnica Nº 236</t>
  </si>
  <si>
    <t>Instituto de Educación Superior (I.E.S.) Andalgalá</t>
  </si>
  <si>
    <t>Instituto de Educación Superior (I.E.S.) Sebastián Alejandro Corpacci</t>
  </si>
  <si>
    <t>Instituto de Educación Superior (I.E.S.) Sebastián Alejandro Corpacci ANEXO</t>
  </si>
  <si>
    <t>Instituto Superior Técnico Industrial "Néstor C. Kirchner"</t>
  </si>
  <si>
    <t>Instituto Superior Dr. Ramón Carrillo</t>
  </si>
  <si>
    <t>Intituto Superior de Formacion Docente y Tecnica "Gustavo Martínez Zuviria"</t>
  </si>
  <si>
    <t>Escuela Normal Superior Dalmacio Vélez Sársfield - Anexo Pozo del Molle</t>
  </si>
  <si>
    <t>Escuela Superior de Enfermería Villa Dolores</t>
  </si>
  <si>
    <t>Instituto Superior Cruz Roja Argentina Filial Cordoba</t>
  </si>
  <si>
    <t>Escuela Superior de Enfermería Cruz Roja Argentina</t>
  </si>
  <si>
    <t>Instituto "S.E.P San Nicolás" (Sindicato de Empleados Públicos)</t>
  </si>
  <si>
    <t>Instituto Tecnologico Foro de los Ríos</t>
  </si>
  <si>
    <t>Instituto Superior Técnico "Anexo Dependiente de Inspecciòn- Malvinas Argentinas"</t>
  </si>
  <si>
    <t>Instituto de Educación Superior (I.E.S.) De Servicio Social Remedios Escalada de San Martín</t>
  </si>
  <si>
    <t>Centro Educativo Irupe</t>
  </si>
  <si>
    <t>Instituto de Educación Superior de Formación Docente Dr. J. Alfredo Ferreira</t>
  </si>
  <si>
    <t>Instituto de Educación Superior de Formación Docente Mercedes</t>
  </si>
  <si>
    <t>Instituto de Educación Superior de Formación Docente Profesor Agustín Gómez</t>
  </si>
  <si>
    <t>Instituto de Educación Superior (I.E.S.) Instituto de Formación y Capacitación Cruz Roja Argentina Filial Corrientes</t>
  </si>
  <si>
    <t>Instituto de Educación Superior de Formación Docente Juan García de Cossio</t>
  </si>
  <si>
    <t>Instituto de Educación Superior de Formación Docente María Luisa Román de Frechou</t>
  </si>
  <si>
    <t> Instituto de Educación Superior de Formación Docente Santa Lucía</t>
  </si>
  <si>
    <t>Instituto de Educación Superior (I. E. S.) N° 1453 Escuela Superior de Salud Pública - Anexo Presidencia R. S. Peña</t>
  </si>
  <si>
    <t>Instituto de Educación Superior (I. E. S.) N° 1453 Escuela Superior de Salud Pública - Anexo Charata</t>
  </si>
  <si>
    <t>Instituto de Educación Superior (I. E. S.) N° 1453 Escuela Superior de Salud Pública - Anexo Nueva Pompeya</t>
  </si>
  <si>
    <t>Instituto de Educación Superior (I. E. S.) N° 1453 Escuela Superior de Salud Pública - Anexo Puerto Bermejo</t>
  </si>
  <si>
    <t>Instituto de Educación Superior P. O Bottegal</t>
  </si>
  <si>
    <t>Instituto de Educación Superior de Formación Docente Localidad Villa Paranacito</t>
  </si>
  <si>
    <t>Escuela Secundaria y Superior N° 4 Dr. Julio Ossola</t>
  </si>
  <si>
    <t>Instituto de Educación Superior de Formación Docente María Inés Elizalde</t>
  </si>
  <si>
    <t>Instituto de Educación Superior Diamante</t>
  </si>
  <si>
    <t>Instituto de Educación Superior de Formación Docente N° 715 Profesor Rogelio Leites</t>
  </si>
  <si>
    <t>Escuela Normal Superior Victorino Viale</t>
  </si>
  <si>
    <t>Instituto de Educación Superior N° 80 Instituto Superior Cruz Roja Argentina Filial Concordia</t>
  </si>
  <si>
    <t>Instituto de Educación Superior N° 79 Cruz Roja - Gualeguay</t>
  </si>
  <si>
    <t>Instituto Superior en Ciencias de la Salud</t>
  </si>
  <si>
    <t>Instituto Superior San Gregorio</t>
  </si>
  <si>
    <t>Instituto de Educación Superior (I.E.S.) N° 9015 Unidad académica  Guaymallén</t>
  </si>
  <si>
    <t>Instituto de Educación Superior (I.E.S.) N° 9-015  Unidad Académica Capital</t>
  </si>
  <si>
    <t>Instituto de Educación Superior (I.E.S.) N° 9-015 Unidad Académica Tunuyán</t>
  </si>
  <si>
    <t>Instituto de Educación Superior (I.E.S.) N° 9-015 Unidad Académica Rivadavia</t>
  </si>
  <si>
    <t>Instituto de Educación Superior (I.E.S.) N° 9-015 Unidad Académica Luján de Cuyo</t>
  </si>
  <si>
    <t>Instituto de Educación Superior (I.E.S.) N° 9-015 Unidad Académica Santa Rosa</t>
  </si>
  <si>
    <t>Instituto de Educación Superior (I.E.S.) N° 71 Cruz Roja Argentina Filial San Rafael</t>
  </si>
  <si>
    <t>Instituto de Educación Superior (I.E.S.) N° 9-007 Dr. Salvador Calafat</t>
  </si>
  <si>
    <t>Instituto Privado Nº 172 Instituto de Docencia, Investigación y Capacitación Laboral de la Sanidad Anexo San Martin</t>
  </si>
  <si>
    <t>Instituto Privado Nº 172 Instituto de Docencia, Investigación y Capacitación Laboral de la Sanidad Anexo Lavalle</t>
  </si>
  <si>
    <t>Instituto Privado Nº 172 Instituto de Docencia, Investigación y Capacitación Laboral de la Sanidad Anexo Tupungato</t>
  </si>
  <si>
    <t>Instituto Privado Nº 172 Instituto de Docencia, Investigación y Capacitación Laboral de la Sanidad Anexo General Alvear</t>
  </si>
  <si>
    <t>Instituto Privado Nº 172 Instituto de Docencia, Investigación y Capacitación Laboral de la Sanidad Anexo Malargüe</t>
  </si>
  <si>
    <t>Instituto de Educación Superior (I.E.S.) N° 9026 Instituto de Educación Superior</t>
  </si>
  <si>
    <t>Instituto Politécnico Nº 1 Instituto Superior de ETP Misiones</t>
  </si>
  <si>
    <t>Instituto de Educación Superior (I.E.S.) N° 14 Cruz Roja Argentina Filial Plaza Huincul</t>
  </si>
  <si>
    <t xml:space="preserve"> Instituto Superior N° 8034 Cruz Roja Argentina Filial Salta</t>
  </si>
  <si>
    <t>Instituto de Educación Superior Particular Incorporada (I.S.P.I.) N° 9195 Cruz Roja Argentina - Anexo</t>
  </si>
  <si>
    <t>Colegio Superior N° 50 General José de San Martín</t>
  </si>
  <si>
    <t>Instituto de Educación Superior Particular Incorporada (I.S.P.I.) N° 9193 Cruz Roja Argentina - Filial Rosario</t>
  </si>
  <si>
    <t>Instituto de Educación Superior Particular Autorizado (I.S.P.A.) Nº 4086 De Especialización Profesional</t>
  </si>
  <si>
    <t>Escuela Superior de Enfermería Rosa Carmen All</t>
  </si>
  <si>
    <t>Escuela Superior de Enfermería Rafaela</t>
  </si>
  <si>
    <t>Escuela Superior de Enfermería San Jorge</t>
  </si>
  <si>
    <t>Escuela Superior de Enfermería Cañada de Gómez</t>
  </si>
  <si>
    <t>Escuela Superior de Enfermería</t>
  </si>
  <si>
    <t>Instituto de Educación Superior de Formación Docente N° 03- Anexo Forres</t>
  </si>
  <si>
    <t>Escuela Normal Superior General Manuel Belgrano</t>
  </si>
  <si>
    <t>Escuela Normal Superior República del Ecuador</t>
  </si>
  <si>
    <t>Instituto de Educación Superior de Formación Docente N° 01 ISFDC MJ Gottau</t>
  </si>
  <si>
    <t>Instituto de Educación Superior (I.E.S.) Dr. Antenor Álvarez -Cruz Roja Argentina</t>
  </si>
  <si>
    <t>Instituto de Educación Superior (I.E.S.) Instituto Superior Monseñor Jorge Gottau</t>
  </si>
  <si>
    <t>Instituto de Educación Superior (I.E.S.) Dr. Ramón Carrillo</t>
  </si>
  <si>
    <t>Centro Educativo de Nivel Terciario (C.E.N.T.) N° 74 Anexo Simoca</t>
  </si>
  <si>
    <t>Centro Educativo de Nivel Terciario (C.E.N.T.) N° 35 Prof. Julián J. Godoy</t>
  </si>
  <si>
    <t>Bv. Alvear 68</t>
  </si>
  <si>
    <t>diresuperior@idelr.edu.ar</t>
  </si>
  <si>
    <t>gabyfornero@hotmail.com</t>
  </si>
  <si>
    <t>Las Varillas</t>
  </si>
  <si>
    <t>secretariasuperior.gmz@gmail.com</t>
  </si>
  <si>
    <t>Lima 871</t>
  </si>
  <si>
    <t>351-2772841</t>
  </si>
  <si>
    <t>Juan de Garay 2096</t>
  </si>
  <si>
    <t>educa.cordoba@cruzroja.org.ar</t>
  </si>
  <si>
    <t>snassif@institutocruzrojacordoba.net.ar</t>
  </si>
  <si>
    <t>Gisella Aguirre</t>
  </si>
  <si>
    <t>gaguirre@institutocruzrojacordoba.net.ar</t>
  </si>
  <si>
    <t>Rector</t>
  </si>
  <si>
    <t>Pampa del Indio</t>
  </si>
  <si>
    <t>Charata</t>
  </si>
  <si>
    <t>Ruta 86 y Liniers</t>
  </si>
  <si>
    <t>Puerto Bermejo</t>
  </si>
  <si>
    <t>Instituto de Educación Superior (I. E. S.) N° 1453 Escuela Superior de Salud Pública - Anexo Las Garcitas</t>
  </si>
  <si>
    <t>Las Garcitas</t>
  </si>
  <si>
    <t>Instituto de Educación Superior (I. E. S.) N° 1453 Escuela Superior de Salud Pública - Anexo General Jose de San Martin</t>
  </si>
  <si>
    <t>Av. Rusia 410</t>
  </si>
  <si>
    <t>gabriel.boleas@educacionadventista.org.ar</t>
  </si>
  <si>
    <t>fernando.gutierrez@educacionadventista.org.ar</t>
  </si>
  <si>
    <t>Instituto Privado de Educación Superior N° 472 "Instituto Misionero de Estudios Superiores"</t>
  </si>
  <si>
    <t>Mariano Ramiro Pianovi</t>
  </si>
  <si>
    <t>rectorado@imes.edu.ar</t>
  </si>
  <si>
    <t>politecnico.misiones@gmail.com</t>
  </si>
  <si>
    <t>anibalarroyos@gmail.com</t>
  </si>
  <si>
    <t>susanafretes.578@gmail.com</t>
  </si>
  <si>
    <t>Belgrano 874</t>
  </si>
  <si>
    <t>educa.lujan@cruzroja.org.ar</t>
  </si>
  <si>
    <t>Moreno 353</t>
  </si>
  <si>
    <t>isfdyt72glamadrid@abc.gob.ar</t>
  </si>
  <si>
    <t>isfdyt87ayacucho@abc.gob.ar</t>
  </si>
  <si>
    <t>rallamanno@abc.gob.ar</t>
  </si>
  <si>
    <t>coillataguerre@abc.gob.ar</t>
  </si>
  <si>
    <t>2392-430149</t>
  </si>
  <si>
    <t>2392-627460</t>
  </si>
  <si>
    <t>charlytrenke@gmail.com</t>
  </si>
  <si>
    <t>isfdyt73guamini@abc.gob.ar</t>
  </si>
  <si>
    <t>ARIAS MARIA DEL CARMEN</t>
  </si>
  <si>
    <t>marias6@abc.gob.ar</t>
  </si>
  <si>
    <t>E. Tornquist 319</t>
  </si>
  <si>
    <t>isfdyt162tornquist@abc.gob.ar</t>
  </si>
  <si>
    <t>gdinotolo@abc.gob.ar</t>
  </si>
  <si>
    <t>isft180moreno@abc.gob.ar</t>
  </si>
  <si>
    <t>Damián Rubenffein</t>
  </si>
  <si>
    <t>drubenffein@abc.gob.ar</t>
  </si>
  <si>
    <t>María Derdoy</t>
  </si>
  <si>
    <t>isft192baradero@abc.gob.ar</t>
  </si>
  <si>
    <t>Nestor Arebalo</t>
  </si>
  <si>
    <t>narebalo@abc.gob.ar</t>
  </si>
  <si>
    <t>ndecesare1@abc.gob.ar</t>
  </si>
  <si>
    <t>Remedios Escalada de San Martin 1411</t>
  </si>
  <si>
    <t>secretaria.vlopez@cruzroja.org.ar</t>
  </si>
  <si>
    <t>Prof. Lic. Samuel Machado Barcelos</t>
  </si>
  <si>
    <t>Héroes de Malvinas N° 35</t>
  </si>
  <si>
    <t>Marcelo Diez</t>
  </si>
  <si>
    <t>Las Heras 577</t>
  </si>
  <si>
    <t>isftn6008@hotmail.com</t>
  </si>
  <si>
    <t>hsainz@fibertel.com.ar</t>
  </si>
  <si>
    <t>lavallemarcela@hotmail.com</t>
  </si>
  <si>
    <t>Av. Belgrano 1191</t>
  </si>
  <si>
    <t>direccion197@ibeltran.com.ar</t>
  </si>
  <si>
    <t>aszer@ibeltran.com.ar</t>
  </si>
  <si>
    <t>jgiraud1@abc.gob.ar</t>
  </si>
  <si>
    <t>isfdyt211alem@abc.gob.ar</t>
  </si>
  <si>
    <t>Cecilia Baldassare</t>
  </si>
  <si>
    <t>cbaldassare@abc.gob.ar</t>
  </si>
  <si>
    <t>Perón 458</t>
  </si>
  <si>
    <t>isfdyt215lezama@abc.gob.ar</t>
  </si>
  <si>
    <t>Rosa Haydée Garay</t>
  </si>
  <si>
    <t>rosgaray2@abc.gob.ar</t>
  </si>
  <si>
    <t>9 de Julio N° 1537</t>
  </si>
  <si>
    <t>2227-525315</t>
  </si>
  <si>
    <t>isfdyt218roqueperez@abc.gob.ar</t>
  </si>
  <si>
    <t>TORRES, PATRICIA NOEMI</t>
  </si>
  <si>
    <t>2227-475774</t>
  </si>
  <si>
    <t>patrtorres3@abc.gob.ar</t>
  </si>
  <si>
    <t>isfdyt237treslomas@abc.gob.ar</t>
  </si>
  <si>
    <t>Paola Malacalza</t>
  </si>
  <si>
    <t>pmalacalza@abc.gob.ar</t>
  </si>
  <si>
    <t>Remedios de Escalada 855</t>
  </si>
  <si>
    <t>estudiosparamedicos@hotmail.com</t>
  </si>
  <si>
    <t>Sebastián Caffera</t>
  </si>
  <si>
    <t>scaffera@hotmail.com</t>
  </si>
  <si>
    <t>Griselda Patricia Sosa</t>
  </si>
  <si>
    <t>isfd133pinto@abc.gob.ar</t>
  </si>
  <si>
    <t>Jorgelina Sierra</t>
  </si>
  <si>
    <t>jsierra3@abc.gob.ar</t>
  </si>
  <si>
    <t>educa.snicolas@cruzroja.org.ar</t>
  </si>
  <si>
    <t>casibert@hotmail.com</t>
  </si>
  <si>
    <t>isft173lomasdezamora@abc.gob.ar</t>
  </si>
  <si>
    <t>Regente</t>
  </si>
  <si>
    <t>isft118@abc.gob.ar</t>
  </si>
  <si>
    <t>Enrique Reynoso</t>
  </si>
  <si>
    <t>enreynoso@abc.gob.ar</t>
  </si>
  <si>
    <t>isfdyt57chascomus@abc.gob.ar</t>
  </si>
  <si>
    <t>isfdyt48csuarez@abc.gob.ar</t>
  </si>
  <si>
    <t>mkleineruranga@abc.gob.ar</t>
  </si>
  <si>
    <t>Verónica Edith Herrero</t>
  </si>
  <si>
    <t>vherrero@cruzroja.org.ar</t>
  </si>
  <si>
    <t>221-4271917</t>
  </si>
  <si>
    <t>institutossp@gmail.com</t>
  </si>
  <si>
    <t>2345-429100</t>
  </si>
  <si>
    <t>nancyfacciuto@hotmail.com</t>
  </si>
  <si>
    <t>antonio_ismael_perafan@hotmail.com</t>
  </si>
  <si>
    <t>s-fernando@cruzroja.org.ar</t>
  </si>
  <si>
    <t>isfdyt68agchaves@abc.gob.ar</t>
  </si>
  <si>
    <t>lpalavecino9@abc.gob.ar</t>
  </si>
  <si>
    <t>chavense16@gmail.com</t>
  </si>
  <si>
    <t>Entre Rios 555</t>
  </si>
  <si>
    <t>isfdyt89lacosta@abc.gob.ar</t>
  </si>
  <si>
    <t>Saenz 749</t>
  </si>
  <si>
    <t>educa.lzamora@cruzroja.org.ar</t>
  </si>
  <si>
    <t>jorgefurnocra@yahoo.com.ar</t>
  </si>
  <si>
    <t>esthercarmen15@gmail.com</t>
  </si>
  <si>
    <t>isfdyt70rauch@abc.gob.ar</t>
  </si>
  <si>
    <t>Belgrano135</t>
  </si>
  <si>
    <t>2392-460007</t>
  </si>
  <si>
    <t>isfd71pellegrini@gmail.com</t>
  </si>
  <si>
    <t>Maria Alejandra Arbia</t>
  </si>
  <si>
    <t>maarbia@gmail.com</t>
  </si>
  <si>
    <t>lic Alejandra Arbia</t>
  </si>
  <si>
    <t>Soldi 268</t>
  </si>
  <si>
    <t>hortiz@abc.gob.ar</t>
  </si>
  <si>
    <t>Lanús Este</t>
  </si>
  <si>
    <t>Av. Eva Perón 2502</t>
  </si>
  <si>
    <t>cruzrojaf.lanusdireccion@gmail.com</t>
  </si>
  <si>
    <t>Barreira 50</t>
  </si>
  <si>
    <t>is060165@gmail.com</t>
  </si>
  <si>
    <t>barberiasilvina@gmail.com</t>
  </si>
  <si>
    <t>Maria Silvina Barberia</t>
  </si>
  <si>
    <t>Urquiza 553</t>
  </si>
  <si>
    <t>isfd60viamonte@abc.gob.ar</t>
  </si>
  <si>
    <t>clagonzalez22@abc.gob.ar</t>
  </si>
  <si>
    <t>César Horacio París</t>
  </si>
  <si>
    <t>cparis2@abc.gob.ar</t>
  </si>
  <si>
    <t>Av. Anta Nº666</t>
  </si>
  <si>
    <t>isfdyt85zarate@abc.gob.ar</t>
  </si>
  <si>
    <t>3487-408994</t>
  </si>
  <si>
    <t>Coronel Suarez</t>
  </si>
  <si>
    <t>Bermejo</t>
  </si>
  <si>
    <t>Dr. Eduardo Paz Chain N° 52</t>
  </si>
  <si>
    <t>educa.salta@cruzroja.org.ar</t>
  </si>
  <si>
    <t>Gonzalo Jonatan, Rodriguez</t>
  </si>
  <si>
    <t>grodriguez@cruzroja.org.ar</t>
  </si>
  <si>
    <t xml:space="preserve">Salta </t>
  </si>
  <si>
    <t>institutocarrillosalta@gmail.com</t>
  </si>
  <si>
    <t>stellaazul0025@gmail.com</t>
  </si>
  <si>
    <t>ies6047cachi@gmail.com</t>
  </si>
  <si>
    <t>ies9007@gmail.com</t>
  </si>
  <si>
    <t>José Mauro Torres</t>
  </si>
  <si>
    <t>maurotorres2001@yahoo.com.ar</t>
  </si>
  <si>
    <t>Viviana Elizabeth Torrez</t>
  </si>
  <si>
    <t>cullanita@hotmail.com</t>
  </si>
  <si>
    <t>Maria Rosa Reyes</t>
  </si>
  <si>
    <t>meryros@live.com.ar</t>
  </si>
  <si>
    <t>Tupungato</t>
  </si>
  <si>
    <t>Malargüe</t>
  </si>
  <si>
    <t>San Martin</t>
  </si>
  <si>
    <t>eliza.nor.2013@gmail.com</t>
  </si>
  <si>
    <t>carinaandreacorrea85@gmail.com</t>
  </si>
  <si>
    <t>Independencia 751</t>
  </si>
  <si>
    <t>gracielacorpos@gmail.com</t>
  </si>
  <si>
    <t>andreavictoriadiaz17@gmail.com</t>
  </si>
  <si>
    <t>fljmm_8_4_2@hotmail.com</t>
  </si>
  <si>
    <t>nardaleguizamon59@gmail.com</t>
  </si>
  <si>
    <t>Ciudad</t>
  </si>
  <si>
    <t>institutosuperiorgottau@gmail.com</t>
  </si>
  <si>
    <t>chavezrita176@gmail.com</t>
  </si>
  <si>
    <t>342-4458648</t>
  </si>
  <si>
    <t>dburi@jerarquicos.com</t>
  </si>
  <si>
    <t>lilianjgomez@hotmail.com</t>
  </si>
  <si>
    <t>institutosuperior@jerarquicos.com</t>
  </si>
  <si>
    <t>esedireccion@hotmail.com</t>
  </si>
  <si>
    <t>esere88@hotmail.com</t>
  </si>
  <si>
    <t>Bernardo de Irigoyen 1050</t>
  </si>
  <si>
    <t>eserafaela@hotmail.com</t>
  </si>
  <si>
    <t>Alejandra Gajdosik</t>
  </si>
  <si>
    <t>alegajdosik@hotmail.com</t>
  </si>
  <si>
    <t>Francia 1315</t>
  </si>
  <si>
    <t>escueladeenfermeriavt@hotmail.com</t>
  </si>
  <si>
    <t>ese_sanjorge@santafe.gov.ar</t>
  </si>
  <si>
    <t>uaecdadegomez@hotmail.com</t>
  </si>
  <si>
    <t>s.m.p_77@hotmail.com</t>
  </si>
  <si>
    <t>superior66_calchaqui@santafe.edu.ar</t>
  </si>
  <si>
    <t>paolafabre@hotmail.com</t>
  </si>
  <si>
    <t>camilabargetto@gmail.com</t>
  </si>
  <si>
    <t>s-fe@cruzroja.org.ar</t>
  </si>
  <si>
    <t>Eduardo Gabriel Gonzalez</t>
  </si>
  <si>
    <t>ggonzalez@cruzroja.org.ar</t>
  </si>
  <si>
    <t>ispi9195@gmail.com</t>
  </si>
  <si>
    <t>Mariela Susana Molina</t>
  </si>
  <si>
    <t>marielamolina9@gmail.com</t>
  </si>
  <si>
    <t>amayadanisa@hotmail.com</t>
  </si>
  <si>
    <t>Domingo Ferrari 480</t>
  </si>
  <si>
    <t>Laprida 1553</t>
  </si>
  <si>
    <t>Mariano Vera 548</t>
  </si>
  <si>
    <t>Virasoro 1249</t>
  </si>
  <si>
    <t>direccion@ispi9231.com.ar</t>
  </si>
  <si>
    <t>florcostaabrahan@gmail.com</t>
  </si>
  <si>
    <t xml:space="preserve">San Martin 930 </t>
  </si>
  <si>
    <t>388-4887133</t>
  </si>
  <si>
    <t xml:space="preserve">inscsa@hotmail.com </t>
  </si>
  <si>
    <t>Lic Oscar N. Tolaba</t>
  </si>
  <si>
    <t>387-4827107</t>
  </si>
  <si>
    <t>ontolaba@gmail.com</t>
  </si>
  <si>
    <t>Lic. Oscar N. Tolaba</t>
  </si>
  <si>
    <t>SAN PEDRO DE JUJUY</t>
  </si>
  <si>
    <t xml:space="preserve">PEDRO GOYENA </t>
  </si>
  <si>
    <t>3888-15657713</t>
  </si>
  <si>
    <t>institutosuperiorsangregorio@gmail.com</t>
  </si>
  <si>
    <t xml:space="preserve">lovisolo nelida natalia </t>
  </si>
  <si>
    <t>rectora</t>
  </si>
  <si>
    <t>3888-657713</t>
  </si>
  <si>
    <t>lovisolonelida@gmail.com</t>
  </si>
  <si>
    <t xml:space="preserve">cabeza oscar jesus </t>
  </si>
  <si>
    <t xml:space="preserve">coordinador </t>
  </si>
  <si>
    <t>387-5885283</t>
  </si>
  <si>
    <t>oscarjesuscabeza@gmail.com</t>
  </si>
  <si>
    <t>Instituto de Educación Superior N° 11 Tupac Amaru</t>
  </si>
  <si>
    <t>jorgebogni@gmail.com</t>
  </si>
  <si>
    <t>Rioja 30</t>
  </si>
  <si>
    <t>ispifholiveros@ispioliveros.com.ar</t>
  </si>
  <si>
    <t>anabelalbelo@ispioliveros.com.ar</t>
  </si>
  <si>
    <t>Nerina Mairal</t>
  </si>
  <si>
    <t>nerinamairal@ispioliveros.com.ar</t>
  </si>
  <si>
    <t>isfd.is@entrerios.edu.ar</t>
  </si>
  <si>
    <t>3446-592249</t>
  </si>
  <si>
    <t>andrefabianar@gmail.com</t>
  </si>
  <si>
    <t>mariaelbacerrato@yahoo.com.ar</t>
  </si>
  <si>
    <t>Instituto de Educación Superior (I.E.S.) N° 9015 Unidad Académica San Rafael</t>
  </si>
  <si>
    <t>Gabriela Verónica García</t>
  </si>
  <si>
    <t>gabgarcia10@abc.gob.ar</t>
  </si>
  <si>
    <t>sanmartinez13@abc.gob.ar</t>
  </si>
  <si>
    <t>sonsaavedra@abc.gob.ar</t>
  </si>
  <si>
    <t>isfdyt138csarmiento@abc.gob.ar</t>
  </si>
  <si>
    <t>jorceriani@abc.gob.ar</t>
  </si>
  <si>
    <t>isfdyt124colon@abc.gob.ar</t>
  </si>
  <si>
    <t>Federico Pissinis</t>
  </si>
  <si>
    <t>fpissinis@abc.gob.ar</t>
  </si>
  <si>
    <t>Primero</t>
  </si>
  <si>
    <t>Segundo</t>
  </si>
  <si>
    <t>Tercero</t>
  </si>
  <si>
    <t>Egresados</t>
  </si>
  <si>
    <t xml:space="preserve">Total </t>
  </si>
  <si>
    <t>PPs</t>
  </si>
  <si>
    <t>Cuota</t>
  </si>
  <si>
    <t>Cant.</t>
  </si>
  <si>
    <t>Libertad 214</t>
  </si>
  <si>
    <t>ies.bottegal.pn@entrerios.edu.ar</t>
  </si>
  <si>
    <t>Adriana Faes</t>
  </si>
  <si>
    <t>adrianafaes@hotmail.com</t>
  </si>
  <si>
    <t>Antelo 625</t>
  </si>
  <si>
    <t>profesoradoarienti@yahoo.com.ar</t>
  </si>
  <si>
    <t>ava_553@hotmail.com</t>
  </si>
  <si>
    <t>educa.srafael@cruzroja.org.ar</t>
  </si>
  <si>
    <t>Cristian Jesús Rodriguez</t>
  </si>
  <si>
    <t>crodriguez@cruzroja.org.ar</t>
  </si>
  <si>
    <t>gestion@issag.edu.ar</t>
  </si>
  <si>
    <t>Mitre 953</t>
  </si>
  <si>
    <t>institutoissagvillaregina@gmail.com</t>
  </si>
  <si>
    <t>institutoissagsao@gmail.com</t>
  </si>
  <si>
    <t>Pomán</t>
  </si>
  <si>
    <t>Gualeguaychu</t>
  </si>
  <si>
    <t>Otro Nivel y/o Modalidad</t>
  </si>
  <si>
    <t>educa.phuincul@cruzroja.org.ar</t>
  </si>
  <si>
    <t>hurra@cruzroja.org.ar</t>
  </si>
  <si>
    <t>Avda Juan B. Justo 2050</t>
  </si>
  <si>
    <t>patriciasoragni@gmail.com</t>
  </si>
  <si>
    <t>Nuñez 581</t>
  </si>
  <si>
    <t>isfdyt78bragado@abc.gob.ar</t>
  </si>
  <si>
    <t>Claudia Albertino</t>
  </si>
  <si>
    <t>calbertino@abc.gob.ar</t>
  </si>
  <si>
    <t>Instituto Superior de Formación Docente (I.S.F.D.) Nº 348</t>
  </si>
  <si>
    <t>Huanguelén</t>
  </si>
  <si>
    <t>Calle 9 Nº 339</t>
  </si>
  <si>
    <t>2933-432977</t>
  </si>
  <si>
    <t>evtaddei@abc.gob.ar</t>
  </si>
  <si>
    <t>Evangelina Taddei</t>
  </si>
  <si>
    <t>2923-657024</t>
  </si>
  <si>
    <t>amora@cruzroja.org.ar</t>
  </si>
  <si>
    <t>LAMADRID 262</t>
  </si>
  <si>
    <t>PALMIERI NATALIA</t>
  </si>
  <si>
    <t>natpalmieri@abc.gob.ar</t>
  </si>
  <si>
    <t>Sarmiento 648</t>
  </si>
  <si>
    <t>isfdyt65sancayetano@abc.gob.ar</t>
  </si>
  <si>
    <t>Mariana Adamini</t>
  </si>
  <si>
    <t>direccionsuperior65@gmail.com</t>
  </si>
  <si>
    <t>Rivadavia 454</t>
  </si>
  <si>
    <t>s-isidro@cruzroja.org.ar</t>
  </si>
  <si>
    <t>isft75tandil@abc.gob.ar</t>
  </si>
  <si>
    <t>Jorge Pereyra</t>
  </si>
  <si>
    <t>jorgepereyra632@gmail.com</t>
  </si>
  <si>
    <t>isft194galvarado@abc.gob.ar</t>
  </si>
  <si>
    <t>Maria Soledad Coco</t>
  </si>
  <si>
    <t>Soledad Villabona</t>
  </si>
  <si>
    <t>isft201campana@abc.gob.ar</t>
  </si>
  <si>
    <t>mabflores2@abc.gob.ar</t>
  </si>
  <si>
    <t>2255-464956</t>
  </si>
  <si>
    <t>isfdyt126salto@abc.gob.ar</t>
  </si>
  <si>
    <t>kpedrosa@abc.gob.ar</t>
  </si>
  <si>
    <t>fciani@cruzroja.org.ar</t>
  </si>
  <si>
    <t>patriciagenn61@gmail.com</t>
  </si>
  <si>
    <t>escenfisr@yahoo.com.ar</t>
  </si>
  <si>
    <t>marielapapaseit@gmail.com</t>
  </si>
  <si>
    <t>Quesada 2602</t>
  </si>
  <si>
    <t>rectoria.saavedra@cruzroja.org.ar</t>
  </si>
  <si>
    <t>sec.academica@ismsalud.com.ar</t>
  </si>
  <si>
    <t>gabrielaquirogan@gmail.com</t>
  </si>
  <si>
    <t>Martínez Ituño 213</t>
  </si>
  <si>
    <t>isfdyt59madariaga@abc.gob.ar</t>
  </si>
  <si>
    <t xml:space="preserve">María Constanza Herrero </t>
  </si>
  <si>
    <t>anlucero2@abc.gob.ar</t>
  </si>
  <si>
    <t>lmoron@institutotezza.edu.ar</t>
  </si>
  <si>
    <t>secretaria@cienciasdelasalud.edu.ar</t>
  </si>
  <si>
    <t>coordinacionenfermeria11@gmail.com</t>
  </si>
  <si>
    <t>institutosuperiorisam@gmail.com</t>
  </si>
  <si>
    <t>Viamonte 2518</t>
  </si>
  <si>
    <t>rector@facultar.org.ar</t>
  </si>
  <si>
    <t>Leandro Guerschberg</t>
  </si>
  <si>
    <t>Mariano Acosta 2920</t>
  </si>
  <si>
    <t>rectoria@terciariofatimasoldati.edu.ar</t>
  </si>
  <si>
    <t>instituto@iseaz.edu.ar</t>
  </si>
  <si>
    <t>rectoria@iseaz.edu.ar</t>
  </si>
  <si>
    <t>Pepiri 1462</t>
  </si>
  <si>
    <t>ietp.donorione@gmail.com</t>
  </si>
  <si>
    <t>Claudio Miguel Salatino</t>
  </si>
  <si>
    <t>claudiosalatino@gmail.com</t>
  </si>
  <si>
    <t>Mariana Patricia Malla</t>
  </si>
  <si>
    <t>mapama29250415@gmail.com</t>
  </si>
  <si>
    <t>escuela@atsa.org.ar</t>
  </si>
  <si>
    <t>isaod1440@gmail.com</t>
  </si>
  <si>
    <t>Deheza 2723</t>
  </si>
  <si>
    <t>11-41035487</t>
  </si>
  <si>
    <t xml:space="preserve">secretariapedagogica@arcis.edu.ar </t>
  </si>
  <si>
    <t>Prof.Lic. Antonella Potenzoni</t>
  </si>
  <si>
    <t xml:space="preserve">Retora Nivel Supeior </t>
  </si>
  <si>
    <t>11-2246-8563</t>
  </si>
  <si>
    <t>rectoria@arcis.org.ar</t>
  </si>
  <si>
    <t xml:space="preserve">Pablo Sperzagni </t>
  </si>
  <si>
    <t>Secretario</t>
  </si>
  <si>
    <t>11-6165-9970</t>
  </si>
  <si>
    <t xml:space="preserve">pablosperzagni@arcis.edu.ar </t>
  </si>
  <si>
    <t>Venezuela 2632/36</t>
  </si>
  <si>
    <t>Elena Asunción Di Pietro</t>
  </si>
  <si>
    <t>elena.dipietro@csantacatalina.com.ar</t>
  </si>
  <si>
    <t>Lucía Di Pietro</t>
  </si>
  <si>
    <t>lucia.dipietro@csantacatalina.com.ar</t>
  </si>
  <si>
    <t>Extra curricular</t>
  </si>
  <si>
    <t>Bernardo de Irigoyen 4951</t>
  </si>
  <si>
    <t>223-4893459</t>
  </si>
  <si>
    <t>isetmardelplata@gmail.com</t>
  </si>
  <si>
    <t>Laura Estela Giarrocco</t>
  </si>
  <si>
    <t>lgiarrocco@gmail.com</t>
  </si>
  <si>
    <t>Centro Educativo de Nivel Terciario (C.E.N.T.) N° 11 "Ciudad de Ushuaia"</t>
  </si>
  <si>
    <t>Raquel Maria Rodriguez</t>
  </si>
  <si>
    <t>luisina.caffaratti@institutohoussay.edu.ar</t>
  </si>
  <si>
    <t>mariela.vico@institutohoussay.edu.ar</t>
  </si>
  <si>
    <t>r_carrillo_bellville@yahoo.com.ar</t>
  </si>
  <si>
    <t>fingaglio@hotmail.com</t>
  </si>
  <si>
    <t>ce.aronica@hotmail.com</t>
  </si>
  <si>
    <t>379-4437620</t>
  </si>
  <si>
    <t>educa.corrientes@cruzroja.org.ar</t>
  </si>
  <si>
    <t>Javier Quiroga</t>
  </si>
  <si>
    <t>javier_quiroga@hotmail.com.ar</t>
  </si>
  <si>
    <t>1801466-00@mec.gob.ar</t>
  </si>
  <si>
    <t>cmarce83@yahoo.com.ar</t>
  </si>
  <si>
    <t>3436-430706</t>
  </si>
  <si>
    <t>1801451-00@mec.gob.ar</t>
  </si>
  <si>
    <t>Bv. Hipólito Yrigoyen 240</t>
  </si>
  <si>
    <t>3446-481346</t>
  </si>
  <si>
    <t>terciariourdi@educ.ar</t>
  </si>
  <si>
    <t>Carina Aguilar</t>
  </si>
  <si>
    <t>-……</t>
  </si>
  <si>
    <t>-32.687310758299674, -58.88573298753859</t>
  </si>
  <si>
    <t>Cuota total</t>
  </si>
  <si>
    <t>Santa Lucia</t>
  </si>
  <si>
    <t>3777-611703</t>
  </si>
  <si>
    <t>1801766-00@mec.gob.ar</t>
  </si>
  <si>
    <t>diego_heine@hotmail.com</t>
  </si>
  <si>
    <t>3777-319359</t>
  </si>
  <si>
    <t>silvioacevedo@yahoo.com.ar</t>
  </si>
  <si>
    <t>Instituto de Educación Superior (I.E.S.) Nº 32 Belén</t>
  </si>
  <si>
    <t>Instituto de Educación Superior (I.E.S.) Sebastián Alejandro Corpacci  EXTENSION AULICA MIRAFLORES</t>
  </si>
  <si>
    <t>Instituto de Educación Superior (I.E.S.) Recreo</t>
  </si>
  <si>
    <t>Centro Educativo de Nivel Terciario (C.E.N.T.) N° 74 Anexo Lules</t>
  </si>
  <si>
    <t>Lules</t>
  </si>
  <si>
    <t>Centro Educativo de Nivel Terciario (C.E.N.T.) N° 74 Anexo Tafi Viejo</t>
  </si>
  <si>
    <t>Institución Superior de Formación Docente y Técnica N° 210</t>
  </si>
  <si>
    <t>Instituto Superior de Formación Docente (I.S.F.D.) Nº 1 Anexo Abra Pampa</t>
  </si>
  <si>
    <t>Instituto Nº 4010 Superior de Ciencias Comerciales - Anexo Gobernador Crespo</t>
  </si>
  <si>
    <t>Instituto Privado Nº A-1420 Bernardo Houssay</t>
  </si>
  <si>
    <t>Gavilan 75</t>
  </si>
  <si>
    <t>11-36119306</t>
  </si>
  <si>
    <t xml:space="preserve">escuelabhoussay@yahoo.com.ar </t>
  </si>
  <si>
    <t xml:space="preserve">                                      Fernandez Jorge Oscar </t>
  </si>
  <si>
    <t xml:space="preserve">                                        Representante Legal </t>
  </si>
  <si>
    <t xml:space="preserve">fjorgeoscar54@yahoo.com.ar </t>
  </si>
  <si>
    <t>Venegas Arteaga Maribel</t>
  </si>
  <si>
    <t>11-22542917</t>
  </si>
  <si>
    <t>maribelvenegasarteaga@gmail.com</t>
  </si>
  <si>
    <t>-34.626806563414426, -58.46019354706238</t>
  </si>
  <si>
    <t xml:space="preserve">Instituto Superior San Expedito </t>
  </si>
  <si>
    <t>MONTE BUEY</t>
  </si>
  <si>
    <t>MARIANO MORENO N°480
barrio, CENTRO</t>
  </si>
  <si>
    <t>VICO MARIELA</t>
  </si>
  <si>
    <t>Director/a</t>
  </si>
  <si>
    <t>Director/a de estudios</t>
  </si>
  <si>
    <t>Roca 327</t>
  </si>
  <si>
    <t>Rector/a</t>
  </si>
  <si>
    <t>Coordinador/a</t>
  </si>
  <si>
    <t>Sarmiento S/N</t>
  </si>
  <si>
    <t>387 - 5869713</t>
  </si>
  <si>
    <t>CArlos Federico Liendro (Coordinador Pedagógico - Responsable de la Institución)</t>
  </si>
  <si>
    <t>Secretaria/o  Academica/o</t>
  </si>
  <si>
    <t>carfeli7466@gmail.com</t>
  </si>
  <si>
    <t>Johanna Antonina Rodriguez</t>
  </si>
  <si>
    <t>387 - 5401276</t>
  </si>
  <si>
    <t>joha81933@gmail.com</t>
  </si>
  <si>
    <t xml:space="preserve">Los Cardenales, 6992, Bª Itaembé Guazú </t>
  </si>
  <si>
    <t>ANIBAL RAMON ARROYOS</t>
  </si>
  <si>
    <t>SUSANA FRETES</t>
  </si>
  <si>
    <t>03414721492</t>
  </si>
  <si>
    <t>03416098487</t>
  </si>
  <si>
    <t>Bv. Patria 2702</t>
  </si>
  <si>
    <t>3498 526026</t>
  </si>
  <si>
    <t>aldoruizsj@gmail.com</t>
  </si>
  <si>
    <t>Aldo Maria Ruiz</t>
  </si>
  <si>
    <t>3498 500315</t>
  </si>
  <si>
    <t>Jorge Bogni</t>
  </si>
  <si>
    <t>3498 478804</t>
  </si>
  <si>
    <t>Quintana N° 110</t>
  </si>
  <si>
    <t>isfdyt40trenquelauquen@gmail.com</t>
  </si>
  <si>
    <t>CARLOS ROBERTO PIÑERO</t>
  </si>
  <si>
    <t>Analía Romero</t>
  </si>
  <si>
    <t>analiaferomero@abc.gob.ar</t>
  </si>
  <si>
    <t>02474663093</t>
  </si>
  <si>
    <t>isfdyt125rojas@abc.gob.ar</t>
  </si>
  <si>
    <t>MORI IGNACIO</t>
  </si>
  <si>
    <t>Jefe/a de área</t>
  </si>
  <si>
    <t>02475411806</t>
  </si>
  <si>
    <t>ignaciomori73@hotmail.com</t>
  </si>
  <si>
    <t>526 n° 1246</t>
  </si>
  <si>
    <t>no posee</t>
  </si>
  <si>
    <t>instituto221@gmail.com</t>
  </si>
  <si>
    <t>Ana Laura Montangie</t>
  </si>
  <si>
    <t>amontangie2@abc.gob.ar</t>
  </si>
  <si>
    <t>Diagonal Fortunato de la Plaza 1620</t>
  </si>
  <si>
    <t>02291433791</t>
  </si>
  <si>
    <t>02235178404</t>
  </si>
  <si>
    <t>Av. Fco. Sigel
720</t>
  </si>
  <si>
    <t>03482543464</t>
  </si>
  <si>
    <t>anfa_sr@hotmail.com</t>
  </si>
  <si>
    <t xml:space="preserve">Carina Correa </t>
  </si>
  <si>
    <t xml:space="preserve">Andrea Schneeberger </t>
  </si>
  <si>
    <t>Calle 119 esquina Alcides Villano</t>
  </si>
  <si>
    <t>isfdyt49brandsen@abc.gob.ar</t>
  </si>
  <si>
    <t>Sonia Saavedra</t>
  </si>
  <si>
    <t>Bottaro 995</t>
  </si>
  <si>
    <t>03329 428950</t>
  </si>
  <si>
    <t>03329 15625822</t>
  </si>
  <si>
    <t>Carlos Pellegrini N°10</t>
  </si>
  <si>
    <t>Escuela Superior de Enfermeria Reconquista</t>
  </si>
  <si>
    <t>Hipólito Irigoyen 1580</t>
  </si>
  <si>
    <t>Nancy Helena Villasboas</t>
  </si>
  <si>
    <t>nancy_villasboas@yahoo.com.ar</t>
  </si>
  <si>
    <t>483 418086</t>
  </si>
  <si>
    <t>Av Dunckler N° 555</t>
  </si>
  <si>
    <t>2354-421116</t>
  </si>
  <si>
    <t>Secretaria/o</t>
  </si>
  <si>
    <t>vmanueli@abc.com.ar</t>
  </si>
  <si>
    <t>Belgrano 720</t>
  </si>
  <si>
    <t>Daniel Allamanno</t>
  </si>
  <si>
    <t>mariano Oillataguerre</t>
  </si>
  <si>
    <t>Sarmiento 663</t>
  </si>
  <si>
    <t>Flavia Mercedes Neira</t>
  </si>
  <si>
    <t>neiraflavia20@gmail.com</t>
  </si>
  <si>
    <t>03492- 432441</t>
  </si>
  <si>
    <t>secretariaisp2@gmail.com</t>
  </si>
  <si>
    <t>Laura Culzoni</t>
  </si>
  <si>
    <t>03492- 15521634</t>
  </si>
  <si>
    <t>direccionisp2@gmail.com</t>
  </si>
  <si>
    <t>Yanina Román</t>
  </si>
  <si>
    <t>03492- 15632607</t>
  </si>
  <si>
    <t>yaninaroman432@gmail.com</t>
  </si>
  <si>
    <t>SANMARTIN 322</t>
  </si>
  <si>
    <t>ARBALLO VANESA YANINA</t>
  </si>
  <si>
    <t>varballo1@abc.gob.ar</t>
  </si>
  <si>
    <t>Moreno 153</t>
  </si>
  <si>
    <t xml:space="preserve">Mar de Ajó </t>
  </si>
  <si>
    <t>2257 423606</t>
  </si>
  <si>
    <t xml:space="preserve">Degange Analia </t>
  </si>
  <si>
    <t xml:space="preserve">Laregina Alejandro </t>
  </si>
  <si>
    <t>alelaregina@gmail.com</t>
  </si>
  <si>
    <t>Paseo 137 entre av. 6 y Av 7</t>
  </si>
  <si>
    <t>isft200@abc.gob.ar</t>
  </si>
  <si>
    <t>Damian Montero</t>
  </si>
  <si>
    <t>rmontero1@abc.gob.ar</t>
  </si>
  <si>
    <t>Robinson Amryhn</t>
  </si>
  <si>
    <t>2267-416025</t>
  </si>
  <si>
    <t>amrhynrobin@gmail.com</t>
  </si>
  <si>
    <t>Julio Argentino Roca y Tucuman</t>
  </si>
  <si>
    <t>03491471747</t>
  </si>
  <si>
    <t>institutojms009@gmail.com</t>
  </si>
  <si>
    <t>Susana Rodriguez</t>
  </si>
  <si>
    <t>susinrod@yahoo.com.ar</t>
  </si>
  <si>
    <t>Danisa Amaya</t>
  </si>
  <si>
    <t>M.Laura Rodriguez</t>
  </si>
  <si>
    <t>lic.laurarod@gmail.com</t>
  </si>
  <si>
    <t xml:space="preserve">M. Laura Rodríguez </t>
  </si>
  <si>
    <t>Barletta 2180</t>
  </si>
  <si>
    <t>Mabel Gladys Flores</t>
  </si>
  <si>
    <t>Adolfo G Chaves</t>
  </si>
  <si>
    <t>Maipú 684</t>
  </si>
  <si>
    <t>Laura Andrea Palavecino</t>
  </si>
  <si>
    <t>Alejandro Fernandez</t>
  </si>
  <si>
    <t>2983 526019</t>
  </si>
  <si>
    <t>02242432111</t>
  </si>
  <si>
    <t>Favio Garay</t>
  </si>
  <si>
    <t>faviogaray@abc.gob.ar</t>
  </si>
  <si>
    <t>5 de agosto 1541</t>
  </si>
  <si>
    <t>iset57.lasflores@gmail.com</t>
  </si>
  <si>
    <t>Boffa Carlos</t>
  </si>
  <si>
    <t>341 3364518</t>
  </si>
  <si>
    <t>Diego Martin Garre</t>
  </si>
  <si>
    <t>3416 056161</t>
  </si>
  <si>
    <t>diegomgarre@gmail.com</t>
  </si>
  <si>
    <t>03382-428570</t>
  </si>
  <si>
    <t>nivel_terciario@superior50.com.ar</t>
  </si>
  <si>
    <t>Marilin Firpo</t>
  </si>
  <si>
    <t>3382-448903</t>
  </si>
  <si>
    <t>Mariam Garcia Prucca</t>
  </si>
  <si>
    <t>3382-673967</t>
  </si>
  <si>
    <t>03454 421045</t>
  </si>
  <si>
    <t>Lorena Analia Ava</t>
  </si>
  <si>
    <t>03454 406934</t>
  </si>
  <si>
    <t>Carlos Morales</t>
  </si>
  <si>
    <t>3454 411216</t>
  </si>
  <si>
    <t>carlosmora_25@hotmail.com</t>
  </si>
  <si>
    <t>Gervasio Mendez 676</t>
  </si>
  <si>
    <t>03446 431324</t>
  </si>
  <si>
    <t>isfd.gh@entrerios.edu.ar</t>
  </si>
  <si>
    <t>Cerrato Maria Elba</t>
  </si>
  <si>
    <t>3446 538805</t>
  </si>
  <si>
    <t>mariaelbacerato@yahoo.com.ar</t>
  </si>
  <si>
    <t>Franklin 166</t>
  </si>
  <si>
    <t>02241436710</t>
  </si>
  <si>
    <t>ANA MARÍA WYRLEY-BIRCH</t>
  </si>
  <si>
    <t>awyrleybirch@abc.gob.ar</t>
  </si>
  <si>
    <t>MIRNA ELÍAS</t>
  </si>
  <si>
    <t>02241455214</t>
  </si>
  <si>
    <t>mirnaelias@abc.gob.ar</t>
  </si>
  <si>
    <t>Av Hipólito Yrigoyen 9428</t>
  </si>
  <si>
    <t>01142434148</t>
  </si>
  <si>
    <t>Carolina Eva Isleño</t>
  </si>
  <si>
    <t>cisleno1@abc.gob.ar</t>
  </si>
  <si>
    <t>Marcela Llavalle</t>
  </si>
  <si>
    <t>Bernardino Esperanza N°413</t>
  </si>
  <si>
    <t xml:space="preserve">Pedrosa Karina </t>
  </si>
  <si>
    <t>Pedrosa Karina</t>
  </si>
  <si>
    <t>Vicedirector/a</t>
  </si>
  <si>
    <t>CALLE 3 Nº 241</t>
  </si>
  <si>
    <t>03388470310</t>
  </si>
  <si>
    <t>JUAN MANUEL GIRAUD</t>
  </si>
  <si>
    <t>0343 4930334</t>
  </si>
  <si>
    <t>Fabián Gomar</t>
  </si>
  <si>
    <t>fabiangomar@gmail.com</t>
  </si>
  <si>
    <t>Av. de las Palmeras entre 13 y 14</t>
  </si>
  <si>
    <t>02473-421068</t>
  </si>
  <si>
    <t>Barraza, Ana María</t>
  </si>
  <si>
    <t>anaestherbarraza25@gmail.com</t>
  </si>
  <si>
    <t>36 n 382</t>
  </si>
  <si>
    <t>221-5218363</t>
  </si>
  <si>
    <t>isfdyt210laplata@abc.gob.ar</t>
  </si>
  <si>
    <t>D' ANDREA, Pedro Agustín</t>
  </si>
  <si>
    <t>011-41629312</t>
  </si>
  <si>
    <t>agdandrea@abc.gob.ar</t>
  </si>
  <si>
    <t>D'ANDREA, Pedro Agustin</t>
  </si>
  <si>
    <t>3492 453120</t>
  </si>
  <si>
    <t>3492 207989</t>
  </si>
  <si>
    <t>Gral. Las Heras</t>
  </si>
  <si>
    <t>Juez Dumont s/n</t>
  </si>
  <si>
    <t>isfdyt44lasheras@abc.gob.ar</t>
  </si>
  <si>
    <t>Sandra Matinez</t>
  </si>
  <si>
    <t>Nicolás Fernández Casas</t>
  </si>
  <si>
    <t>nfernandezcasas@abc.gob.ar</t>
  </si>
  <si>
    <t>Av. Pte. Perón 28</t>
  </si>
  <si>
    <t>02395-451697</t>
  </si>
  <si>
    <t>isfdyt80carloscasares@abc.gob.ar</t>
  </si>
  <si>
    <t>Alejandra Roldan</t>
  </si>
  <si>
    <t>aroldan8@abc.gob.ar</t>
  </si>
  <si>
    <t>Aeronáutica Argentina 2700</t>
  </si>
  <si>
    <t>DANIEL JAVIER BRAVO</t>
  </si>
  <si>
    <t>javierisft75@gmail.com</t>
  </si>
  <si>
    <t>Larrea 276</t>
  </si>
  <si>
    <t>2494519928 (sólo recibe llamadas por whatsapp</t>
  </si>
  <si>
    <t>María Soledad Vidaurreta</t>
  </si>
  <si>
    <t>mvidaurreta1@abc.gob.ar</t>
  </si>
  <si>
    <t>Elba Irungaray</t>
  </si>
  <si>
    <t>eirungaray@abc.gob.ar</t>
  </si>
  <si>
    <t>Viamonte N°2615</t>
  </si>
  <si>
    <t>0237-4665724</t>
  </si>
  <si>
    <t>jefaturadeareaenfermeria180@gmail.com</t>
  </si>
  <si>
    <t>ALBERDI S/N</t>
  </si>
  <si>
    <t>nardaleguizamon5@gmail.com</t>
  </si>
  <si>
    <t>LEGUIZAMON NARDA DELICIA</t>
  </si>
  <si>
    <t>LIBERTAD JUAN B JUSTO</t>
  </si>
  <si>
    <t>ISFDYT93SANVICENTE@ABC.GOB.AR</t>
  </si>
  <si>
    <t>SPANDRE OMAR</t>
  </si>
  <si>
    <t>OSPANDRE@ABC.GOB.AR</t>
  </si>
  <si>
    <t>ADAN ALOE</t>
  </si>
  <si>
    <t>AALOE3@ABC.GOB.AR</t>
  </si>
  <si>
    <t>Gral Madariaga</t>
  </si>
  <si>
    <t>02267 -  421181</t>
  </si>
  <si>
    <t>02267 15638901</t>
  </si>
  <si>
    <t>maherrero8@abc.gob.ar</t>
  </si>
  <si>
    <t>Ana Laura Lucero</t>
  </si>
  <si>
    <t>2267 15416910</t>
  </si>
  <si>
    <t>Gral La Madrid</t>
  </si>
  <si>
    <t>Mariana Leticia Aguirre</t>
  </si>
  <si>
    <t>maraguirre13@abc.gob.ar</t>
  </si>
  <si>
    <t>Cintia Daniela Sereno</t>
  </si>
  <si>
    <t>cintia.d.sereno@gmail.com</t>
  </si>
  <si>
    <t>02358442131</t>
  </si>
  <si>
    <t>AV. CONGRESO 726</t>
  </si>
  <si>
    <t>3436 -430706</t>
  </si>
  <si>
    <t>ies.benavento.vc@entrerios.edu.ar</t>
  </si>
  <si>
    <t>JUAN MANUEL KRAFT</t>
  </si>
  <si>
    <t>JM-KRAFT@HOTMAIL.COM</t>
  </si>
  <si>
    <t>NORMA RAMIREZ</t>
  </si>
  <si>
    <t>NORMARAMY@GMAIL.COM</t>
  </si>
  <si>
    <t>02342-424351</t>
  </si>
  <si>
    <t>02342-408174</t>
  </si>
  <si>
    <t>Ana Ibañez</t>
  </si>
  <si>
    <t>02342-445031</t>
  </si>
  <si>
    <t>anaibanez4@abc.gob.ar</t>
  </si>
  <si>
    <t>Embarcacion</t>
  </si>
  <si>
    <t>3487-15-496400</t>
  </si>
  <si>
    <t>Erica Ramírez</t>
  </si>
  <si>
    <t>3487-686998</t>
  </si>
  <si>
    <t>eriramirez@abc.gob.ar</t>
  </si>
  <si>
    <t>Laura Salvatore</t>
  </si>
  <si>
    <t>lausalvatore@abc.gob.ar</t>
  </si>
  <si>
    <t>Santa Maria de oro 971</t>
  </si>
  <si>
    <t xml:space="preserve">Noelia De Cesare </t>
  </si>
  <si>
    <t>Guillermo Di Notolo</t>
  </si>
  <si>
    <t>Alem 380</t>
  </si>
  <si>
    <t>isft150carlostejedor@abc.gob.ar</t>
  </si>
  <si>
    <t>Clara Maria Meana</t>
  </si>
  <si>
    <t>cmeana@abc.gob.ar</t>
  </si>
  <si>
    <t>Claudia Lorena Greevey</t>
  </si>
  <si>
    <t>greeveyc78@hotmail.com</t>
  </si>
  <si>
    <t>monadal@abc.gob.ar</t>
  </si>
  <si>
    <t>Mónica Nadal</t>
  </si>
  <si>
    <t>diezmarcelod@abc.gob.ar</t>
  </si>
  <si>
    <t>Blvd. Belgrano Nº 281</t>
  </si>
  <si>
    <t>Paola Lorena Fabre</t>
  </si>
  <si>
    <t>Camila Bargetto</t>
  </si>
  <si>
    <t>Av Pte Perón 604</t>
  </si>
  <si>
    <t>2478 481927</t>
  </si>
  <si>
    <t>Jorgelina Ceriani</t>
  </si>
  <si>
    <t>Antonela Zarosinski</t>
  </si>
  <si>
    <t>antozarosinski@gmail.com</t>
  </si>
  <si>
    <t>02261442053</t>
  </si>
  <si>
    <t xml:space="preserve">BARTOLOMÉ MITRE Y CAMBACERES </t>
  </si>
  <si>
    <t xml:space="preserve">OTTO GUILLERMO MARTIN  GUELARDI </t>
  </si>
  <si>
    <t>martinguelardi@gmail.com</t>
  </si>
  <si>
    <t xml:space="preserve">OTTO GUILLERMO MARTIN GUELARDI </t>
  </si>
  <si>
    <t>Belgrano 927/933</t>
  </si>
  <si>
    <t>1801415-00@mec.gob.ar</t>
  </si>
  <si>
    <t>Beatriz Blanca Tartaglino</t>
  </si>
  <si>
    <t>isfdprofesoragustingomez@gmail.com</t>
  </si>
  <si>
    <t>Amelia Isolina Aguirre</t>
  </si>
  <si>
    <t>isoaguirre85@gmail.com</t>
  </si>
  <si>
    <t>Rivadavia 165</t>
  </si>
  <si>
    <t>superior.normalrdcm.fo@entrerios.edu.ar</t>
  </si>
  <si>
    <t>María Lorena Garcia</t>
  </si>
  <si>
    <t>mlgarcia1708@hotmail.com</t>
  </si>
  <si>
    <t>GERONIMO DEL BARCO 640</t>
  </si>
  <si>
    <t>03537 421161</t>
  </si>
  <si>
    <t>FABIAN INGAGLIO</t>
  </si>
  <si>
    <t>CECILIA ARONICA</t>
  </si>
  <si>
    <t>Avenida Uriburu 1472</t>
  </si>
  <si>
    <t>Kleiner Uranga, Mariela Lorena</t>
  </si>
  <si>
    <t>Laval María de Los Angeles</t>
  </si>
  <si>
    <t>mlaval@abc.gob.ar</t>
  </si>
  <si>
    <t xml:space="preserve">santa fe </t>
  </si>
  <si>
    <t>Urquiza 3118</t>
  </si>
  <si>
    <t>0342 4574820</t>
  </si>
  <si>
    <t>Mónica Batistela</t>
  </si>
  <si>
    <t>342 154303467</t>
  </si>
  <si>
    <t>monibatiges@gmail.com</t>
  </si>
  <si>
    <t xml:space="preserve">Mónica Batistela </t>
  </si>
  <si>
    <t>0342 154303467</t>
  </si>
  <si>
    <t>02224 42-3339</t>
  </si>
  <si>
    <t>glafernandez7@abc.gob.ar</t>
  </si>
  <si>
    <t>Fernández Gladys</t>
  </si>
  <si>
    <t>Hector  Ortiz</t>
  </si>
  <si>
    <t>+54 9 11 5010-8284</t>
  </si>
  <si>
    <t>Avenida Entre Ríos Nº 222</t>
  </si>
  <si>
    <t>03446-495035</t>
  </si>
  <si>
    <t>Andrea Fabiana Romero</t>
  </si>
  <si>
    <t>Romero Andrea Fabiana</t>
  </si>
  <si>
    <t>Insaurralde Lilian</t>
  </si>
  <si>
    <t>lilianins@gmail.com</t>
  </si>
  <si>
    <t>Arce Martín</t>
  </si>
  <si>
    <t>Av. Italia N° 212</t>
  </si>
  <si>
    <t>Diego Alejandro Heine</t>
  </si>
  <si>
    <t>0377715413809</t>
  </si>
  <si>
    <t>Silvio Alejandro Acevedo</t>
  </si>
  <si>
    <t>isfd152LasFlores@abc.gob.ar</t>
  </si>
  <si>
    <t>Dolly Diaz</t>
  </si>
  <si>
    <t>doldiaz@abc.gob.ar</t>
  </si>
  <si>
    <t>CATAMARCA N° 490</t>
  </si>
  <si>
    <t>normalfrias@gmail.com</t>
  </si>
  <si>
    <t>LAURA MONICA ROJAS</t>
  </si>
  <si>
    <t>lmonicarojas@hotmail.com</t>
  </si>
  <si>
    <t>CINTHIA ARICEL VILDOZA</t>
  </si>
  <si>
    <t>cinthiaaricel@gmail.com</t>
  </si>
  <si>
    <t>011-4203-0222/0134</t>
  </si>
  <si>
    <t>Gustavo Agosti</t>
  </si>
  <si>
    <t>Alejandro Szer</t>
  </si>
  <si>
    <t>011-66361213</t>
  </si>
  <si>
    <t>Lavalle N°856</t>
  </si>
  <si>
    <t>385- 155056604</t>
  </si>
  <si>
    <t>isppn6sgo@gmail.com</t>
  </si>
  <si>
    <t>Andrea Rolendia Díaz</t>
  </si>
  <si>
    <t>Sonia Viviana Leiva</t>
  </si>
  <si>
    <t>385-154858941</t>
  </si>
  <si>
    <t>Santiago del estero</t>
  </si>
  <si>
    <t>normalnivelsuperior24@gmail.com</t>
  </si>
  <si>
    <t>Graciela Corpos de Torres</t>
  </si>
  <si>
    <t>Silvia Beatriz Rodriguez</t>
  </si>
  <si>
    <t>silviabrodriguez28@gmail.com</t>
  </si>
  <si>
    <t>Lisandro de la Torre 264</t>
  </si>
  <si>
    <t>iessaludpublica@gmail.com</t>
  </si>
  <si>
    <t>Gloria Susana Soto</t>
  </si>
  <si>
    <t>gsoto.enfoco.inet@gmail.com</t>
  </si>
  <si>
    <t>Gustavo Daniel Morales</t>
  </si>
  <si>
    <t>+54 9 362 463-8172</t>
  </si>
  <si>
    <t>gustavomorales1873@hotmail.com</t>
  </si>
  <si>
    <t>Presidencia Roque Sáenz Peña</t>
  </si>
  <si>
    <t>Av. Las Malvinas 1352</t>
  </si>
  <si>
    <t>Ruta N°3 cuarta legua 17</t>
  </si>
  <si>
    <t>Villa Ángela</t>
  </si>
  <si>
    <t>Maipú y Boulevar Obligado</t>
  </si>
  <si>
    <t>Juan José Castelli</t>
  </si>
  <si>
    <t>Av. San Martín</t>
  </si>
  <si>
    <t>Juan José Paso</t>
  </si>
  <si>
    <t>Misión Nueva Pompeya</t>
  </si>
  <si>
    <t>Maipú y Boulevard Obligado</t>
  </si>
  <si>
    <t>9 DE OCTUBRE S/N</t>
  </si>
  <si>
    <t>AV. ALEJANDRO COSTA S/N</t>
  </si>
  <si>
    <t>General José de San Martin</t>
  </si>
  <si>
    <t>Ruta 90 km 76,7 acceso Norte</t>
  </si>
  <si>
    <t>Urquiza 750</t>
  </si>
  <si>
    <t>03471 15515082</t>
  </si>
  <si>
    <t>Sergio Martin Pedemonte</t>
  </si>
  <si>
    <t>madamini1@abc.gob.ar</t>
  </si>
  <si>
    <t xml:space="preserve">Ingeniero forres </t>
  </si>
  <si>
    <t xml:space="preserve">Av. Libertad y Francisco Bustos </t>
  </si>
  <si>
    <t>fernadocarrasco2022@gmail.com</t>
  </si>
  <si>
    <t xml:space="preserve">Oscar Fernando Carrazco </t>
  </si>
  <si>
    <t xml:space="preserve">Norma Elizabet Díaz </t>
  </si>
  <si>
    <t>Pje Zorrilla Nª 253</t>
  </si>
  <si>
    <t>Azucena Estela Aguilar</t>
  </si>
  <si>
    <t>03874872615</t>
  </si>
  <si>
    <t xml:space="preserve">Carmen Garcia </t>
  </si>
  <si>
    <t>carmabelgarcia@gmail.com</t>
  </si>
  <si>
    <t>+5493754507373</t>
  </si>
  <si>
    <t>superior@isam.edu.ar</t>
  </si>
  <si>
    <t>Gabriel Boleas</t>
  </si>
  <si>
    <t>+5491137707534</t>
  </si>
  <si>
    <t>Fernando Noel Gutierrez Caballero</t>
  </si>
  <si>
    <t>+5493754442544</t>
  </si>
  <si>
    <t>Sofía Nassif</t>
  </si>
  <si>
    <t xml:space="preserve">Plaza huincul </t>
  </si>
  <si>
    <t>Av. Cutralco  N13</t>
  </si>
  <si>
    <t>299 4963185</t>
  </si>
  <si>
    <t xml:space="preserve">Urra Herminia </t>
  </si>
  <si>
    <t>01154203212</t>
  </si>
  <si>
    <t>01132140225</t>
  </si>
  <si>
    <t>San Antonio Oeste</t>
  </si>
  <si>
    <t>Cabral nº240</t>
  </si>
  <si>
    <t xml:space="preserve">Marta Nelida Busto </t>
  </si>
  <si>
    <t>Marta Nelida Busto</t>
  </si>
  <si>
    <t>Alberti 191</t>
  </si>
  <si>
    <t>Rosa Isabel Osorio Delgado</t>
  </si>
  <si>
    <t>4-9597103</t>
  </si>
  <si>
    <t>isaod1404@gmail.com</t>
  </si>
  <si>
    <t>Godoy Cruz 270</t>
  </si>
  <si>
    <t>02604421079</t>
  </si>
  <si>
    <t>02604320557</t>
  </si>
  <si>
    <t>Cristian Jesús Rodríguez</t>
  </si>
  <si>
    <t>Villa Regina</t>
  </si>
  <si>
    <t>Diego Flores</t>
  </si>
  <si>
    <t>Ana Carolina Merlo</t>
  </si>
  <si>
    <t>anacaromerlo@yahoo.com.ar</t>
  </si>
  <si>
    <t>Avenida San Martín 5481</t>
  </si>
  <si>
    <t>magalymmarquez@gmail.com</t>
  </si>
  <si>
    <t>Verónica Nancy Vilte</t>
  </si>
  <si>
    <t>veronicavilte82@gmail.com</t>
  </si>
  <si>
    <t>Morón 265 Ciudad</t>
  </si>
  <si>
    <t>instisanidadmza@gmail.com</t>
  </si>
  <si>
    <t>Pablo Enzo Chinellato</t>
  </si>
  <si>
    <t>chinellatopenzo@gmail.com</t>
  </si>
  <si>
    <t>Colonia Junin</t>
  </si>
  <si>
    <t>Defensa Civil y 25 de Mayo</t>
  </si>
  <si>
    <t>secretariaisf@facultar.org.ar</t>
  </si>
  <si>
    <t>03517861490</t>
  </si>
  <si>
    <t>Yanina Verónica Ferreyra</t>
  </si>
  <si>
    <t>11 6369-9697</t>
  </si>
  <si>
    <t>Villa Tulumaya</t>
  </si>
  <si>
    <t>Emilio Civit 96 Villa Tulumaya</t>
  </si>
  <si>
    <t xml:space="preserve"> Centro Universitario, calle Alem y Dorrego</t>
  </si>
  <si>
    <t>HospitaL Enfermeros Argentinos calle Mitre 5620</t>
  </si>
  <si>
    <t xml:space="preserve">Campus Educativo Municipal II Rosario Vera Peñaloza esq. Fray L. Beltrán290 </t>
  </si>
  <si>
    <t>SALGUERO 92</t>
  </si>
  <si>
    <t>Gabriela Quiroga</t>
  </si>
  <si>
    <t>01168326747</t>
  </si>
  <si>
    <t>Antonia Machado 628</t>
  </si>
  <si>
    <t>4982-1115</t>
  </si>
  <si>
    <t>Morón Liliana Lourdes</t>
  </si>
  <si>
    <t>01140482273</t>
  </si>
  <si>
    <t>Liliana Moron</t>
  </si>
  <si>
    <t>1175086730 / 1125032111</t>
  </si>
  <si>
    <t>educa.saavedra@cruzroja.org.ar</t>
  </si>
  <si>
    <t>Flavia Krauth Antinori</t>
  </si>
  <si>
    <t>11 5260-3912</t>
  </si>
  <si>
    <t>08103336337</t>
  </si>
  <si>
    <t>Instituto Privado de Educación Superior N° 472 "Instituto Misionero de Estudios Superiores (IMES)</t>
  </si>
  <si>
    <t>Av Santa Catalina Nº1778, 4to piso</t>
  </si>
  <si>
    <t>Dario Walter Barrientos</t>
  </si>
  <si>
    <t>barrientosdw@gmail.com</t>
  </si>
  <si>
    <t>Remedios Escalada de San Martín Nº5</t>
  </si>
  <si>
    <t>03444-424313</t>
  </si>
  <si>
    <t>educa.gualeguay@cruzroja.org.ar</t>
  </si>
  <si>
    <t>Costa Florencia Ramona</t>
  </si>
  <si>
    <t>03444-15458768</t>
  </si>
  <si>
    <t>Andres Pazos 301</t>
  </si>
  <si>
    <t>343-4210100</t>
  </si>
  <si>
    <t>Martín José María Nani</t>
  </si>
  <si>
    <t>Sergio Fabian Gallinger</t>
  </si>
  <si>
    <t>rjml44@yahoo.com.ar</t>
  </si>
  <si>
    <t>Dante Abelardo, Paz</t>
  </si>
  <si>
    <t>Sarmiento 32</t>
  </si>
  <si>
    <t>0336-4439222</t>
  </si>
  <si>
    <t>CARLOS SIBERT</t>
  </si>
  <si>
    <t>0336-154587008</t>
  </si>
  <si>
    <t>MONICA DEHEZA</t>
  </si>
  <si>
    <t>0336-154518306</t>
  </si>
  <si>
    <t>monicadeheza@hotmail.com</t>
  </si>
  <si>
    <t>Pasaje las Delicias 1112</t>
  </si>
  <si>
    <t>equipodirectivo.a-brown@cruzroja.org.ar</t>
  </si>
  <si>
    <t xml:space="preserve">FABIANA KARINA CIANI </t>
  </si>
  <si>
    <t>Patricia Gennaro</t>
  </si>
  <si>
    <t>samjduos4@gmail.com</t>
  </si>
  <si>
    <t>Lujan</t>
  </si>
  <si>
    <t>Mercedes Clara Acosta</t>
  </si>
  <si>
    <t>macosta@cruzroja.org.ar</t>
  </si>
  <si>
    <t>Mercedes Clara acosta</t>
  </si>
  <si>
    <t>Montiel 75 piso 1°</t>
  </si>
  <si>
    <t>Marisa Liliana Borda Soto</t>
  </si>
  <si>
    <t>01166079393</t>
  </si>
  <si>
    <t>marisabordasoto@gmail.com</t>
  </si>
  <si>
    <t>Gina Agramonte</t>
  </si>
  <si>
    <t>01134224993</t>
  </si>
  <si>
    <t xml:space="preserve">03464-421103 </t>
  </si>
  <si>
    <t>educa.casilda@cruzroja.org.ar</t>
  </si>
  <si>
    <t xml:space="preserve">Marcela Alejandra Zallocco </t>
  </si>
  <si>
    <t xml:space="preserve">03464-442214 </t>
  </si>
  <si>
    <t xml:space="preserve">María Teresita Ispani </t>
  </si>
  <si>
    <t>03464 680652</t>
  </si>
  <si>
    <t>tereispani@hotmail.com</t>
  </si>
  <si>
    <t xml:space="preserve">Capital </t>
  </si>
  <si>
    <t xml:space="preserve">Santiago del Estero </t>
  </si>
  <si>
    <t>Moreno (sur) 746</t>
  </si>
  <si>
    <t xml:space="preserve">Gabriel Esteban Coronel </t>
  </si>
  <si>
    <t>+54 9 385 305-9661</t>
  </si>
  <si>
    <t>gabrielestebancoronel0104@gmail.com</t>
  </si>
  <si>
    <t xml:space="preserve">Rita Beatriz Chávez </t>
  </si>
  <si>
    <t>Jorge Adrian Possio</t>
  </si>
  <si>
    <t>Pedro Díaz Colodrero 3050</t>
  </si>
  <si>
    <t>03425063982</t>
  </si>
  <si>
    <t>mpallotta@jerarquicos.com</t>
  </si>
  <si>
    <t>Mariana Pallotta</t>
  </si>
  <si>
    <t>03424504880</t>
  </si>
  <si>
    <t>Débora Sosa</t>
  </si>
  <si>
    <t>dsosa@jeraruqicos.com</t>
  </si>
  <si>
    <t>Fernando José Chiappetta</t>
  </si>
  <si>
    <t>11-5961-8205</t>
  </si>
  <si>
    <t>Juan Pablo De Martino</t>
  </si>
  <si>
    <t>11-6526-3056</t>
  </si>
  <si>
    <t>jpdemartino@terciariofatimasoldati.edu.ar</t>
  </si>
  <si>
    <t>0112443105</t>
  </si>
  <si>
    <t>JORGE OMAR FURNO</t>
  </si>
  <si>
    <t>01157602891</t>
  </si>
  <si>
    <t>ESTHER CARMEN BAZOALTO</t>
  </si>
  <si>
    <t>011541942911</t>
  </si>
  <si>
    <t>Entre Rios Nº238</t>
  </si>
  <si>
    <t>03454213349</t>
  </si>
  <si>
    <t>cruzroja80.gp.cd@entrerios.edu.ar</t>
  </si>
  <si>
    <t>raquelmariarodri@gmail.com</t>
  </si>
  <si>
    <t>03454184052</t>
  </si>
  <si>
    <t>Castelli 1534</t>
  </si>
  <si>
    <t>03496 424668 / 03496 15548451</t>
  </si>
  <si>
    <t>Gabriel González</t>
  </si>
  <si>
    <t>0342 154868783</t>
  </si>
  <si>
    <t>03496 15524142</t>
  </si>
  <si>
    <t>Hipolito Yrigoyen 2856</t>
  </si>
  <si>
    <t>342 - 4566787</t>
  </si>
  <si>
    <t>cetedsantafe@gmail.com</t>
  </si>
  <si>
    <t>Dante S. Buri</t>
  </si>
  <si>
    <t>Lilián Elisabet Gomez</t>
  </si>
  <si>
    <t>Yerbal 1885</t>
  </si>
  <si>
    <t>Nestor Obdulio Gabriel Muriel</t>
  </si>
  <si>
    <t>nestor.muriel@bue.edu.ar</t>
  </si>
  <si>
    <t>Enrique Luciano</t>
  </si>
  <si>
    <t>Crisologo Larralde 939</t>
  </si>
  <si>
    <t>011-3754-7350</t>
  </si>
  <si>
    <t>mcborche@cruzroja.org.ar</t>
  </si>
  <si>
    <t>Gustavo Valenzuela</t>
  </si>
  <si>
    <t>gvalenzuela@cruzroja.org.ar</t>
  </si>
  <si>
    <t>mabelnoemicipriani77@gmail.com</t>
  </si>
  <si>
    <t>CIPRIANI MABEL NOEMI</t>
  </si>
  <si>
    <t>02234390547</t>
  </si>
  <si>
    <t>SORAGNI PATRICIA</t>
  </si>
  <si>
    <t>(03476) 498 282</t>
  </si>
  <si>
    <t>Anabel Albelo</t>
  </si>
  <si>
    <t>3476 35-8198</t>
  </si>
  <si>
    <t>Suipacha 888</t>
  </si>
  <si>
    <t>341 5 646099</t>
  </si>
  <si>
    <t>341 2 107249</t>
  </si>
  <si>
    <t xml:space="preserve">San Cristóbal </t>
  </si>
  <si>
    <t>Maipu 894</t>
  </si>
  <si>
    <t>03408420392</t>
  </si>
  <si>
    <t xml:space="preserve">Santiago Gabriel Berti </t>
  </si>
  <si>
    <t>0340815680068</t>
  </si>
  <si>
    <t>Independencia 553 1º piso</t>
  </si>
  <si>
    <t>rectoria@institutosanexpedito.edu.ar</t>
  </si>
  <si>
    <t>Luciana Verónica Coca Molina</t>
  </si>
  <si>
    <t>lucocamolina@gmail.com</t>
  </si>
  <si>
    <t>Andrea Abigail Betanzos</t>
  </si>
  <si>
    <t>abigailbetanzos09@gmail.com</t>
  </si>
  <si>
    <t>03514241542</t>
  </si>
  <si>
    <t>secretaria@cruzdelsacrificio.com.ar</t>
  </si>
  <si>
    <t>Prof. Mgter Reynoso Miguel</t>
  </si>
  <si>
    <t>profreynoso@yahoo.com.ar</t>
  </si>
  <si>
    <t>Lic. Ivana Canepuccia</t>
  </si>
  <si>
    <t>351-2365570</t>
  </si>
  <si>
    <t>coordinacionenf123@gmail.com</t>
  </si>
  <si>
    <t>LUZURIAGA 308</t>
  </si>
  <si>
    <t xml:space="preserve">HECTOR OSVALDO SAINZ </t>
  </si>
  <si>
    <t>SILVIA MARCELA LAVALLE</t>
  </si>
  <si>
    <t>0353-4533708</t>
  </si>
  <si>
    <t>secsuperior@idelr.edu.ar</t>
  </si>
  <si>
    <t>Andrea De los Milagros Bruschini</t>
  </si>
  <si>
    <t>0353-154148613</t>
  </si>
  <si>
    <t>Gabriela Fornero</t>
  </si>
  <si>
    <t>0353-154018196</t>
  </si>
  <si>
    <t>Presbítero José T.Luque 121</t>
  </si>
  <si>
    <t>3533- 402945</t>
  </si>
  <si>
    <t>Sanmartino,Silvana Guadalupe</t>
  </si>
  <si>
    <t>3533-689245</t>
  </si>
  <si>
    <t>silvana_sanmartino@hotmail.com.ar</t>
  </si>
  <si>
    <t>(11)2141-2536</t>
  </si>
  <si>
    <t>crlanus@uolsinectis.com.ar</t>
  </si>
  <si>
    <t>Graciela Mabel De Cillis</t>
  </si>
  <si>
    <t>11 6043-7848</t>
  </si>
  <si>
    <t>Cinthya Elizabeth Cordoba</t>
  </si>
  <si>
    <t>15-6171-0167</t>
  </si>
  <si>
    <t>cordobacinthya4@gmail.com</t>
  </si>
  <si>
    <t>341 4261428</t>
  </si>
  <si>
    <t>dgallo@cruzroja.org.ar</t>
  </si>
  <si>
    <t>Héctor Daniel Gallo</t>
  </si>
  <si>
    <t>Diag 77 N°875 e/ 10 y 42</t>
  </si>
  <si>
    <t>Nancy Adriana Facciuto</t>
  </si>
  <si>
    <t>Antonio Ismael Perafan</t>
  </si>
  <si>
    <t>221-5526140</t>
  </si>
  <si>
    <t>bienestarestudiantil@iuce.edu.ar</t>
  </si>
  <si>
    <t>0299-4428405</t>
  </si>
  <si>
    <t>fpena@iuce.edu.ar</t>
  </si>
  <si>
    <t>Instituto Superior Particular Incorporado 9195 Cruz Roja Argentina</t>
  </si>
  <si>
    <t>Cruz Roja Argentina 1963</t>
  </si>
  <si>
    <t>0342 4525224</t>
  </si>
  <si>
    <t>342 4868783</t>
  </si>
  <si>
    <t>Ernesto Sábato N° 3670</t>
  </si>
  <si>
    <t>011 4757-2625</t>
  </si>
  <si>
    <t>Mora Alicia Nélida</t>
  </si>
  <si>
    <t>Sergio Abel Barrionuevo</t>
  </si>
  <si>
    <t>sbarrionuevo@cruzroja.org.ar</t>
  </si>
  <si>
    <t>11-6873-1458</t>
  </si>
  <si>
    <t>Prof. Lic. Carlos Carnascari</t>
  </si>
  <si>
    <t>11-5136-9290</t>
  </si>
  <si>
    <t>ccarnascari@cruzroja.org.ar</t>
  </si>
  <si>
    <t>11-6731-8708</t>
  </si>
  <si>
    <t>bamachsam@gmail.com</t>
  </si>
  <si>
    <t>Ivana Lozano</t>
  </si>
  <si>
    <t>Coronel Ramon L. Falcon 4080</t>
  </si>
  <si>
    <t xml:space="preserve">VENUTI María del Carmen </t>
  </si>
  <si>
    <t>venutimariadelcarmen@gmail.com</t>
  </si>
  <si>
    <t xml:space="preserve">Papaseit Mariela </t>
  </si>
  <si>
    <t>AVDA DEL CAÑADON ESTE Y AVDA DEL MAESTRO</t>
  </si>
  <si>
    <t>Florencia A. Peña</t>
  </si>
  <si>
    <t>Cristina Gloria García</t>
  </si>
  <si>
    <t>crisgloga@gmail.com</t>
  </si>
  <si>
    <t xml:space="preserve">Daniel Eduardo Pedraza </t>
  </si>
  <si>
    <t>danieleduardopedraza17@gmail.com</t>
  </si>
  <si>
    <t>S. Bolivar N° 1219</t>
  </si>
  <si>
    <t>Mirtha Dichtiar</t>
  </si>
  <si>
    <t>mdichtiar@hotmail.com</t>
  </si>
  <si>
    <t>03482466663</t>
  </si>
  <si>
    <t>Silvana Mariela Leiva</t>
  </si>
  <si>
    <t>Hugo Ariel Insaurralde</t>
  </si>
  <si>
    <t xml:space="preserve">3 de febrero 1275 </t>
  </si>
  <si>
    <t>011 47445959</t>
  </si>
  <si>
    <t>celia fabiana pereyra</t>
  </si>
  <si>
    <t>01124503909</t>
  </si>
  <si>
    <t>dafer932@hotmail.com</t>
  </si>
  <si>
    <t>paola natalia gervan</t>
  </si>
  <si>
    <t>pgerva@cruzroja.org.ar</t>
  </si>
  <si>
    <t>Junín 1063</t>
  </si>
  <si>
    <t>011-5236-4136</t>
  </si>
  <si>
    <t>secretaria@iseaz.edu.ar</t>
  </si>
  <si>
    <t xml:space="preserve">María de los Ángeles Culquicondor </t>
  </si>
  <si>
    <t>María de los Ángeles Culquicondor</t>
  </si>
  <si>
    <t>500180400</t>
  </si>
  <si>
    <t>Ucacha</t>
  </si>
  <si>
    <t>La Rioja 166</t>
  </si>
  <si>
    <t>0353 4893809</t>
  </si>
  <si>
    <t>direccioncastagnino@gmail.com</t>
  </si>
  <si>
    <t xml:space="preserve">GUEPART Franco Luis </t>
  </si>
  <si>
    <t>0353 154240539</t>
  </si>
  <si>
    <t>franco.guepart@gmail.com</t>
  </si>
  <si>
    <t xml:space="preserve">Guepart Franco Luis </t>
  </si>
  <si>
    <t>Santa fe</t>
  </si>
  <si>
    <t>Av 12 de octubre 9300</t>
  </si>
  <si>
    <t>institutosuperior67@gmail.com</t>
  </si>
  <si>
    <t>Esquivel maria laura</t>
  </si>
  <si>
    <t>mle.direccion67@gmail.com</t>
  </si>
  <si>
    <t xml:space="preserve">Maria Rosa Berro </t>
  </si>
  <si>
    <t>berro638@yahoo.com.ar</t>
  </si>
  <si>
    <t>Lopez de la Vega S/n</t>
  </si>
  <si>
    <t>isti@catamarca.edu.ar</t>
  </si>
  <si>
    <t xml:space="preserve">César Rubén Nieva </t>
  </si>
  <si>
    <t>crnieva@catamarca.edu.ar</t>
  </si>
  <si>
    <t>INSTITUTO TECNOLOGICO FORO DE LOS RIOS</t>
  </si>
  <si>
    <t>CORRIENTES S/N</t>
  </si>
  <si>
    <t>3546 463486</t>
  </si>
  <si>
    <t>itecvgb@gmail.com</t>
  </si>
  <si>
    <t>CRISTINA ADRIANA VASEK</t>
  </si>
  <si>
    <t>FEDERICO EZEQUIEL GONZALEZ OVIEDO</t>
  </si>
  <si>
    <t>federicogonzalezoviedo@itecvgb.com.ar</t>
  </si>
  <si>
    <t>3407-489152</t>
  </si>
  <si>
    <t>3407-408009</t>
  </si>
  <si>
    <t>3364-645655</t>
  </si>
  <si>
    <t>claudiaferre@hotmail.com</t>
  </si>
  <si>
    <t>DIONISIO HERRERO 303</t>
  </si>
  <si>
    <t>infomecatronicamaipu@gmail.com</t>
  </si>
  <si>
    <t>MARÍA VIRGINIA HERNÁNDEZ</t>
  </si>
  <si>
    <t>hernandezmariavirginia@yahoo.com.ar</t>
  </si>
  <si>
    <t>MARÍA EVANGELINA FERNÁNDEZ</t>
  </si>
  <si>
    <t>mariaevanfer@gmail.com</t>
  </si>
  <si>
    <t>Alvear 1491</t>
  </si>
  <si>
    <t>1801467-00@mec.gob.ar</t>
  </si>
  <si>
    <t>Ivonne Acosta</t>
  </si>
  <si>
    <t>ivonneacosta1@gmail.com</t>
  </si>
  <si>
    <t xml:space="preserve">Raul Alberto Galarza </t>
  </si>
  <si>
    <t>raulalbertogalarza16@gmail.com</t>
  </si>
  <si>
    <t>San Martín N°97</t>
  </si>
  <si>
    <t>02281-420976</t>
  </si>
  <si>
    <t>isntituto91tapalque@abc.gob.ar</t>
  </si>
  <si>
    <t>Analía Belén Plumez</t>
  </si>
  <si>
    <t>anaplumez@abc.gob.ar</t>
  </si>
  <si>
    <t>sin cubrir</t>
  </si>
  <si>
    <t>..</t>
  </si>
  <si>
    <t>anaplumez@gmail.com</t>
  </si>
  <si>
    <t>De la Loma 961 Barrio Casas del Sur</t>
  </si>
  <si>
    <t>rectoria@cent11.edu.ar</t>
  </si>
  <si>
    <t>Dante Mario Pelegrino</t>
  </si>
  <si>
    <t>Elsa Beatriz González</t>
  </si>
  <si>
    <t>coordinaciontse@cent11.edu.ar</t>
  </si>
  <si>
    <t xml:space="preserve">Córdoba </t>
  </si>
  <si>
    <t>Av. Manuel Cardeñosa 2915</t>
  </si>
  <si>
    <t>enfermeria.cardenosa@itscordoba.edu.ar</t>
  </si>
  <si>
    <t>María Eugenia Rodriguez</t>
  </si>
  <si>
    <t>351 5400730</t>
  </si>
  <si>
    <t>direccion@itscordoba.edu.ar</t>
  </si>
  <si>
    <t>Agustín Zamar</t>
  </si>
  <si>
    <t>351 6571416</t>
  </si>
  <si>
    <t>zamaragustin@gmail.com</t>
  </si>
  <si>
    <t xml:space="preserve">Villa Dolores </t>
  </si>
  <si>
    <t>Av. San Martin 50</t>
  </si>
  <si>
    <t>3544-631390</t>
  </si>
  <si>
    <t>celiacristinamoreno2034@gmail.com</t>
  </si>
  <si>
    <t xml:space="preserve">Celia Cristina Moreno </t>
  </si>
  <si>
    <t>Recreo</t>
  </si>
  <si>
    <t>Raul Sabag 31</t>
  </si>
  <si>
    <t>iesrecrreo@catamarca.edu.ar</t>
  </si>
  <si>
    <t xml:space="preserve">Walther Omar Soria </t>
  </si>
  <si>
    <t>iesrecreo@catamarca.edu.ar</t>
  </si>
  <si>
    <t>Mirtha Saet</t>
  </si>
  <si>
    <t>iesrecreo@catamarca.eedu.ar</t>
  </si>
  <si>
    <t>Ambrosetti 601</t>
  </si>
  <si>
    <t>silvanak.moreira@bue.edu.ar</t>
  </si>
  <si>
    <t>Silvana Karina Moreira</t>
  </si>
  <si>
    <t>Pola 4215 2° piso</t>
  </si>
  <si>
    <t xml:space="preserve">Eldorado </t>
  </si>
  <si>
    <t>Av. San Martin 1704 km 9</t>
  </si>
  <si>
    <t>info@ishm.edu.ar</t>
  </si>
  <si>
    <t xml:space="preserve">Alfredo Otto </t>
  </si>
  <si>
    <t>rectoria@ishm.edu.ar</t>
  </si>
  <si>
    <t>Laura Furlan</t>
  </si>
  <si>
    <t>furlanlaura@hotmail.com</t>
  </si>
  <si>
    <t>Gobernador Crespo</t>
  </si>
  <si>
    <t>Combate de San Lorenzo 153</t>
  </si>
  <si>
    <t>cemb@mutualbelgrano.com.ar</t>
  </si>
  <si>
    <t>Eduardo Prieto</t>
  </si>
  <si>
    <t>eaprieto24@gmail.com</t>
  </si>
  <si>
    <t>Guadalupe Illescas</t>
  </si>
  <si>
    <t>illescamariaguadalupe@gmail.com</t>
  </si>
  <si>
    <t>rodhe 55</t>
  </si>
  <si>
    <t>institutoissag@gmail.com</t>
  </si>
  <si>
    <t xml:space="preserve">Flores Diego Rubén </t>
  </si>
  <si>
    <t xml:space="preserve">silva nelson </t>
  </si>
  <si>
    <t>issagenfermeriac@gmail.com</t>
  </si>
  <si>
    <t>Humberto Primo 2260</t>
  </si>
  <si>
    <t>secretaria.iu@fundacionuocra.org</t>
  </si>
  <si>
    <t>Marina Gerolimetti</t>
  </si>
  <si>
    <t>mgerolimetti@fundacionuocra.org</t>
  </si>
  <si>
    <t>Cristian Gonzalez Opelt</t>
  </si>
  <si>
    <t>copelt@fundacionuocra.org</t>
  </si>
  <si>
    <t>Av. Corrientes 3934</t>
  </si>
  <si>
    <t>lcozza@emae.edu.ar</t>
  </si>
  <si>
    <t>Dra. Lidia Cozza</t>
  </si>
  <si>
    <t xml:space="preserve">Fabian Castro </t>
  </si>
  <si>
    <t>mcastro@emae.edu.ar</t>
  </si>
  <si>
    <t>Pasaje Gutierrez 843</t>
  </si>
  <si>
    <t>institutoissagbariloche@gmail.com</t>
  </si>
  <si>
    <t>298-4336468</t>
  </si>
  <si>
    <t>Nelson Silva</t>
  </si>
  <si>
    <t>298-4883429</t>
  </si>
  <si>
    <t>Moreno 3363</t>
  </si>
  <si>
    <t>ediaz@cruzroja.org.ar</t>
  </si>
  <si>
    <t>Eduardo Gabriel Diaz</t>
  </si>
  <si>
    <t>Narciso Peres</t>
  </si>
  <si>
    <t>nperes@cruzroja.org.ar</t>
  </si>
  <si>
    <t>PASAJE TRES SARGENTOS ESQUINA SUECIA</t>
  </si>
  <si>
    <t>03884222936</t>
  </si>
  <si>
    <t>isupmyriamgloss@gmail.com</t>
  </si>
  <si>
    <t xml:space="preserve">CLAUDIA VIVIANA DEL ROSARIO LOPEZ </t>
  </si>
  <si>
    <t>vivijuy21@hotmail.com</t>
  </si>
  <si>
    <t>Juan Bautista Alberdi 435</t>
  </si>
  <si>
    <t>raulalejandrovelazquez1977@hotmail.com</t>
  </si>
  <si>
    <t>Claudia Viviana del Rosario Lopez</t>
  </si>
  <si>
    <t>Raul Alejandro Velasquez</t>
  </si>
  <si>
    <t xml:space="preserve">Instituto Escuela de Enfermería N° 4887 Cruz Roja Argentina - Filial Lanús - </t>
  </si>
  <si>
    <t>Instituto Privado Nº 172 Instituto de Docencia, Investigación y Capacitación Laboral de la Sanidad</t>
  </si>
  <si>
    <t>Instituto de Educación Superior Nº6021</t>
  </si>
  <si>
    <t>Boulevard España 1098</t>
  </si>
  <si>
    <t>0353 461-9141</t>
  </si>
  <si>
    <t>inescergestion1098@gmail.com</t>
  </si>
  <si>
    <t>Mónica Perez Andrada</t>
  </si>
  <si>
    <t>353-4276386</t>
  </si>
  <si>
    <t>Fabiana González</t>
  </si>
  <si>
    <t>353-4180110</t>
  </si>
  <si>
    <t>inescersalud@gmail.com</t>
  </si>
  <si>
    <t>Olsacher 99</t>
  </si>
  <si>
    <t>3541 431501</t>
  </si>
  <si>
    <t>ee0330357@me.cba.gov.ar</t>
  </si>
  <si>
    <t>Maximiliano Jesús Ibáñez</t>
  </si>
  <si>
    <t>direccion@isaui.edu.ar</t>
  </si>
  <si>
    <t>Lionel Bravo</t>
  </si>
  <si>
    <t>coordinador@isaui.edu.ar</t>
  </si>
  <si>
    <t xml:space="preserve">La Cieneguita </t>
  </si>
  <si>
    <t>Almirante Brown 2600</t>
  </si>
  <si>
    <t>ies9.026lasheras@gmail.com</t>
  </si>
  <si>
    <t xml:space="preserve">Lorena Saponara </t>
  </si>
  <si>
    <t>lorenasaponara@gmail.com</t>
  </si>
  <si>
    <t xml:space="preserve">Paula Bustos </t>
  </si>
  <si>
    <t>coordinacionenfermeria9026@gmail.com</t>
  </si>
  <si>
    <t>Hipólito Yrigoyen y San Luis</t>
  </si>
  <si>
    <t>isfd6015@gmail.com</t>
  </si>
  <si>
    <t>Mariela Isabel Paredes</t>
  </si>
  <si>
    <t>mariefono@gmail.com</t>
  </si>
  <si>
    <t xml:space="preserve">Instituto Superior de Formación Técnica (I.S.F.T.) Nº 188 
</t>
  </si>
  <si>
    <t>Pueyrredón 781</t>
  </si>
  <si>
    <t>isft188grodriguez@abc.gob.ar</t>
  </si>
  <si>
    <t>María Esther Sala</t>
  </si>
  <si>
    <t>11-69583484</t>
  </si>
  <si>
    <t>msala12@abc.gob.ar</t>
  </si>
  <si>
    <t>Nancy Carolina Castelli</t>
  </si>
  <si>
    <t>11-58911641</t>
  </si>
  <si>
    <t>nacastelli@abc.gob.ar</t>
  </si>
  <si>
    <t xml:space="preserve">Instituto de Educación Superior (I.E.S.) N° 9015
</t>
  </si>
  <si>
    <t>San Martin (N) Nº 418</t>
  </si>
  <si>
    <t>secretaria@iesvu.edu.ar</t>
  </si>
  <si>
    <t>Daniel Antonio GALLARDO</t>
  </si>
  <si>
    <t>rectoria@iesvu.edu.ar</t>
  </si>
  <si>
    <t>Sandra Moreno</t>
  </si>
  <si>
    <t>sandra_moreno@iesvu.edu.ar</t>
  </si>
  <si>
    <t>Rodeo de la Cruz</t>
  </si>
  <si>
    <t>Bandera de Los Andes y Bonfanti</t>
  </si>
  <si>
    <t>Cristina Carbajal</t>
  </si>
  <si>
    <t>cristina_carbajal@iesvu.edu.ar</t>
  </si>
  <si>
    <t>Mitre Nº 602</t>
  </si>
  <si>
    <t>Patricia BARBARÁN</t>
  </si>
  <si>
    <t>patricia_barbaran@iesvu.edu.ar</t>
  </si>
  <si>
    <t>Comandante Salas Nº 859 y Alsina</t>
  </si>
  <si>
    <t>Margarita TOLEDO</t>
  </si>
  <si>
    <t>margarita_toledo@iesvu.edu.ar</t>
  </si>
  <si>
    <t>Juan B Justo y Alem</t>
  </si>
  <si>
    <t>Antonella MUGNECO GUERRERO</t>
  </si>
  <si>
    <t>antonella_mugneco@iesvu.edu.ar</t>
  </si>
  <si>
    <t>Roca Oeste S/N</t>
  </si>
  <si>
    <t>////</t>
  </si>
  <si>
    <t>///</t>
  </si>
  <si>
    <t>Ameghino S/N (Ex Estación del Ferrocarril)</t>
  </si>
  <si>
    <t>Oscar FARIAS</t>
  </si>
  <si>
    <t>oscar_farias@iesvu.edu.ar</t>
  </si>
  <si>
    <t>Besares Nº 294</t>
  </si>
  <si>
    <t>Adriana VILLEGAS</t>
  </si>
  <si>
    <t>maria_villegas@iesvu.edu.ar</t>
  </si>
  <si>
    <t>Ruta Provincial Nº 50 - km 983 - Los Lotes</t>
  </si>
  <si>
    <t>Carmen ROSAS</t>
  </si>
  <si>
    <t>carmen_rosas@iesvu.edu.ar</t>
  </si>
  <si>
    <t>Zapiola 215 P/A</t>
  </si>
  <si>
    <t>2352 51222</t>
  </si>
  <si>
    <t>isft132@abc.gob.ar</t>
  </si>
  <si>
    <t>Ramírez, Luis</t>
  </si>
  <si>
    <t>11 28052917</t>
  </si>
  <si>
    <t>luramirez9@abc.gob.ar</t>
  </si>
  <si>
    <t>Pugliese, Paola</t>
  </si>
  <si>
    <t>ppugliese2@abc.gob.ar</t>
  </si>
  <si>
    <t>Mosconi 661</t>
  </si>
  <si>
    <t>secretaria.cent35@gmail.com</t>
  </si>
  <si>
    <t>Eduardo Walter Whiteman</t>
  </si>
  <si>
    <t>edu.whiteman@gmail.com</t>
  </si>
  <si>
    <t>Daniel Esteban Rosso</t>
  </si>
  <si>
    <t>estebanrosso@hotmail.com</t>
  </si>
  <si>
    <t xml:space="preserve">Instituto de Educación Superior (I.E.S.) N° 9-015 Unidad Académica Maipú  </t>
  </si>
  <si>
    <t>Sgto.Lorca y Cabo. Santillan - Barrio de Suboficiales Sargento Cabral</t>
  </si>
  <si>
    <t>01168974010</t>
  </si>
  <si>
    <t>isft182@abc.gob.ar</t>
  </si>
  <si>
    <t>Ayala Christian</t>
  </si>
  <si>
    <t>11 68974010</t>
  </si>
  <si>
    <t>chrayala@abc.gob.ar</t>
  </si>
  <si>
    <t>Yanina Tobares</t>
  </si>
  <si>
    <t>yaninatobares@abc.gob.ar</t>
  </si>
  <si>
    <t>Alvear 1151 B° Centro</t>
  </si>
  <si>
    <t>ies11educacion@gmail.com</t>
  </si>
  <si>
    <t>Silvia Roxana Adaro</t>
  </si>
  <si>
    <t>silvia_adaro@outlook.com.ar</t>
  </si>
  <si>
    <t>Haydee Baez</t>
  </si>
  <si>
    <t>baezirma96@gmail.com</t>
  </si>
  <si>
    <t>Sarmiento 325</t>
  </si>
  <si>
    <t>0343155361381</t>
  </si>
  <si>
    <t>ies.dm@entrerios.edu.ar</t>
  </si>
  <si>
    <t>Carolina Elizabeth Gorostegui</t>
  </si>
  <si>
    <t>0343 154 620654</t>
  </si>
  <si>
    <t>carolinaegorostegui@gmail.com</t>
  </si>
  <si>
    <t>Daniel Ortega</t>
  </si>
  <si>
    <t>0343155168533</t>
  </si>
  <si>
    <t>danielomarortega261969@gmail.com</t>
  </si>
  <si>
    <t>Famailla</t>
  </si>
  <si>
    <t>Pasaje padilla 600</t>
  </si>
  <si>
    <t>03863409112</t>
  </si>
  <si>
    <t>vvega927@gamil.com</t>
  </si>
  <si>
    <t xml:space="preserve">Triviño leticia </t>
  </si>
  <si>
    <t>letytri_1@hotmail.com</t>
  </si>
  <si>
    <t xml:space="preserve">Vega Karina </t>
  </si>
  <si>
    <t>vvega927@gmail.com</t>
  </si>
  <si>
    <t xml:space="preserve">12 de octubre y Mariano moreno </t>
  </si>
  <si>
    <t>0381 155641235</t>
  </si>
  <si>
    <t>noepaolaacosta1411@gmail.com</t>
  </si>
  <si>
    <t xml:space="preserve">Triviño Leticia </t>
  </si>
  <si>
    <t xml:space="preserve">Acosta Noelia Paola </t>
  </si>
  <si>
    <t xml:space="preserve">CONCEPCION </t>
  </si>
  <si>
    <t>Presidente Roca 371</t>
  </si>
  <si>
    <t>cent74concepcion@gmail.com</t>
  </si>
  <si>
    <t>Leticia Triviño</t>
  </si>
  <si>
    <t>+54 9 381 643-4012</t>
  </si>
  <si>
    <t>cent74tuc@hotmail.com</t>
  </si>
  <si>
    <t>Maria Jose Juarez</t>
  </si>
  <si>
    <t>mariajosejuarez2010@hotmail.com</t>
  </si>
  <si>
    <t>Santa Rosa de Leales</t>
  </si>
  <si>
    <t>Juan Luis Nougues 200</t>
  </si>
  <si>
    <t>cent74delegacionleales@gmail.com</t>
  </si>
  <si>
    <t>MARIA LETICIA TRIVIÑO</t>
  </si>
  <si>
    <t>Marcela del valle sanchez</t>
  </si>
  <si>
    <t>marcela-sanchez13@hotmail.com</t>
  </si>
  <si>
    <t xml:space="preserve">San Miguel de Tucumán </t>
  </si>
  <si>
    <t>Suipacha 553</t>
  </si>
  <si>
    <t>luhisromano_32@hotmail.com</t>
  </si>
  <si>
    <t xml:space="preserve">Dra Triviño Leticia </t>
  </si>
  <si>
    <t xml:space="preserve">Lic Romano Luis Alberto </t>
  </si>
  <si>
    <t>Boulevard Sarmiento 1056</t>
  </si>
  <si>
    <t>03435421212</t>
  </si>
  <si>
    <t>superior.normal4.ng@entrerios.edu.ar</t>
  </si>
  <si>
    <t>Riffel, Haydeé Edith</t>
  </si>
  <si>
    <t>haydeeedith30@yahoo.com.ar</t>
  </si>
  <si>
    <t>Diaz, Noelia Alejandra</t>
  </si>
  <si>
    <t>noe.d0408@gmail.com</t>
  </si>
  <si>
    <t xml:space="preserve">Villa de Trancas </t>
  </si>
  <si>
    <t>Av. Hipólito Yrigoyen 161</t>
  </si>
  <si>
    <t>cent.n74.anexo.trancas@gmail.com</t>
  </si>
  <si>
    <t xml:space="preserve">María Leticia Triviño </t>
  </si>
  <si>
    <t>letitri_1@hotmail.com</t>
  </si>
  <si>
    <t xml:space="preserve">Carlos José Condori </t>
  </si>
  <si>
    <t>josecondori_trancas@hotmail.com</t>
  </si>
  <si>
    <t>Belgrano S/N</t>
  </si>
  <si>
    <t>3865-697947</t>
  </si>
  <si>
    <t>simocacent@gmsil.com</t>
  </si>
  <si>
    <t>Dra Triviño Leticia</t>
  </si>
  <si>
    <t>381-6434012</t>
  </si>
  <si>
    <t>Lic. Romano Luis Alberto</t>
  </si>
  <si>
    <t>381-3023583</t>
  </si>
  <si>
    <t>luisromano@hotmail.com</t>
  </si>
  <si>
    <t xml:space="preserve">Prebistero Fausto Figueroa sin número </t>
  </si>
  <si>
    <t>atsalaramada@gmail.com</t>
  </si>
  <si>
    <t xml:space="preserve">Leticia Triviño </t>
  </si>
  <si>
    <t>cent74@gmail.com</t>
  </si>
  <si>
    <t xml:space="preserve">Luis Alberto Romano </t>
  </si>
  <si>
    <t>Sobre ruta 307</t>
  </si>
  <si>
    <t>moniquinteros@hotmail.com</t>
  </si>
  <si>
    <t xml:space="preserve">Romano Luis </t>
  </si>
  <si>
    <t>avenida 25 de mayo n 1150</t>
  </si>
  <si>
    <t>2922 48-0635</t>
  </si>
  <si>
    <t>isfdytcpringles@abc.gob.ar</t>
  </si>
  <si>
    <t>Murgaitio Maria Daniela</t>
  </si>
  <si>
    <t>mmurgaitio@abc.gob.ar</t>
  </si>
  <si>
    <t>Luna Carlos Ceferino</t>
  </si>
  <si>
    <t>caluna7@abc.gob.ar</t>
  </si>
  <si>
    <t xml:space="preserve">Banda del Río Salí </t>
  </si>
  <si>
    <t xml:space="preserve">Camino del Carmen 1° cuadra </t>
  </si>
  <si>
    <t>03815111287</t>
  </si>
  <si>
    <t>urquiarafael@gmail.com</t>
  </si>
  <si>
    <t>03816434012</t>
  </si>
  <si>
    <t xml:space="preserve">Rafael Alberto Urquia </t>
  </si>
  <si>
    <t>Tafi viejo</t>
  </si>
  <si>
    <t>Presidente peron 344</t>
  </si>
  <si>
    <t xml:space="preserve">381 599-6365 </t>
  </si>
  <si>
    <t>patomendoza48@gmail.com</t>
  </si>
  <si>
    <t xml:space="preserve">Triviño  Leticia </t>
  </si>
  <si>
    <t xml:space="preserve"> 381 643-4012</t>
  </si>
  <si>
    <t>Triviño leticia</t>
  </si>
  <si>
    <t>Abra Pampa</t>
  </si>
  <si>
    <t>Av. Juan Domingo Perón S/N</t>
  </si>
  <si>
    <t>carrillosimon350@gmail.com</t>
  </si>
  <si>
    <t>Simoón Carrillo</t>
  </si>
  <si>
    <t>Natalia Silvina Abalos</t>
  </si>
  <si>
    <t>natisilabalos@gmail.com</t>
  </si>
  <si>
    <t>25 de mayo</t>
  </si>
  <si>
    <t>noepluciano@gmail.com</t>
  </si>
  <si>
    <t>Triviño Leticia</t>
  </si>
  <si>
    <t>Noelia Paola Luna</t>
  </si>
  <si>
    <t>Delfin gallo</t>
  </si>
  <si>
    <t xml:space="preserve">Calle principal wenceslao posse </t>
  </si>
  <si>
    <t>0381</t>
  </si>
  <si>
    <t>helenbalderrama@outlook.com</t>
  </si>
  <si>
    <t>Pereza Mariela</t>
  </si>
  <si>
    <t>Luis Alberto Romano</t>
  </si>
  <si>
    <t>Venezuela 356</t>
  </si>
  <si>
    <t>secretaria@iso.edu.ar</t>
  </si>
  <si>
    <t>Leandro Vecino Dri</t>
  </si>
  <si>
    <t>01153546641</t>
  </si>
  <si>
    <t>vecino.l@iso.edu.ar</t>
  </si>
  <si>
    <t>Florencia Rolli</t>
  </si>
  <si>
    <t>rolli.f@iso.edu.ar</t>
  </si>
  <si>
    <t xml:space="preserve">9 de JULIO ESQUINA TUCUMAN ROSARIO DE LA FRONTERA </t>
  </si>
  <si>
    <t xml:space="preserve">AZUCENA ESTELA AGUILAR </t>
  </si>
  <si>
    <t xml:space="preserve">MIRTA ORELLANA </t>
  </si>
  <si>
    <t>mirtaorellana12@hotmail.com</t>
  </si>
  <si>
    <t xml:space="preserve">SARMIENTO ENTRE SAN RAFAEL Y 1 DE MAYO </t>
  </si>
  <si>
    <t xml:space="preserve">FELIX RIOS </t>
  </si>
  <si>
    <t>hospitaldelamerced@gmail.com</t>
  </si>
  <si>
    <t>Av. Maipú 354</t>
  </si>
  <si>
    <t>institutosep@sep.org.ar</t>
  </si>
  <si>
    <t>Castello Fabian Rodolfo</t>
  </si>
  <si>
    <t>fabiancastello26@gmail.com</t>
  </si>
  <si>
    <t>Elda Acevedo</t>
  </si>
  <si>
    <t>eacevedo@sep.org.ar</t>
  </si>
  <si>
    <t>1 DE MAYO 843 JOAQUIN V. GONZALEZ</t>
  </si>
  <si>
    <t>AZUCENA ESTELA AGUILAR</t>
  </si>
  <si>
    <t xml:space="preserve"> NOEMI DEL VALLE PAZ</t>
  </si>
  <si>
    <t>mimipazjv@gmail.com</t>
  </si>
  <si>
    <t xml:space="preserve">Gral Guemes </t>
  </si>
  <si>
    <t>CORRIENTES 1224</t>
  </si>
  <si>
    <t>miritemer@hotmail.com</t>
  </si>
  <si>
    <t xml:space="preserve">MIRIAN TEMER </t>
  </si>
  <si>
    <t>BELGRANO 350</t>
  </si>
  <si>
    <t>GABIROMERO80@GMAIL.COM</t>
  </si>
  <si>
    <t>VICTORIA DEL VALLE ROMERO</t>
  </si>
  <si>
    <t>03878645379</t>
  </si>
  <si>
    <t>carrillosalta@gmail.com</t>
  </si>
  <si>
    <t>USANDIVARAS 4752</t>
  </si>
  <si>
    <t>FRANCO TAPIA BETANCUR</t>
  </si>
  <si>
    <t>CORONEL VITD 32</t>
  </si>
  <si>
    <t>MARIA DELICIA ALVAREZ</t>
  </si>
  <si>
    <t>mariadeliciaalvarez427@gmail.com</t>
  </si>
  <si>
    <t>MENDOZA n°1482</t>
  </si>
  <si>
    <t>03472-430389</t>
  </si>
  <si>
    <t>coordenfmarcosjuarez@sep.org.ar</t>
  </si>
  <si>
    <t xml:space="preserve">CASTELLO FABIAN </t>
  </si>
  <si>
    <t>INSTITUTOSEO8@GMAIL.COM</t>
  </si>
  <si>
    <t xml:space="preserve">DOMINGUEZ LAURA GRISELDA </t>
  </si>
  <si>
    <t>3472-625539</t>
  </si>
  <si>
    <t>lauradominguez135@hotmail.com</t>
  </si>
  <si>
    <t>Catamarca 1268</t>
  </si>
  <si>
    <t>coordenfvillamaria@sep.org.ar</t>
  </si>
  <si>
    <t>Castello Fabian</t>
  </si>
  <si>
    <t>03516430818</t>
  </si>
  <si>
    <t>Alvarez Franco Damian</t>
  </si>
  <si>
    <t>0353 5648046</t>
  </si>
  <si>
    <t>Cinco Saltos</t>
  </si>
  <si>
    <t>Rivadavia 461</t>
  </si>
  <si>
    <t>institutoissagcincosaltos@gmail.com</t>
  </si>
  <si>
    <t>Flores Diego</t>
  </si>
  <si>
    <t>Silva Nelson</t>
  </si>
  <si>
    <t>Monto</t>
  </si>
  <si>
    <t>Se tiene un internado las alumnas que viven en el mismo tienen un arancel diferencial que es de $ 27500</t>
  </si>
  <si>
    <t>Se informa que el 11% de toda la población estudiantil de este Instituto tiene beca completa y el 20% tiene beca parcial.</t>
  </si>
  <si>
    <t>Esta institución es cuota 0 (cero). No se cobra suma alguna por ningún concepto.</t>
  </si>
  <si>
    <t>El monto extracurricular se encuentra dentro del valor total de la cuota mensual</t>
  </si>
  <si>
    <t>La inscripción de 1ro y 2do fue de $59724 y de 3er año $29800. Además los alumnos becados pagan el 50% tanto de la matrícula como de las 10 cuotas.</t>
  </si>
  <si>
    <t>El valor de la cuota corresponde al mes de mayo</t>
  </si>
  <si>
    <t xml:space="preserve">La cuota final es de $53.000 siendo la cuota extracurricular parte integrante de la cuota mensual. </t>
  </si>
  <si>
    <t>El arancel autorizado para el mes de Mayo es de $30.641. Considerando la actual situación económica y el costo del transporte se decidió aplicar una bonificación de $2.000. Por lo que el arancel a pagar es de $28.641.</t>
  </si>
  <si>
    <t>La Municipalidad de Lomas de Zamora es propietarios de esta institución, motivo por el cual No se cobra arancel a los alumnos.</t>
  </si>
  <si>
    <t>Las cuotas Extracurriculares no son obligatorias   y el alumno que desea puede cursar esas materias que son Gestión Emocional, y Lengua de señas</t>
  </si>
  <si>
    <t>Aún no recibimos las mochilas del Pronafe 2023</t>
  </si>
  <si>
    <t xml:space="preserve">Seria de vital importancia la actualización de Becas (monto) debido a que muchos de nuestros alumnos necesitan de la beca para dar continuidad a sus estudios y desde Instituto IDICSA no se percibe ningún tipo de ayuda económica provincial o nacional. Esto hace que solo se pueda solventar la Institución con la cuota de los alumnos. </t>
  </si>
  <si>
    <t xml:space="preserve">Incluye seguro (incluye cortopunzantes), insumos para el gabinete de simulación y el hospital (elementos de bioseguridad), alojamiento y comida (en el caso de la residencia). </t>
  </si>
  <si>
    <t>El IMES no Cobra ningún tipo de Cuota</t>
  </si>
  <si>
    <t>Nuestra Institución es NO Subvencionado.</t>
  </si>
  <si>
    <t>Las cuotas fueron variando desde marzo hasta mayo</t>
  </si>
  <si>
    <t xml:space="preserve">El plan de cuotas comprende la matrícula en febrero y 10 cuotas de marzo a diciembre inclusive. </t>
  </si>
  <si>
    <t>Los estudiantes de 1° año abona 10 cuotas mensuales, los estudiantes de 2° y 3° año abonan 12 cuotas mensuales, pero NO abonan matricula anual</t>
  </si>
  <si>
    <t>instituto sin aportes estatales</t>
  </si>
  <si>
    <t>El Instituto depende de la Secretaría de Educación de la Municipalidad de General Pueyrredon y sus carreras son gratuitas</t>
  </si>
  <si>
    <t>AUH mayo</t>
  </si>
  <si>
    <t>Deán Funes</t>
  </si>
  <si>
    <t>Teniente Morandini 355</t>
  </si>
  <si>
    <t>03521 423205</t>
  </si>
  <si>
    <t>deanfunes@sep.org.ar</t>
  </si>
  <si>
    <t>Lic. Castello Fabian</t>
  </si>
  <si>
    <t>351 6430818</t>
  </si>
  <si>
    <t xml:space="preserve">Lic. Carignano Patricia </t>
  </si>
  <si>
    <t>3521 401507</t>
  </si>
  <si>
    <t>coordenfdeanfunes@sep.org.ar</t>
  </si>
  <si>
    <t>PARAGUAY 432</t>
  </si>
  <si>
    <t>dtolaba02@gmail.com</t>
  </si>
  <si>
    <t>LOPEZ VIVIANA CLAUDIA</t>
  </si>
  <si>
    <t>MARTINEZ GENARO MARCIAL</t>
  </si>
  <si>
    <t>enf.73genaro@gmail.com</t>
  </si>
  <si>
    <t>Cosquin</t>
  </si>
  <si>
    <t>Pedro Ortiz 571</t>
  </si>
  <si>
    <t>03541458120</t>
  </si>
  <si>
    <t>coordenfpunilla@sep.org.ar</t>
  </si>
  <si>
    <t>Fabian Castello</t>
  </si>
  <si>
    <t>Lic.  Myriam Mabel Calder</t>
  </si>
  <si>
    <t>Córdoba 1050</t>
  </si>
  <si>
    <t>3525 685920</t>
  </si>
  <si>
    <t>coordenfjesusmaria@sep.org.ar</t>
  </si>
  <si>
    <t>FABIAN CASTELLO</t>
  </si>
  <si>
    <t xml:space="preserve">LAURA ALMADA </t>
  </si>
  <si>
    <t xml:space="preserve">Monteros </t>
  </si>
  <si>
    <t>San Martin 145</t>
  </si>
  <si>
    <t>julioguillermo664@gmail.com</t>
  </si>
  <si>
    <t>Leticia triviño</t>
  </si>
  <si>
    <t xml:space="preserve">Luis romano </t>
  </si>
  <si>
    <t>31 entre 30 y 28</t>
  </si>
  <si>
    <t>02221480589</t>
  </si>
  <si>
    <t>karylanda@hotmail.com</t>
  </si>
  <si>
    <t xml:space="preserve">LANDA KARINA </t>
  </si>
  <si>
    <t>guillermo suarez</t>
  </si>
  <si>
    <t>gsuarez8@abc.gob.ar</t>
  </si>
  <si>
    <t>SANGUINETTI 521 PILAR</t>
  </si>
  <si>
    <t>1123823290 /02304521931</t>
  </si>
  <si>
    <t>isft184@abc.gob.ar</t>
  </si>
  <si>
    <t>BARTOLACCI CLARISA - GAZAL PATRICIA</t>
  </si>
  <si>
    <t>1123823290 - 02304521931</t>
  </si>
  <si>
    <t>PINHEIRO, DANIEL</t>
  </si>
  <si>
    <t>pinheirodalu@hotmail.com</t>
  </si>
  <si>
    <t>Marquez 51</t>
  </si>
  <si>
    <t>isfdyt26dolores@abc.gob.ar</t>
  </si>
  <si>
    <t>Marcelo Laterrade</t>
  </si>
  <si>
    <t>laterrademarcelo@gmail.com</t>
  </si>
  <si>
    <t>Los ralos</t>
  </si>
  <si>
    <t>Av San Martin s/n</t>
  </si>
  <si>
    <t>atsalosralos@gmail.com</t>
  </si>
  <si>
    <t xml:space="preserve">EP Argañaraz Eduardo Luis </t>
  </si>
  <si>
    <t>eduardoarganaraz44@gmail.com</t>
  </si>
  <si>
    <t xml:space="preserve">Coronel Vidal </t>
  </si>
  <si>
    <t>Beltrami 185</t>
  </si>
  <si>
    <t>isfd63marchiquita@abc.gob.ar</t>
  </si>
  <si>
    <t xml:space="preserve">Leonardo Sebastián Sanabria </t>
  </si>
  <si>
    <t>lsanabria9@abc.gob.ar</t>
  </si>
  <si>
    <t>Jose Luis Baier</t>
  </si>
  <si>
    <t>isfdyt.n63@gmail.com</t>
  </si>
  <si>
    <t xml:space="preserve">Huillapima </t>
  </si>
  <si>
    <t xml:space="preserve">Calle Pública S/N </t>
  </si>
  <si>
    <t>Iescapayan@catamarca.edu.ar</t>
  </si>
  <si>
    <t>PAOLA VANESA RIOS</t>
  </si>
  <si>
    <t>riosofia0816@gmail.com</t>
  </si>
  <si>
    <t xml:space="preserve">Lola Silvina Shoijet </t>
  </si>
  <si>
    <t>lshoijet@gmail.com</t>
  </si>
  <si>
    <t>Rivadavia 41</t>
  </si>
  <si>
    <t>2924 407858</t>
  </si>
  <si>
    <t>dcarluccio@abc.gob.ar</t>
  </si>
  <si>
    <t>Vanina Carluccio</t>
  </si>
  <si>
    <t xml:space="preserve">Ruta Prov 5 </t>
  </si>
  <si>
    <t>Paola Vanesa Rios</t>
  </si>
  <si>
    <t>Lola Silvina Shoijet</t>
  </si>
  <si>
    <t xml:space="preserve">Mitre esq. 25 de Mayo </t>
  </si>
  <si>
    <t>Laínez 2401</t>
  </si>
  <si>
    <t>291 4593600</t>
  </si>
  <si>
    <t>tecnicaturasuperiorenfermeria@gmail.com</t>
  </si>
  <si>
    <t>Jose Luis D´Arretta</t>
  </si>
  <si>
    <t>291 154231911</t>
  </si>
  <si>
    <t>darrettajose2018@gmail.com</t>
  </si>
  <si>
    <t>Claudia Alejandra Torres</t>
  </si>
  <si>
    <t>291 155062829</t>
  </si>
  <si>
    <t>claatorres@hotmail.com</t>
  </si>
  <si>
    <t>Ricardo Balbín 3200</t>
  </si>
  <si>
    <t>011 4724 3000</t>
  </si>
  <si>
    <t>tsehigaevaperondesanmartin@gmail.com</t>
  </si>
  <si>
    <t xml:space="preserve">Noelia Gaitán </t>
  </si>
  <si>
    <t>11 40945463</t>
  </si>
  <si>
    <t>noeliagaitan@hotmail.com</t>
  </si>
  <si>
    <t xml:space="preserve">María Valeria Guzmán </t>
  </si>
  <si>
    <t>valefa013@gmail.com</t>
  </si>
  <si>
    <t>González Catan</t>
  </si>
  <si>
    <t>Dr Equiza 6450</t>
  </si>
  <si>
    <t>tsesimplementeevita@gmail.com</t>
  </si>
  <si>
    <t>Marta Leiva</t>
  </si>
  <si>
    <t>martavlei@yahoo.com.ar</t>
  </si>
  <si>
    <t>María José Ponce</t>
  </si>
  <si>
    <t>majo62@live.com</t>
  </si>
  <si>
    <t xml:space="preserve">Isidro Casanova </t>
  </si>
  <si>
    <t>Juan Manuel de Rosas 2975</t>
  </si>
  <si>
    <t>01159524868</t>
  </si>
  <si>
    <t>esterlunamorena@gmail.com</t>
  </si>
  <si>
    <t>Marta del valle Leiva</t>
  </si>
  <si>
    <t>01141945042</t>
  </si>
  <si>
    <t xml:space="preserve">Ester Haydee Luna </t>
  </si>
  <si>
    <t>011- 59524868</t>
  </si>
  <si>
    <t>Hipólito Yrigoyen 150</t>
  </si>
  <si>
    <t>.....</t>
  </si>
  <si>
    <t>conduccion.ifd5@gmail.com</t>
  </si>
  <si>
    <t xml:space="preserve">Teresita Castillo </t>
  </si>
  <si>
    <t>castillotic@gmail.com</t>
  </si>
  <si>
    <t xml:space="preserve">Fabiana Paez </t>
  </si>
  <si>
    <t>paezfabiana@yahoo.com</t>
  </si>
  <si>
    <t>Hipólito Yrigoyen 2145</t>
  </si>
  <si>
    <t>isss.ctes@mec.gob.ar</t>
  </si>
  <si>
    <t>Cesar Daniel Castillo</t>
  </si>
  <si>
    <t>kastillocesar@hotmail.com</t>
  </si>
  <si>
    <t>Marta Saucedo</t>
  </si>
  <si>
    <t>martasauce2@hotmail.com</t>
  </si>
  <si>
    <t>4 numero 962 entre 51 y53</t>
  </si>
  <si>
    <t>221 4292700 interno 82650</t>
  </si>
  <si>
    <t>crscebfdemalvinas@gmail.com</t>
  </si>
  <si>
    <t>Mario Rovere</t>
  </si>
  <si>
    <t>221 4292700 interno 82607</t>
  </si>
  <si>
    <t>escueladegobiernoff@gmail.com</t>
  </si>
  <si>
    <t>Marcela Rojas</t>
  </si>
  <si>
    <t>221 4292700</t>
  </si>
  <si>
    <t>rojasmarcelab@gmail.com</t>
  </si>
  <si>
    <t>no tenemos subvención</t>
  </si>
  <si>
    <t>62210304</t>
  </si>
  <si>
    <t>62210308</t>
  </si>
  <si>
    <t>62210311</t>
  </si>
  <si>
    <t>62210312</t>
  </si>
  <si>
    <t>100024500</t>
  </si>
  <si>
    <t>61578100</t>
  </si>
  <si>
    <t>20017500</t>
  </si>
  <si>
    <t>20024000</t>
  </si>
  <si>
    <t>20053100</t>
  </si>
  <si>
    <t>20053900</t>
  </si>
  <si>
    <t>20089000</t>
  </si>
  <si>
    <t>20096900</t>
  </si>
  <si>
    <t>20142000</t>
  </si>
  <si>
    <t>20174400</t>
  </si>
  <si>
    <t>20191900</t>
  </si>
  <si>
    <t>20224200</t>
  </si>
  <si>
    <t>20234600</t>
  </si>
  <si>
    <t>20245000</t>
  </si>
  <si>
    <t>20282200</t>
  </si>
  <si>
    <t>20286200</t>
  </si>
  <si>
    <t>20299400</t>
  </si>
  <si>
    <t>20304900</t>
  </si>
  <si>
    <t>20314900</t>
  </si>
  <si>
    <t>60011700</t>
  </si>
  <si>
    <t>60021000</t>
  </si>
  <si>
    <t>60167400</t>
  </si>
  <si>
    <t>60611700</t>
  </si>
  <si>
    <t>60643100</t>
  </si>
  <si>
    <t>60652600</t>
  </si>
  <si>
    <t>60831300</t>
  </si>
  <si>
    <t>60863000</t>
  </si>
  <si>
    <t>60877900</t>
  </si>
  <si>
    <t>61185300</t>
  </si>
  <si>
    <t>61190700</t>
  </si>
  <si>
    <t>61233400</t>
  </si>
  <si>
    <t>61337200</t>
  </si>
  <si>
    <t>62111300</t>
  </si>
  <si>
    <t>62385500</t>
  </si>
  <si>
    <t>140233600</t>
  </si>
  <si>
    <t>140261700</t>
  </si>
  <si>
    <t>140333900</t>
  </si>
  <si>
    <t>140443800</t>
  </si>
  <si>
    <t>140463300</t>
  </si>
  <si>
    <t>140510100</t>
  </si>
  <si>
    <t>140510101</t>
  </si>
  <si>
    <t>140510102</t>
  </si>
  <si>
    <t>140510105</t>
  </si>
  <si>
    <t>140510107</t>
  </si>
  <si>
    <t>140510108</t>
  </si>
  <si>
    <t>180143000</t>
  </si>
  <si>
    <t>300029300</t>
  </si>
  <si>
    <t>300201100</t>
  </si>
  <si>
    <t>300251300</t>
  </si>
  <si>
    <t>380081400</t>
  </si>
  <si>
    <t>380081401</t>
  </si>
  <si>
    <t>380081402</t>
  </si>
  <si>
    <t>380098400</t>
  </si>
  <si>
    <t>500124005</t>
  </si>
  <si>
    <t>500132400</t>
  </si>
  <si>
    <t>500180401</t>
  </si>
  <si>
    <t>500180402</t>
  </si>
  <si>
    <t>500180404</t>
  </si>
  <si>
    <t>500180406</t>
  </si>
  <si>
    <t>500180407</t>
  </si>
  <si>
    <t>540027900</t>
  </si>
  <si>
    <t>540153300</t>
  </si>
  <si>
    <t>540186600</t>
  </si>
  <si>
    <t>580075500</t>
  </si>
  <si>
    <t>580108100</t>
  </si>
  <si>
    <t>620100300</t>
  </si>
  <si>
    <t>620100301</t>
  </si>
  <si>
    <t>620100302</t>
  </si>
  <si>
    <t>620100305</t>
  </si>
  <si>
    <t>620100306</t>
  </si>
  <si>
    <t>660057600</t>
  </si>
  <si>
    <t>660063300</t>
  </si>
  <si>
    <t>660117400</t>
  </si>
  <si>
    <t>660117401</t>
  </si>
  <si>
    <t>660117402</t>
  </si>
  <si>
    <t>660117403</t>
  </si>
  <si>
    <t>660117404</t>
  </si>
  <si>
    <t>660117405</t>
  </si>
  <si>
    <t>660117408</t>
  </si>
  <si>
    <t>660117410</t>
  </si>
  <si>
    <t>820017501</t>
  </si>
  <si>
    <t>820061900</t>
  </si>
  <si>
    <t>820061901</t>
  </si>
  <si>
    <t>820104900</t>
  </si>
  <si>
    <t>820188400</t>
  </si>
  <si>
    <t>820188401</t>
  </si>
  <si>
    <t>820188402</t>
  </si>
  <si>
    <t>820250700</t>
  </si>
  <si>
    <t>820381400</t>
  </si>
  <si>
    <t>820382000</t>
  </si>
  <si>
    <t>820412100</t>
  </si>
  <si>
    <t>820413900</t>
  </si>
  <si>
    <t>860187600</t>
  </si>
  <si>
    <t>20282300</t>
  </si>
  <si>
    <t>100033700</t>
  </si>
  <si>
    <t>100073500</t>
  </si>
  <si>
    <t>140253504</t>
  </si>
  <si>
    <t>140278801</t>
  </si>
  <si>
    <t>140319700</t>
  </si>
  <si>
    <t>140322200</t>
  </si>
  <si>
    <t>140488900</t>
  </si>
  <si>
    <t>140510103</t>
  </si>
  <si>
    <t>140510104</t>
  </si>
  <si>
    <t>140510106</t>
  </si>
  <si>
    <t>140532900</t>
  </si>
  <si>
    <t>140535004</t>
  </si>
  <si>
    <t>140544100</t>
  </si>
  <si>
    <t>180121600</t>
  </si>
  <si>
    <t>180141400</t>
  </si>
  <si>
    <t>180141501</t>
  </si>
  <si>
    <t>180176500</t>
  </si>
  <si>
    <t>180182900</t>
  </si>
  <si>
    <t>260061100</t>
  </si>
  <si>
    <t>260061101</t>
  </si>
  <si>
    <t>300148300</t>
  </si>
  <si>
    <t>300173900</t>
  </si>
  <si>
    <t>380058200</t>
  </si>
  <si>
    <t>500238900</t>
  </si>
  <si>
    <t>620100307</t>
  </si>
  <si>
    <t>860184700</t>
  </si>
  <si>
    <t>860185300</t>
  </si>
  <si>
    <t>860220000</t>
  </si>
  <si>
    <t>Datos economicos</t>
  </si>
  <si>
    <t>Total Privados</t>
  </si>
  <si>
    <t>Faltan</t>
  </si>
  <si>
    <t>ISPI 9195 Cruz Roja Argentina</t>
  </si>
  <si>
    <t>25 de Mayo y Estrada</t>
  </si>
  <si>
    <t>isfdcn1gottau@hotmail.com</t>
  </si>
  <si>
    <t>Cristina Acosta</t>
  </si>
  <si>
    <t>crisacostaavila@gmail.com</t>
  </si>
  <si>
    <t>Maria Mercedes Navarro Pogonza</t>
  </si>
  <si>
    <t>navarro_mercedes01@hotmail.com</t>
  </si>
  <si>
    <t xml:space="preserve">Instituto Superior de Formación Técnica (I.S.F.T.) N° 6012 Escuela Superior de Formación en Salud Anexo Hospital Pedro Fiorito
</t>
  </si>
  <si>
    <t>Av Belgrano 851</t>
  </si>
  <si>
    <t>tse.hospitalfiorito@gmail.com</t>
  </si>
  <si>
    <t>Lidia Guadalupe Diaz</t>
  </si>
  <si>
    <t>lidiagdiaz2008@hotmail.com</t>
  </si>
  <si>
    <t>Lidia Guadalupe</t>
  </si>
  <si>
    <t>Lanus Oeste</t>
  </si>
  <si>
    <t>Diego Armando Maradona 1910</t>
  </si>
  <si>
    <t>011- 42414052/59</t>
  </si>
  <si>
    <t>ejmedina07@yahoo.com.ar</t>
  </si>
  <si>
    <t>Claudia Mabel Pirrone</t>
  </si>
  <si>
    <t>011-51495553</t>
  </si>
  <si>
    <t>claudiapirrone@gmail.com</t>
  </si>
  <si>
    <t>Edgardo Javier Medina</t>
  </si>
  <si>
    <t>Colectora Av. Eva Perón, Loma Hermosa, Provincia de Buenos Aires</t>
  </si>
  <si>
    <t>Colomboceleste@yahoo.com.ar</t>
  </si>
  <si>
    <t>Colombo Maria Celeste</t>
  </si>
  <si>
    <t>No hubo apertura</t>
  </si>
  <si>
    <t>Libertador 710</t>
  </si>
  <si>
    <t>tse2022moreno@gmail.com</t>
  </si>
  <si>
    <t>Maria Celeste Colombo</t>
  </si>
  <si>
    <t>colomboceleste@yahoo.com.ar</t>
  </si>
  <si>
    <t>Rubén Aimoré Politano</t>
  </si>
  <si>
    <t>enfermerorubenpolitano@gmail.com</t>
  </si>
  <si>
    <t xml:space="preserve">Escuela Normal Superior Victorino Viale
</t>
  </si>
  <si>
    <t>Corrientes 279</t>
  </si>
  <si>
    <t>superior.normal43.pn@entrerios.edu.ar</t>
  </si>
  <si>
    <t>Heredia Ariel</t>
  </si>
  <si>
    <t>ari72heredia@gmail.com</t>
  </si>
  <si>
    <t>Cardoso Alexia</t>
  </si>
  <si>
    <t>343 518-0979</t>
  </si>
  <si>
    <t>alexiacardoso115@gmail.com</t>
  </si>
  <si>
    <t>Villa Vatteone</t>
  </si>
  <si>
    <t>Dr Carlos Galli Mainini</t>
  </si>
  <si>
    <t>administracion-hmipueblo@ms.gba.gov.ar</t>
  </si>
  <si>
    <t>Tito Osvaldo Salto</t>
  </si>
  <si>
    <t>titosalto@hotmail.com</t>
  </si>
  <si>
    <t>Av. Señor del Milagro 647</t>
  </si>
  <si>
    <t>alejandroavellaneda1989@gmail.com</t>
  </si>
  <si>
    <t>Alejandro Avellaneda</t>
  </si>
  <si>
    <t>Perea Jorgelina</t>
  </si>
  <si>
    <t>jorgelinaperea27@gmail.com</t>
  </si>
  <si>
    <t>Instituto Superior de Formacion Tecnica (I.S.F.T) N° 6012 Escuela Superior de Formacion en Salud-Anexo Hospital Sor Maria Ludovica</t>
  </si>
  <si>
    <t>14 N° 1631 e 65 y 66</t>
  </si>
  <si>
    <t>0221-4535901</t>
  </si>
  <si>
    <t>alejandra.davila012@gmail.com</t>
  </si>
  <si>
    <t>Daiana Galvan</t>
  </si>
  <si>
    <t>221-5910900</t>
  </si>
  <si>
    <t>daianangalvan@gmail.com</t>
  </si>
  <si>
    <t>Dora Alejandra Davila</t>
  </si>
  <si>
    <t>Castelli 2450</t>
  </si>
  <si>
    <t>docenciaeinvestigacion@gmail.com</t>
  </si>
  <si>
    <t>Stella Rasse</t>
  </si>
  <si>
    <t>Claudia Susana Benavente</t>
  </si>
  <si>
    <t>Gestionydocenciaenfhiemi@gmail.com</t>
  </si>
  <si>
    <t>Instituto Superior de Formación Técnica ( I.S.F.T.) Escuela de formación en salud- anexo Hospital HIGA Profesor Dr. Luis Guemes</t>
  </si>
  <si>
    <t>Av Rivadavia 15000</t>
  </si>
  <si>
    <t>Colombo María Celeste</t>
  </si>
  <si>
    <t>Aragonez Luján Margot</t>
  </si>
  <si>
    <t>margotl98@yahoo.com.ar</t>
  </si>
  <si>
    <t>Andalgala</t>
  </si>
  <si>
    <t>Avenida 2 de abril (Prolongación Norte)</t>
  </si>
  <si>
    <t>iesandalgala@catamarca.edu.ar</t>
  </si>
  <si>
    <t>Sandra Hebe Haddad</t>
  </si>
  <si>
    <t>sandrahaddad46@gmail.com</t>
  </si>
  <si>
    <t>Haddad Mirna Elezabeth</t>
  </si>
  <si>
    <t>mirnahaddad@hotmail.com</t>
  </si>
  <si>
    <t>Luis de Medina s/n</t>
  </si>
  <si>
    <t>iescubas@catamarca.edu.ar</t>
  </si>
  <si>
    <t>Olga A. Burella</t>
  </si>
  <si>
    <t>olgaburella@gmail.com</t>
  </si>
  <si>
    <t>Rosana Román</t>
  </si>
  <si>
    <t>rosana.roman@yahoo.es</t>
  </si>
  <si>
    <t>Juan de Garay 115</t>
  </si>
  <si>
    <t>institutobalancini@gmail.com</t>
  </si>
  <si>
    <t>Gastón Gonzalez</t>
  </si>
  <si>
    <t>gastongonzalez14.gg@gmail.com</t>
  </si>
  <si>
    <t>Todos</t>
  </si>
  <si>
    <t xml:space="preserve">Cruz del eje </t>
  </si>
  <si>
    <t>Soldado romero 249</t>
  </si>
  <si>
    <t>coordeancruzdeleje@org.ar</t>
  </si>
  <si>
    <t xml:space="preserve">Karina Emilse corzo </t>
  </si>
  <si>
    <t>Corzokarinaemilse@gmail.com</t>
  </si>
  <si>
    <t xml:space="preserve">Fabian Castello </t>
  </si>
  <si>
    <t>institutosep@sep.or</t>
  </si>
  <si>
    <t>Instituto de Educación Superior (I.E.S.) N° 9015</t>
  </si>
  <si>
    <t>San Nicolas de los Arroyos</t>
  </si>
  <si>
    <t>Gral. Juan Madariaga</t>
  </si>
  <si>
    <t xml:space="preserve">General Las Heras </t>
  </si>
  <si>
    <t>Luján</t>
  </si>
  <si>
    <t>Guamini</t>
  </si>
  <si>
    <t xml:space="preserve">  La Plata</t>
  </si>
  <si>
    <t xml:space="preserve">La Paz </t>
  </si>
  <si>
    <t xml:space="preserve">Andalgalá </t>
  </si>
  <si>
    <t>Valle Viejo</t>
  </si>
  <si>
    <t>Marcos Juarez</t>
  </si>
  <si>
    <t>Ischilín</t>
  </si>
  <si>
    <t>Comandante Fernández</t>
  </si>
  <si>
    <t>Libertador General de San Martín</t>
  </si>
  <si>
    <t>Mayor Jorge Luis Fontana</t>
  </si>
  <si>
    <t>Libertad</t>
  </si>
  <si>
    <t>Sargento Cabral</t>
  </si>
  <si>
    <t>Libertador General San Martín</t>
  </si>
  <si>
    <t>Cochinoca</t>
  </si>
  <si>
    <t xml:space="preserve">Leando N. Alem </t>
  </si>
  <si>
    <t xml:space="preserve">Confluencia </t>
  </si>
  <si>
    <t>San Antonio</t>
  </si>
  <si>
    <t xml:space="preserve">Rosario de Lerma </t>
  </si>
  <si>
    <t xml:space="preserve">Orán </t>
  </si>
  <si>
    <t>Anta</t>
  </si>
  <si>
    <t>Chicoana</t>
  </si>
  <si>
    <t xml:space="preserve">Rosario de la Frontera </t>
  </si>
  <si>
    <t>Gral. Obligado</t>
  </si>
  <si>
    <t>Juan Francisco Borges</t>
  </si>
  <si>
    <t xml:space="preserve">Burruyacú </t>
  </si>
  <si>
    <t xml:space="preserve">Cruz Alta </t>
  </si>
  <si>
    <t>Leales</t>
  </si>
  <si>
    <t>Tafi Viejo</t>
  </si>
  <si>
    <t xml:space="preserve">Rio Grande </t>
  </si>
  <si>
    <t>Instituto Superior de Formación Docente (I.S.F.D.) Nº 62 Iris Galisteo</t>
  </si>
  <si>
    <t>Coronel Dorrego</t>
  </si>
  <si>
    <t>Martín Fierro N°972</t>
  </si>
  <si>
    <t>02921-450294</t>
  </si>
  <si>
    <t>isfd62dorrego@abc.gob.ar</t>
  </si>
  <si>
    <t>Nazareno Leandro Furguelle</t>
  </si>
  <si>
    <t>291-4224061</t>
  </si>
  <si>
    <t>nfurguelle@abc.gob.ar</t>
  </si>
  <si>
    <t>Paula Yané Montero</t>
  </si>
  <si>
    <t>2932-494977</t>
  </si>
  <si>
    <t>yanmontero1977@hotmail.com</t>
  </si>
  <si>
    <t>25 de Mayo 722</t>
  </si>
  <si>
    <t>0358-4640469</t>
  </si>
  <si>
    <t>eenfermeriariocuarto@sep.org.ar</t>
  </si>
  <si>
    <t>351-6430818</t>
  </si>
  <si>
    <t>JOSE LUIS GALLARDO</t>
  </si>
  <si>
    <t>gallardojose1970@gmail.com</t>
  </si>
  <si>
    <t>Brinkmann</t>
  </si>
  <si>
    <t>Avda Seeber 317</t>
  </si>
  <si>
    <t>03562-548923</t>
  </si>
  <si>
    <t>imbelgrano_brk@yahoo.com.ar</t>
  </si>
  <si>
    <t>JULIO CESAR FIRMANI</t>
  </si>
  <si>
    <t>03562-407147</t>
  </si>
  <si>
    <t>jfirmani@hotmail.com</t>
  </si>
  <si>
    <t>Javier Astrada</t>
  </si>
  <si>
    <t>03562-416987</t>
  </si>
  <si>
    <t>javiastrada73@gmail.com</t>
  </si>
  <si>
    <t>Bv. Roque Saenz Peña 1151</t>
  </si>
  <si>
    <t>03564-424556</t>
  </si>
  <si>
    <t>secnivelsuperior@gmail.com</t>
  </si>
  <si>
    <t>CAROLINA RAMBALDI</t>
  </si>
  <si>
    <t>03564-15564320</t>
  </si>
  <si>
    <t>YANINA CAMPOS</t>
  </si>
  <si>
    <t>03564-15690570</t>
  </si>
  <si>
    <t>elizabethyaninacampos@gmail.com</t>
  </si>
  <si>
    <t>Belgrano 2158</t>
  </si>
  <si>
    <t>03564 15504942</t>
  </si>
  <si>
    <t>m.teresadecalcuta@hotmail.com</t>
  </si>
  <si>
    <t>Carla Andrea Gastaldi</t>
  </si>
  <si>
    <t>03564 15571932</t>
  </si>
  <si>
    <t>carlandrea_08@hotmail.com</t>
  </si>
  <si>
    <t>Veronica Natalia Bosda Bossana</t>
  </si>
  <si>
    <t>03564 15470338</t>
  </si>
  <si>
    <t>verobossana@hotmail.com</t>
  </si>
  <si>
    <t>60974700</t>
  </si>
  <si>
    <t>Viedma</t>
  </si>
  <si>
    <t>Tucuman 23</t>
  </si>
  <si>
    <t>2920-421517</t>
  </si>
  <si>
    <t>issagviedma@gmail.com</t>
  </si>
  <si>
    <t>Diego Rubén Flores</t>
  </si>
  <si>
    <t>Coordinador</t>
  </si>
  <si>
    <t>-2984883429</t>
  </si>
  <si>
    <t>enfermeriaissagc@gmail.com</t>
  </si>
  <si>
    <t>JOSÉMARÍA GÓMEZ Y YATAY</t>
  </si>
  <si>
    <t>1801414-00@mec.gob.ar</t>
  </si>
  <si>
    <t>ALEJANDRA TRINIDAD BENÍTEZ</t>
  </si>
  <si>
    <t>aletriben@yahoo.com.ar</t>
  </si>
  <si>
    <t>MARÍA EVA STUTZ</t>
  </si>
  <si>
    <t>mariaeva.stutz@gmail.com</t>
  </si>
  <si>
    <t>Belén</t>
  </si>
  <si>
    <t>General Roca 278</t>
  </si>
  <si>
    <t>3835 461813</t>
  </si>
  <si>
    <t>iesbelen@catamarca.edu.ar</t>
  </si>
  <si>
    <t>Nélida Elisabeth Nieva</t>
  </si>
  <si>
    <t>3835 520264</t>
  </si>
  <si>
    <t>nnelidaelisabeth@gmail.com</t>
  </si>
  <si>
    <t>Mariana Zelaya</t>
  </si>
  <si>
    <t>3835 527468</t>
  </si>
  <si>
    <t>zelayam87@gmail.com</t>
  </si>
  <si>
    <t>Obispo Romero S/N°</t>
  </si>
  <si>
    <t>3794-356850</t>
  </si>
  <si>
    <t>isfdyapeyucorrientes@gmail.com</t>
  </si>
  <si>
    <t>Vanesa Marilin Fagundez</t>
  </si>
  <si>
    <t>Coordinadora de Subsede</t>
  </si>
  <si>
    <t>favane06@gmail.com</t>
  </si>
  <si>
    <t>Instituto de Educación Superior Dr.Guillermo Cleland Paterson</t>
  </si>
  <si>
    <t>San Salvador</t>
  </si>
  <si>
    <t>Alvear 1152</t>
  </si>
  <si>
    <t>388-4221297</t>
  </si>
  <si>
    <t>Marisa Edit Vargas</t>
  </si>
  <si>
    <t>388-5019258</t>
  </si>
  <si>
    <t xml:space="preserve">mvargas0770@gmail.com </t>
  </si>
  <si>
    <t>Tercero Arriba</t>
  </si>
  <si>
    <t>Oliva</t>
  </si>
  <si>
    <t>Sarmiento 250</t>
  </si>
  <si>
    <t>ferreyragenovevabeatriz@gmail.com</t>
  </si>
  <si>
    <t>Genoveva Beatriz Ferreyra</t>
  </si>
  <si>
    <t>Instituto Superior Dr. Ramon J. Carrillo anexo Santa Rosa de Rio Primero</t>
  </si>
  <si>
    <t>Rio Primero</t>
  </si>
  <si>
    <t>Villa Santa Rosa</t>
  </si>
  <si>
    <t>San Martin 887</t>
  </si>
  <si>
    <t>adryfraga11@gmail.com</t>
  </si>
  <si>
    <t>Adriana Fraga</t>
  </si>
  <si>
    <t>Secretaria/o Academica/o</t>
  </si>
  <si>
    <t>fragaadry0@hotmail.com</t>
  </si>
  <si>
    <t>Sarmiento 1155</t>
  </si>
  <si>
    <t>inescapdevila@yahoo.com.ar</t>
  </si>
  <si>
    <t>Sobrero Claudia Rossana</t>
  </si>
  <si>
    <t>clausob874@hotmail.com</t>
  </si>
  <si>
    <t>Instituto Superior de Formación Técnica (I.S.F.T.) N° 6012 Escuela Superior de Formación en Salud- Anexo Hospital Zonal General de Agudos Mi pueblo Florencio Varela</t>
  </si>
  <si>
    <t>Instituto Superior de Formación Técnica (I.S.F.T.) N° 6012 Escuela Superior de Formación en Salud - Anexo Hospital General de Agudos Simplemente Evita</t>
  </si>
  <si>
    <t>Avenida Rivadavia 4529</t>
  </si>
  <si>
    <t>administracion@cenv.org</t>
  </si>
  <si>
    <t>Anibal Vassalli</t>
  </si>
  <si>
    <t>anibalvassalli@ccnv.org</t>
  </si>
  <si>
    <t>Claudia Zalazar</t>
  </si>
  <si>
    <t>claudiazalazar@ccnv.org</t>
  </si>
  <si>
    <t>Echagüe y Berutti</t>
  </si>
  <si>
    <t>isfd.leites.lp@entrerios.edu.ar</t>
  </si>
  <si>
    <t>Flavia Flores</t>
  </si>
  <si>
    <t>f.flavia0@gmail.com</t>
  </si>
  <si>
    <t>Alejandro Barolin</t>
  </si>
  <si>
    <t>alejandrobarolin@gmail.com</t>
  </si>
  <si>
    <t>Urquiza 144</t>
  </si>
  <si>
    <t>ess.ossola.tl@entrerios.edu.ar</t>
  </si>
  <si>
    <t>Carina Trapp</t>
  </si>
  <si>
    <t>carinamtrap@gmail.com</t>
  </si>
  <si>
    <t>Maria José Echave</t>
  </si>
  <si>
    <t>coordinaciontecnicaturaossola@gmail.com</t>
  </si>
  <si>
    <t>ISFD Itati</t>
  </si>
  <si>
    <t>Castor de León S/N</t>
  </si>
  <si>
    <t>marianamacielbozikovic@gmail.com</t>
  </si>
  <si>
    <t>Pavon Analia Alejandra</t>
  </si>
  <si>
    <t>pavonani@hotmail.com</t>
  </si>
  <si>
    <t>Mariana Maciel Bozikovic</t>
  </si>
  <si>
    <t>Río II</t>
  </si>
  <si>
    <t>Belgrano 225</t>
  </si>
  <si>
    <t>dvslasvarillas2023@gmail.com</t>
  </si>
  <si>
    <t>Paola Bertorello</t>
  </si>
  <si>
    <t>pberto75@gmail.com</t>
  </si>
  <si>
    <t>Alejandra Cometto</t>
  </si>
  <si>
    <t>alejandra_cometto@hotmail.com</t>
  </si>
  <si>
    <t>Rawson</t>
  </si>
  <si>
    <t>Marconi 171</t>
  </si>
  <si>
    <t>280 4378522</t>
  </si>
  <si>
    <t>saragianardo@hotmail.com</t>
  </si>
  <si>
    <t>Martha Beatriz Bravo</t>
  </si>
  <si>
    <t>marthabravo@gmail.com</t>
  </si>
  <si>
    <t>Sara Gianardo</t>
  </si>
  <si>
    <t>ARISTOBULO DEL VALLE 1730</t>
  </si>
  <si>
    <t>antoniavaldez@gmail.com</t>
  </si>
  <si>
    <t>marthitabravomb02@gmail.com</t>
  </si>
  <si>
    <t>297 4772880</t>
  </si>
  <si>
    <t>Nuestra Señora del Rosario de Caá Catí</t>
  </si>
  <si>
    <t>Alberdi 255</t>
  </si>
  <si>
    <t>1801765-00@mec.gob.ar</t>
  </si>
  <si>
    <t>MARIA EMILCE ERCOLANI</t>
  </si>
  <si>
    <t>emilceercolani@hotmail.com</t>
  </si>
  <si>
    <t>GISELA MARILIN MILESI</t>
  </si>
  <si>
    <t>gisemilesi@gmail.com</t>
  </si>
  <si>
    <t>AV. Bartolomé Mitre 956</t>
  </si>
  <si>
    <t>1801413-00@mec.gob.ar</t>
  </si>
  <si>
    <t>Sánchez, Verónica Lía</t>
  </si>
  <si>
    <t>veronicaliasanchezpreuss@gmail.com</t>
  </si>
  <si>
    <t>Fernández Miguel Horacio</t>
  </si>
  <si>
    <t>miguel_fer@live.com.ar</t>
  </si>
  <si>
    <t>Absalón Rojas y Jujuy</t>
  </si>
  <si>
    <t>antenoralvarez2018@hotmail.com</t>
  </si>
  <si>
    <t>Santillán Hortensia Mercedes</t>
  </si>
  <si>
    <t>mechisan07@hotmail.com</t>
  </si>
  <si>
    <t>Hortensia Mercedes Santillán</t>
  </si>
  <si>
    <t>Oliveros</t>
  </si>
  <si>
    <t xml:space="preserve">Las cuotas se actualizan cada dos meses. </t>
  </si>
  <si>
    <t xml:space="preserve">Se envío el formulario en el pedido anterior. </t>
  </si>
  <si>
    <t>Nuestra escuela es sindical, por esta razón tenemos precios diferenciados entre AFILIADOS y NO AFILIADOS .Los NO AFILIADOS abonan $3000 de inscripción y $3000 de matricula.</t>
  </si>
  <si>
    <t>el institutito no recibe ningún tipo de subsidio.</t>
  </si>
  <si>
    <t>San Martín N° 448</t>
  </si>
  <si>
    <t>3756-439073</t>
  </si>
  <si>
    <t>centroeducativoirupe@hotmail.com</t>
  </si>
  <si>
    <t>Luis Adolfo SIlvero</t>
  </si>
  <si>
    <t>3756-539309</t>
  </si>
  <si>
    <t>luisadolfosilvero@gmail.com</t>
  </si>
  <si>
    <t>Ana Luján Ayala</t>
  </si>
  <si>
    <t>3756-602696</t>
  </si>
  <si>
    <t>analujana@yahoo.com</t>
  </si>
  <si>
    <t>Los claveles 196</t>
  </si>
  <si>
    <t>enfermeria.juarezcelman@itscordoba.edu.ar</t>
  </si>
  <si>
    <t>RODRIGUEZ María Eugenia</t>
  </si>
  <si>
    <t>351 4337074</t>
  </si>
  <si>
    <t>Jimenez Rodriguez Claudia</t>
  </si>
  <si>
    <t>Defensa Nº 60 Barrio Villa El Libertador</t>
  </si>
  <si>
    <t>enfermeria.villa@itscordoba.edu.ar</t>
  </si>
  <si>
    <t>Rodriguez Maria Eugenia</t>
  </si>
  <si>
    <t>Norma Hilda Ramos</t>
  </si>
  <si>
    <t>norma.ramos@itscordoba.edu.ar</t>
  </si>
  <si>
    <t>Se cobran 10 cuotas anuales que se componen de un arancel programático (de $35829 a junio de 2024) y de un arancel extra programático (de $6971 a junio de 2024)</t>
  </si>
  <si>
    <t>El monto de la matrícula es para agosto 2024. Se cobran 2 módulos extraprogramáticos en 1er año, 1 en segundo, y cero o 1 er tercer año, dependiendo la carrera. Cada módulo es $8.305.</t>
  </si>
  <si>
    <t>LA POSTA 3840</t>
  </si>
  <si>
    <t>351-6571416</t>
  </si>
  <si>
    <t>Maria Eugenia Rodriguez</t>
  </si>
  <si>
    <t>meugeniarodriguez@hotmail.com</t>
  </si>
  <si>
    <t>meugerodriguez@hotmail.com</t>
  </si>
  <si>
    <t>Hermanos de La Salle 651</t>
  </si>
  <si>
    <t>licsartori@gmail.com</t>
  </si>
  <si>
    <t>Eugenia Rodriguez</t>
  </si>
  <si>
    <t>Vanesa sartori</t>
  </si>
  <si>
    <t>CÓRDOBA</t>
  </si>
  <si>
    <t xml:space="preserve">Superior de Ciencias de la Salud y Gestión </t>
  </si>
  <si>
    <t>Escalante</t>
  </si>
  <si>
    <t>Comodoro Rivadavia</t>
  </si>
  <si>
    <t>La Quiaca</t>
  </si>
  <si>
    <t>Zapala</t>
  </si>
  <si>
    <t xml:space="preserve">Tartagal </t>
  </si>
  <si>
    <t>San Ramon de la Nueva Oran</t>
  </si>
  <si>
    <t xml:space="preserve">La Ramada </t>
  </si>
  <si>
    <t xml:space="preserve">Amaicha del Valle </t>
  </si>
  <si>
    <t xml:space="preserve">Jesús Maria </t>
  </si>
  <si>
    <t>Miraflores</t>
  </si>
  <si>
    <t>Alejandro Korn</t>
  </si>
  <si>
    <t xml:space="preserve">Veronica </t>
  </si>
  <si>
    <t>Instituto Superior de Educación en Salud "Lic. Lucrecia Barisich"</t>
  </si>
  <si>
    <t>Manuel Lainez N° 102</t>
  </si>
  <si>
    <t>educacionsuperiorteecnicaturas@gmail.com</t>
  </si>
  <si>
    <t>Ramiro Roberto Puertas</t>
  </si>
  <si>
    <t>Instituto Superior San Expedito</t>
  </si>
  <si>
    <t>Rio Segundo</t>
  </si>
  <si>
    <t>9 de Julio 530</t>
  </si>
  <si>
    <t>3573-499403</t>
  </si>
  <si>
    <t>vd-rosario@cruzroja.org.ar</t>
  </si>
  <si>
    <t>Maria Ernesta Gaido</t>
  </si>
  <si>
    <t>mariaernestagaido@gmail.com</t>
  </si>
  <si>
    <t>Claudia Bertoni</t>
  </si>
  <si>
    <t>areapedagogicaiscra@gmail.com</t>
  </si>
  <si>
    <t>Solo se le cobra a los estudiantes que no son afiliados a ATSA Chubut</t>
  </si>
  <si>
    <t>4959-7103</t>
  </si>
  <si>
    <t>Instituto Superior Politécnico de Córdoba</t>
  </si>
  <si>
    <t>Sobremonte</t>
  </si>
  <si>
    <t>San Francisco del Chañar</t>
  </si>
  <si>
    <t>Guillermo Haller</t>
  </si>
  <si>
    <t>guillermo.haller@ispc.edu.ar</t>
  </si>
  <si>
    <t>Agustin Zamar</t>
  </si>
  <si>
    <t>caminito tio Jesus / s/n el zanjon</t>
  </si>
  <si>
    <t>385-5752448</t>
  </si>
  <si>
    <t>turcabasualdo.1962@gmail.com</t>
  </si>
  <si>
    <t>Lic Delia Martina Basualdo</t>
  </si>
  <si>
    <t>Marcia Carolina Herrera</t>
  </si>
  <si>
    <t>caroherrera546@gmail.com</t>
  </si>
  <si>
    <t>Claudia González</t>
  </si>
  <si>
    <t>Base de datos 2024</t>
  </si>
  <si>
    <t>380035200</t>
  </si>
  <si>
    <t>Instituto Instituto de Educacion Superior N° 10</t>
  </si>
  <si>
    <t>Ledesma</t>
  </si>
  <si>
    <t>Libertador General San Martin</t>
  </si>
  <si>
    <t>Belisario Roldan S/N B° Santa Rosa</t>
  </si>
  <si>
    <t>3886-422209</t>
  </si>
  <si>
    <t>ies10ledesma@gmail.com</t>
  </si>
  <si>
    <t>Guantay Ramón Luis</t>
  </si>
  <si>
    <t>3886-536977</t>
  </si>
  <si>
    <t>luguantay@hotmail.com</t>
  </si>
  <si>
    <t>Tejerina, Martín Adolfo</t>
  </si>
  <si>
    <t>3886-412470</t>
  </si>
  <si>
    <t>martejts@gmail.com</t>
  </si>
  <si>
    <t xml:space="preserve"> Instituto de Educación Superior (I.E.S.)  Curuzú Cuatiá </t>
  </si>
  <si>
    <t>180067500</t>
  </si>
  <si>
    <t xml:space="preserve">Curuzú Cuatiá </t>
  </si>
  <si>
    <t>Gral. Ramírez 785</t>
  </si>
  <si>
    <t>(3774) 441180</t>
  </si>
  <si>
    <t>inst.curuzu@educ.ar</t>
  </si>
  <si>
    <t>Mgter. Maria Teresita Quiroz</t>
  </si>
  <si>
    <t>tere19_20@hotmail.com</t>
  </si>
  <si>
    <t>Lic.Pucheta Viviana</t>
  </si>
  <si>
    <t>vaninapucheta07@hotmail.com</t>
  </si>
  <si>
    <t xml:space="preserve">Instituto Superior de Formación Técnica Nº 214 MARÍA SALEME </t>
  </si>
  <si>
    <t>Presidente Péron</t>
  </si>
  <si>
    <t>Guernica</t>
  </si>
  <si>
    <t>LEANDRO N. ALEM Y CALLE 125</t>
  </si>
  <si>
    <t>rectorado.grierson@bue.edu.ar</t>
  </si>
  <si>
    <t>Instituto de Educación Superior MADRE  MARIA LUISA CLARAC</t>
  </si>
  <si>
    <t>Gregorio De La Ferrere</t>
  </si>
  <si>
    <t>Esteban Echeverría 6009</t>
  </si>
  <si>
    <t>Unidad Educativa Privada (U.E.P.) Nº 114 Universidad Popular de Resistencia</t>
  </si>
  <si>
    <t>Bartolomé Mitre 198</t>
  </si>
  <si>
    <t xml:space="preserve">Instituto Técnico Superior Villaguay D-258 </t>
  </si>
  <si>
    <t>Villaguay</t>
  </si>
  <si>
    <t>300312900</t>
  </si>
  <si>
    <t xml:space="preserve">Instituto de Educación Superior de Formación Docente  Chajari </t>
  </si>
  <si>
    <t>Federación</t>
  </si>
  <si>
    <t>Chajari</t>
  </si>
  <si>
    <t>820396700</t>
  </si>
  <si>
    <t xml:space="preserve">Instituto de Educación Superior Particular Incorporada (I.S.P.I.) Nº 4067 D´ibarre </t>
  </si>
  <si>
    <t>385 413-8374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</si>
</sst>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2C0A]General"/>
  </numFmts>
  <fonts count="42" x14ac:knownFonts="1">
    <font>
      <sz val="11"/>
      <color theme="1"/>
      <name val="Calibri"/>
      <family val="2"/>
      <scheme val="minor"/>
    </font>
    <font>
      <sz val="11"/>
      <color rgb="FF000000"/>
      <name val="Arial"/>
      <family val="2"/>
    </font>
    <font>
      <sz val="11"/>
      <color rgb="FF000000"/>
      <name val="Calibri"/>
      <family val="2"/>
    </font>
    <font>
      <sz val="12"/>
      <color theme="1"/>
      <name val="Calibri"/>
      <family val="2"/>
      <scheme val="minor"/>
    </font>
    <font>
      <b/>
      <sz val="11"/>
      <color theme="1"/>
      <name val="Calibri"/>
      <family val="2"/>
      <scheme val="minor"/>
    </font>
    <font>
      <b/>
      <sz val="12"/>
      <color theme="1"/>
      <name val="Calibri"/>
      <family val="2"/>
      <scheme val="minor"/>
    </font>
    <font>
      <sz val="11"/>
      <color rgb="FF000000"/>
      <name val="Calibri"/>
      <family val="2"/>
    </font>
    <font>
      <b/>
      <sz val="11"/>
      <color rgb="FF000000"/>
      <name val="Arial"/>
      <family val="2"/>
    </font>
    <font>
      <b/>
      <sz val="11"/>
      <color rgb="FF000000"/>
      <name val="Calibri"/>
      <family val="2"/>
    </font>
    <font>
      <b/>
      <sz val="12"/>
      <color rgb="FF000000"/>
      <name val="Calibri"/>
      <family val="2"/>
    </font>
    <font>
      <sz val="10"/>
      <color rgb="FF000000"/>
      <name val="Arial"/>
      <family val="2"/>
    </font>
    <font>
      <u/>
      <sz val="10"/>
      <color rgb="FF0563C1"/>
      <name val="Arial"/>
      <family val="2"/>
    </font>
    <font>
      <sz val="11"/>
      <color theme="1"/>
      <name val="Calibri"/>
      <family val="2"/>
    </font>
    <font>
      <u/>
      <sz val="10"/>
      <color rgb="FF0000FF"/>
      <name val="Arial"/>
      <family val="2"/>
    </font>
    <font>
      <u/>
      <sz val="11"/>
      <color rgb="FF0563C1"/>
      <name val="Calibri"/>
      <family val="2"/>
    </font>
    <font>
      <sz val="11"/>
      <name val="Calibri"/>
      <family val="2"/>
      <scheme val="minor"/>
    </font>
    <font>
      <b/>
      <sz val="9"/>
      <color indexed="81"/>
      <name val="Tahoma"/>
      <family val="2"/>
    </font>
    <font>
      <sz val="12"/>
      <color rgb="FF000000"/>
      <name val="Calibri"/>
      <family val="2"/>
      <charset val="1"/>
    </font>
    <font>
      <sz val="12"/>
      <color theme="1"/>
      <name val="Calibri"/>
      <family val="2"/>
    </font>
    <font>
      <sz val="11"/>
      <name val="Calibri"/>
      <family val="2"/>
    </font>
    <font>
      <sz val="12"/>
      <color rgb="FF000000"/>
      <name val="Calibri"/>
      <family val="2"/>
    </font>
    <font>
      <sz val="9"/>
      <color indexed="81"/>
      <name val="Tahoma"/>
      <family val="2"/>
    </font>
    <font>
      <b/>
      <sz val="11"/>
      <color rgb="FFFF0000"/>
      <name val="Calibri"/>
      <family val="2"/>
      <scheme val="minor"/>
    </font>
    <font>
      <sz val="12"/>
      <color theme="1"/>
      <name val="Calibri"/>
      <family val="2"/>
    </font>
    <font>
      <sz val="12"/>
      <color rgb="FF000000"/>
      <name val="Calibri"/>
      <family val="2"/>
    </font>
    <font>
      <u/>
      <sz val="11"/>
      <color theme="10"/>
      <name val="Calibri"/>
      <family val="2"/>
      <scheme val="minor"/>
    </font>
    <font>
      <sz val="12"/>
      <color theme="1"/>
      <name val="Calibri"/>
      <family val="2"/>
    </font>
    <font>
      <sz val="12"/>
      <name val="Calibri"/>
      <family val="2"/>
    </font>
    <font>
      <sz val="12"/>
      <color indexed="8"/>
      <name val="Calibri"/>
      <family val="2"/>
    </font>
    <font>
      <sz val="12"/>
      <color rgb="FF000000"/>
      <name val="Docs-Calibri"/>
    </font>
    <font>
      <sz val="11"/>
      <color theme="1"/>
      <name val="Calibri"/>
      <family val="2"/>
    </font>
    <font>
      <sz val="12"/>
      <color theme="1"/>
      <name val="Calibri"/>
      <family val="2"/>
    </font>
    <font>
      <sz val="12"/>
      <name val="Calibri"/>
      <family val="2"/>
    </font>
    <font>
      <sz val="12"/>
      <name val="Calibri"/>
      <family val="2"/>
    </font>
    <font>
      <sz val="11"/>
      <color theme="1"/>
      <name val="Calibri"/>
      <family val="2"/>
      <scheme val="minor"/>
    </font>
    <font>
      <sz val="10"/>
      <color rgb="FF000000"/>
      <name val="Calibri"/>
      <family val="2"/>
      <scheme val="minor"/>
    </font>
    <font>
      <sz val="11"/>
      <color rgb="FF000000"/>
      <name val="Calibri"/>
      <family val="2"/>
      <scheme val="minor"/>
    </font>
    <font>
      <sz val="10"/>
      <color theme="1"/>
      <name val="Calibri"/>
      <family val="2"/>
      <scheme val="minor"/>
    </font>
    <font>
      <sz val="11"/>
      <color rgb="FF000000"/>
      <name val="Calibri"/>
      <family val="2"/>
    </font>
    <font>
      <sz val="10"/>
      <name val="Calibri"/>
      <family val="2"/>
      <scheme val="minor"/>
    </font>
    <font>
      <b/>
      <sz val="20"/>
      <color theme="1"/>
      <name val="Calibri"/>
      <family val="2"/>
      <scheme val="minor"/>
    </font>
    <font>
      <sz val="10"/>
      <color rgb="FF434343"/>
      <name val="Roboto"/>
    </font>
  </fonts>
  <fills count="16">
    <fill>
      <patternFill patternType="none"/>
    </fill>
    <fill>
      <patternFill patternType="gray125"/>
    </fill>
    <fill>
      <patternFill patternType="solid">
        <fgColor rgb="FFD8D8D8"/>
        <bgColor rgb="FFD8D8D8"/>
      </patternFill>
    </fill>
    <fill>
      <patternFill patternType="solid">
        <fgColor theme="0" tint="-0.14999847407452621"/>
        <bgColor indexed="64"/>
      </patternFill>
    </fill>
    <fill>
      <patternFill patternType="solid">
        <fgColor theme="0" tint="-0.14999847407452621"/>
        <bgColor rgb="FFD8D8D8"/>
      </patternFill>
    </fill>
    <fill>
      <patternFill patternType="solid">
        <fgColor rgb="FF8EAADB"/>
        <bgColor rgb="FF8EAADB"/>
      </patternFill>
    </fill>
    <fill>
      <patternFill patternType="solid">
        <fgColor rgb="FFC8C8C8"/>
        <bgColor rgb="FFC8C8C8"/>
      </patternFill>
    </fill>
    <fill>
      <patternFill patternType="solid">
        <fgColor rgb="FFFFE598"/>
        <bgColor rgb="FFFFE598"/>
      </patternFill>
    </fill>
    <fill>
      <patternFill patternType="solid">
        <fgColor rgb="FFC5E0B3"/>
        <bgColor rgb="FFC5E0B3"/>
      </patternFill>
    </fill>
    <fill>
      <patternFill patternType="solid">
        <fgColor rgb="FFBDD6EE"/>
        <bgColor rgb="FFBDD6EE"/>
      </patternFill>
    </fill>
    <fill>
      <patternFill patternType="solid">
        <fgColor rgb="FFEAD1DC"/>
        <bgColor rgb="FFEAD1DC"/>
      </patternFill>
    </fill>
    <fill>
      <patternFill patternType="solid">
        <fgColor rgb="FFFFC000"/>
        <bgColor rgb="FFFFC000"/>
      </patternFill>
    </fill>
    <fill>
      <patternFill patternType="solid">
        <fgColor rgb="FFFFFF00"/>
        <bgColor rgb="FFFFFF00"/>
      </patternFill>
    </fill>
    <fill>
      <patternFill patternType="solid">
        <fgColor rgb="FF62EAFC"/>
        <bgColor rgb="FF62EAFC"/>
      </patternFill>
    </fill>
    <fill>
      <patternFill patternType="solid">
        <fgColor rgb="FFFFFFFF"/>
        <bgColor rgb="FFFFFFFF"/>
      </patternFill>
    </fill>
    <fill>
      <patternFill patternType="solid">
        <fgColor rgb="FFFFFFFF"/>
        <bgColor indexed="64"/>
      </patternFill>
    </fill>
  </fills>
  <borders count="11">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rgb="FFFFFFFF"/>
      </left>
      <right style="medium">
        <color rgb="FFFFFFFF"/>
      </right>
      <top style="medium">
        <color rgb="FF442F65"/>
      </top>
      <bottom style="medium">
        <color rgb="FF442F65"/>
      </bottom>
      <diagonal/>
    </border>
    <border>
      <left style="medium">
        <color rgb="FFCCCCCC"/>
      </left>
      <right style="medium">
        <color rgb="FFFFFFFF"/>
      </right>
      <top style="medium">
        <color rgb="FF442F65"/>
      </top>
      <bottom style="medium">
        <color rgb="FF442F65"/>
      </bottom>
      <diagonal/>
    </border>
  </borders>
  <cellStyleXfs count="6">
    <xf numFmtId="0" fontId="0" fillId="0" borderId="0"/>
    <xf numFmtId="0" fontId="6" fillId="0" borderId="0"/>
    <xf numFmtId="9" fontId="2" fillId="0" borderId="0" applyFont="0" applyFill="0" applyBorder="0" applyAlignment="0" applyProtection="0"/>
    <xf numFmtId="0" fontId="25" fillId="0" borderId="0" applyNumberFormat="0" applyFill="0" applyBorder="0" applyAlignment="0" applyProtection="0"/>
    <xf numFmtId="0" fontId="2" fillId="0" borderId="0"/>
    <xf numFmtId="0" fontId="35" fillId="0" borderId="0"/>
  </cellStyleXfs>
  <cellXfs count="189">
    <xf numFmtId="0" fontId="0" fillId="0" borderId="0" xfId="0"/>
    <xf numFmtId="0" fontId="3" fillId="0" borderId="0" xfId="0" applyFont="1" applyAlignment="1">
      <alignment vertical="center" wrapText="1"/>
    </xf>
    <xf numFmtId="0" fontId="3" fillId="0" borderId="0" xfId="0" applyFont="1" applyAlignment="1" applyProtection="1">
      <alignment vertical="center" wrapText="1"/>
      <protection locked="0"/>
    </xf>
    <xf numFmtId="0" fontId="5" fillId="3" borderId="0" xfId="0" applyFont="1" applyFill="1" applyAlignment="1">
      <alignment horizontal="center" vertical="center" wrapText="1"/>
    </xf>
    <xf numFmtId="2" fontId="1" fillId="2" borderId="2" xfId="1" applyNumberFormat="1" applyFont="1" applyFill="1" applyBorder="1" applyAlignment="1">
      <alignment horizontal="center" vertical="center" wrapText="1"/>
    </xf>
    <xf numFmtId="0" fontId="7" fillId="2" borderId="2" xfId="1" applyFont="1" applyFill="1" applyBorder="1" applyAlignment="1">
      <alignment horizontal="center" vertical="center" wrapText="1"/>
    </xf>
    <xf numFmtId="49" fontId="7" fillId="2" borderId="2" xfId="1" applyNumberFormat="1" applyFont="1" applyFill="1" applyBorder="1" applyAlignment="1">
      <alignment horizontal="center" vertical="center" wrapText="1"/>
    </xf>
    <xf numFmtId="0" fontId="8" fillId="2" borderId="2" xfId="1" applyFont="1" applyFill="1" applyBorder="1" applyAlignment="1">
      <alignment horizontal="center" vertical="center" wrapText="1"/>
    </xf>
    <xf numFmtId="2" fontId="7" fillId="2" borderId="2" xfId="1" applyNumberFormat="1" applyFont="1" applyFill="1" applyBorder="1" applyAlignment="1">
      <alignment horizontal="center" vertical="center" wrapText="1"/>
    </xf>
    <xf numFmtId="0" fontId="8" fillId="5" borderId="2" xfId="1" applyFont="1" applyFill="1" applyBorder="1" applyAlignment="1">
      <alignment horizontal="center" vertical="center" wrapText="1"/>
    </xf>
    <xf numFmtId="0" fontId="8" fillId="6" borderId="2" xfId="1" applyFont="1" applyFill="1" applyBorder="1" applyAlignment="1">
      <alignment horizontal="center" vertical="center" wrapText="1"/>
    </xf>
    <xf numFmtId="0" fontId="8" fillId="7" borderId="2" xfId="1" applyFont="1" applyFill="1" applyBorder="1" applyAlignment="1">
      <alignment horizontal="center" vertical="center" wrapText="1"/>
    </xf>
    <xf numFmtId="0" fontId="8" fillId="8" borderId="2" xfId="1" applyFont="1" applyFill="1" applyBorder="1" applyAlignment="1">
      <alignment horizontal="center" vertical="center" wrapText="1"/>
    </xf>
    <xf numFmtId="0" fontId="8" fillId="8" borderId="3" xfId="1" applyFont="1" applyFill="1" applyBorder="1" applyAlignment="1">
      <alignment horizontal="center" vertical="center" wrapText="1"/>
    </xf>
    <xf numFmtId="0" fontId="8" fillId="9" borderId="2" xfId="1" applyFont="1" applyFill="1" applyBorder="1" applyAlignment="1">
      <alignment horizontal="center" vertical="center" wrapText="1"/>
    </xf>
    <xf numFmtId="0" fontId="8" fillId="10" borderId="3" xfId="1" applyFont="1" applyFill="1" applyBorder="1" applyAlignment="1">
      <alignment horizontal="center" vertical="center" wrapText="1"/>
    </xf>
    <xf numFmtId="0" fontId="8" fillId="8" borderId="4" xfId="1" applyFont="1" applyFill="1" applyBorder="1" applyAlignment="1">
      <alignment horizontal="center" vertical="center" wrapText="1"/>
    </xf>
    <xf numFmtId="0" fontId="8" fillId="11" borderId="4" xfId="1" applyFont="1" applyFill="1" applyBorder="1" applyAlignment="1">
      <alignment horizontal="center" vertical="center" wrapText="1"/>
    </xf>
    <xf numFmtId="0" fontId="9" fillId="12" borderId="4" xfId="1" applyFont="1" applyFill="1" applyBorder="1" applyAlignment="1">
      <alignment horizontal="center" vertical="center"/>
    </xf>
    <xf numFmtId="0" fontId="6" fillId="0" borderId="0" xfId="1"/>
    <xf numFmtId="0" fontId="12" fillId="0" borderId="0" xfId="1" applyFont="1"/>
    <xf numFmtId="0" fontId="12" fillId="10" borderId="0" xfId="1" applyFont="1" applyFill="1"/>
    <xf numFmtId="164" fontId="6" fillId="0" borderId="0" xfId="1" applyNumberFormat="1"/>
    <xf numFmtId="0" fontId="1" fillId="0" borderId="0" xfId="1" applyFont="1" applyAlignment="1">
      <alignment vertical="center"/>
    </xf>
    <xf numFmtId="0" fontId="6" fillId="0" borderId="0" xfId="1" applyAlignment="1">
      <alignment vertical="center"/>
    </xf>
    <xf numFmtId="0" fontId="0" fillId="0" borderId="0" xfId="0" applyAlignment="1">
      <alignment vertical="center" wrapText="1"/>
    </xf>
    <xf numFmtId="0" fontId="3" fillId="0" borderId="0" xfId="0" applyFont="1" applyAlignment="1" applyProtection="1">
      <alignment vertical="top" wrapText="1"/>
      <protection locked="0"/>
    </xf>
    <xf numFmtId="0" fontId="17" fillId="0" borderId="0" xfId="0" applyFont="1" applyAlignment="1">
      <alignment vertical="center" wrapText="1"/>
    </xf>
    <xf numFmtId="0" fontId="17" fillId="0" borderId="0" xfId="0" applyFont="1" applyAlignment="1" applyProtection="1">
      <alignment vertical="center" wrapText="1"/>
      <protection locked="0"/>
    </xf>
    <xf numFmtId="0" fontId="18" fillId="0" borderId="0" xfId="0" applyFont="1" applyAlignment="1">
      <alignment vertical="center" wrapText="1"/>
    </xf>
    <xf numFmtId="0" fontId="18" fillId="0" borderId="0" xfId="0" applyFont="1" applyAlignment="1">
      <alignment vertical="top" wrapText="1"/>
    </xf>
    <xf numFmtId="0" fontId="19" fillId="0" borderId="0" xfId="0" applyFont="1" applyAlignment="1">
      <alignment vertical="top" wrapText="1"/>
    </xf>
    <xf numFmtId="0" fontId="17" fillId="0" borderId="0" xfId="0" applyFont="1" applyAlignment="1" applyProtection="1">
      <alignment vertical="top" wrapText="1"/>
      <protection locked="0"/>
    </xf>
    <xf numFmtId="0" fontId="20" fillId="0" borderId="0" xfId="0" applyFont="1" applyAlignment="1">
      <alignment vertical="center" wrapText="1"/>
    </xf>
    <xf numFmtId="0" fontId="20" fillId="0" borderId="0" xfId="0" applyFont="1" applyAlignment="1">
      <alignment vertical="top" wrapText="1"/>
    </xf>
    <xf numFmtId="0" fontId="23" fillId="0" borderId="0" xfId="0" applyFont="1" applyAlignment="1">
      <alignment vertical="center" wrapText="1"/>
    </xf>
    <xf numFmtId="0" fontId="24" fillId="0" borderId="0" xfId="0" applyFont="1" applyAlignment="1">
      <alignment vertical="center" wrapText="1"/>
    </xf>
    <xf numFmtId="0" fontId="0" fillId="0" borderId="0" xfId="0" applyAlignment="1">
      <alignment vertical="center"/>
    </xf>
    <xf numFmtId="0" fontId="0" fillId="0" borderId="0" xfId="0" applyAlignment="1">
      <alignment horizontal="right" vertical="center"/>
    </xf>
    <xf numFmtId="49" fontId="10" fillId="0" borderId="0" xfId="1" applyNumberFormat="1" applyFont="1" applyAlignment="1">
      <alignment horizontal="center" vertical="center" wrapText="1"/>
    </xf>
    <xf numFmtId="0" fontId="0" fillId="0" borderId="4" xfId="0" applyBorder="1" applyAlignment="1">
      <alignment vertical="center" wrapText="1"/>
    </xf>
    <xf numFmtId="0" fontId="10" fillId="0" borderId="0" xfId="1" applyFont="1" applyAlignment="1">
      <alignment horizontal="left" vertical="center" wrapText="1"/>
    </xf>
    <xf numFmtId="0" fontId="0" fillId="0" borderId="6" xfId="0" applyBorder="1" applyAlignment="1">
      <alignment vertical="center" wrapText="1"/>
    </xf>
    <xf numFmtId="0" fontId="10" fillId="0" borderId="0" xfId="1" applyFont="1" applyAlignment="1">
      <alignment horizontal="center" vertical="center" wrapText="1"/>
    </xf>
    <xf numFmtId="0" fontId="10" fillId="0" borderId="0" xfId="1" applyFont="1" applyAlignment="1">
      <alignment horizontal="center" vertical="center"/>
    </xf>
    <xf numFmtId="0" fontId="13" fillId="0" borderId="0" xfId="1" applyFont="1" applyAlignment="1">
      <alignment horizontal="center" vertical="center"/>
    </xf>
    <xf numFmtId="0" fontId="10" fillId="14" borderId="0" xfId="1" applyFont="1" applyFill="1" applyAlignment="1">
      <alignment horizontal="center" vertical="center"/>
    </xf>
    <xf numFmtId="0" fontId="0" fillId="0" borderId="5" xfId="0" applyBorder="1" applyAlignment="1">
      <alignment vertical="center" wrapText="1"/>
    </xf>
    <xf numFmtId="49" fontId="10" fillId="0" borderId="0" xfId="1" applyNumberFormat="1" applyFont="1" applyAlignment="1">
      <alignment horizontal="left" vertical="center" wrapText="1"/>
    </xf>
    <xf numFmtId="0" fontId="14" fillId="0" borderId="0" xfId="1" applyFont="1" applyAlignment="1">
      <alignment horizontal="center" vertical="center" wrapText="1"/>
    </xf>
    <xf numFmtId="0" fontId="6" fillId="0" borderId="0" xfId="1" applyAlignment="1">
      <alignment vertical="center" wrapText="1"/>
    </xf>
    <xf numFmtId="0" fontId="26" fillId="0" borderId="0" xfId="0" applyFont="1" applyAlignment="1">
      <alignment vertical="center" wrapText="1"/>
    </xf>
    <xf numFmtId="0" fontId="27" fillId="0" borderId="0" xfId="0" applyFont="1" applyAlignment="1">
      <alignment vertical="center" wrapText="1"/>
    </xf>
    <xf numFmtId="0" fontId="29" fillId="14" borderId="0" xfId="0" applyFont="1" applyFill="1" applyAlignment="1">
      <alignment vertical="center" wrapText="1"/>
    </xf>
    <xf numFmtId="0" fontId="30" fillId="0" borderId="0" xfId="0" applyFont="1" applyAlignment="1">
      <alignment vertical="center" wrapText="1"/>
    </xf>
    <xf numFmtId="0" fontId="28" fillId="0" borderId="0" xfId="0" applyFont="1" applyAlignment="1">
      <alignment vertical="center" wrapText="1"/>
    </xf>
    <xf numFmtId="0" fontId="28" fillId="0" borderId="0" xfId="0" applyFont="1" applyAlignment="1" applyProtection="1">
      <alignment vertical="center" wrapText="1"/>
      <protection locked="0"/>
    </xf>
    <xf numFmtId="0" fontId="0" fillId="0" borderId="0" xfId="0" applyAlignment="1">
      <alignment horizontal="center" vertical="center"/>
    </xf>
    <xf numFmtId="165" fontId="20" fillId="0" borderId="0" xfId="0" applyNumberFormat="1" applyFont="1" applyAlignment="1">
      <alignment vertical="center" wrapText="1"/>
    </xf>
    <xf numFmtId="0" fontId="2" fillId="0" borderId="0" xfId="4" applyAlignment="1">
      <alignment vertical="center"/>
    </xf>
    <xf numFmtId="0" fontId="12" fillId="0" borderId="0" xfId="4" applyFont="1"/>
    <xf numFmtId="0" fontId="12" fillId="10" borderId="0" xfId="4" applyFont="1" applyFill="1"/>
    <xf numFmtId="164" fontId="2" fillId="0" borderId="0" xfId="4" applyNumberFormat="1"/>
    <xf numFmtId="0" fontId="1" fillId="0" borderId="0" xfId="4" applyFont="1" applyAlignment="1">
      <alignment vertical="center"/>
    </xf>
    <xf numFmtId="0" fontId="2" fillId="0" borderId="0" xfId="4"/>
    <xf numFmtId="2" fontId="2" fillId="0" borderId="0" xfId="4" applyNumberFormat="1"/>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8" xfId="0" applyFont="1" applyBorder="1" applyAlignment="1" applyProtection="1">
      <alignment vertical="center" wrapText="1"/>
      <protection locked="0"/>
    </xf>
    <xf numFmtId="0" fontId="31" fillId="0" borderId="0" xfId="0" applyFont="1" applyAlignment="1">
      <alignment vertical="center" wrapText="1"/>
    </xf>
    <xf numFmtId="0" fontId="32" fillId="0" borderId="0" xfId="0" applyFont="1" applyAlignment="1">
      <alignment vertical="center" wrapText="1"/>
    </xf>
    <xf numFmtId="0" fontId="33" fillId="0" borderId="0" xfId="0" applyFont="1" applyAlignment="1">
      <alignment vertical="center" wrapText="1"/>
    </xf>
    <xf numFmtId="49" fontId="0" fillId="0" borderId="0" xfId="0" applyNumberFormat="1" applyAlignment="1">
      <alignment vertical="center"/>
    </xf>
    <xf numFmtId="0" fontId="26" fillId="0" borderId="7" xfId="0" applyFont="1" applyBorder="1" applyAlignment="1">
      <alignment vertical="center" wrapText="1"/>
    </xf>
    <xf numFmtId="0" fontId="26" fillId="0" borderId="8" xfId="0" applyFont="1" applyBorder="1" applyAlignment="1">
      <alignment vertical="center" wrapText="1"/>
    </xf>
    <xf numFmtId="0" fontId="0" fillId="0" borderId="4" xfId="0" applyBorder="1" applyAlignment="1">
      <alignment vertical="center"/>
    </xf>
    <xf numFmtId="0" fontId="11" fillId="0" borderId="0" xfId="1" applyFont="1" applyAlignment="1">
      <alignment horizontal="center" vertical="center" wrapText="1"/>
    </xf>
    <xf numFmtId="0" fontId="0" fillId="0" borderId="5" xfId="0" applyBorder="1" applyAlignment="1">
      <alignment vertical="center"/>
    </xf>
    <xf numFmtId="0" fontId="6" fillId="0" borderId="0" xfId="1" applyAlignment="1">
      <alignment horizontal="left" vertical="center"/>
    </xf>
    <xf numFmtId="1" fontId="0" fillId="0" borderId="0" xfId="0" applyNumberFormat="1" applyAlignment="1">
      <alignment horizontal="right" vertical="center" wrapText="1"/>
    </xf>
    <xf numFmtId="49" fontId="0" fillId="0" borderId="0" xfId="0" applyNumberFormat="1" applyAlignment="1">
      <alignment horizontal="right" vertical="center" wrapText="1"/>
    </xf>
    <xf numFmtId="49" fontId="10" fillId="0" borderId="0" xfId="4" applyNumberFormat="1" applyFont="1" applyAlignment="1">
      <alignment horizontal="center" vertical="center" wrapText="1"/>
    </xf>
    <xf numFmtId="0" fontId="10" fillId="0" borderId="0" xfId="4" applyFont="1" applyAlignment="1">
      <alignment horizontal="left" vertical="center" wrapText="1"/>
    </xf>
    <xf numFmtId="0" fontId="10" fillId="0" borderId="0" xfId="4" applyFont="1" applyAlignment="1">
      <alignment horizontal="center" vertical="center"/>
    </xf>
    <xf numFmtId="0" fontId="10" fillId="0" borderId="0" xfId="4" applyFont="1" applyAlignment="1">
      <alignment horizontal="center" vertical="center" wrapText="1"/>
    </xf>
    <xf numFmtId="0" fontId="0" fillId="0" borderId="6" xfId="0" applyBorder="1" applyAlignment="1">
      <alignment vertical="center"/>
    </xf>
    <xf numFmtId="0" fontId="11" fillId="0" borderId="0" xfId="4" applyFont="1" applyAlignment="1">
      <alignment horizontal="center" vertical="center" wrapText="1"/>
    </xf>
    <xf numFmtId="0" fontId="2" fillId="0" borderId="0" xfId="4" applyAlignment="1">
      <alignment horizontal="left" vertical="center"/>
    </xf>
    <xf numFmtId="0" fontId="14" fillId="0" borderId="0" xfId="4" applyFont="1" applyAlignment="1">
      <alignment vertical="center"/>
    </xf>
    <xf numFmtId="0" fontId="2" fillId="0" borderId="0" xfId="4" applyAlignment="1">
      <alignment vertical="center" wrapText="1"/>
    </xf>
    <xf numFmtId="0" fontId="7" fillId="2" borderId="1" xfId="1" applyFont="1" applyFill="1" applyBorder="1" applyAlignment="1">
      <alignment horizontal="right" vertical="center" wrapText="1"/>
    </xf>
    <xf numFmtId="1" fontId="0" fillId="0" borderId="4" xfId="0" applyNumberFormat="1" applyBorder="1" applyAlignment="1">
      <alignment horizontal="right" vertical="center" wrapText="1"/>
    </xf>
    <xf numFmtId="49" fontId="0" fillId="0" borderId="4" xfId="0" applyNumberFormat="1" applyBorder="1" applyAlignment="1">
      <alignment horizontal="right" vertical="center"/>
    </xf>
    <xf numFmtId="49" fontId="0" fillId="0" borderId="4" xfId="0" applyNumberFormat="1" applyBorder="1" applyAlignment="1">
      <alignment horizontal="right" vertical="center" wrapText="1"/>
    </xf>
    <xf numFmtId="49" fontId="10" fillId="13" borderId="0" xfId="4" applyNumberFormat="1" applyFont="1" applyFill="1" applyAlignment="1">
      <alignment horizontal="right" vertical="center" wrapText="1"/>
    </xf>
    <xf numFmtId="49" fontId="10" fillId="0" borderId="0" xfId="1" applyNumberFormat="1" applyFont="1" applyAlignment="1">
      <alignment horizontal="right" vertical="center" wrapText="1"/>
    </xf>
    <xf numFmtId="0" fontId="10" fillId="13" borderId="0" xfId="1" applyFont="1" applyFill="1" applyAlignment="1">
      <alignment horizontal="right" vertical="center" wrapText="1"/>
    </xf>
    <xf numFmtId="1" fontId="0" fillId="0" borderId="0" xfId="0" applyNumberFormat="1" applyAlignment="1">
      <alignment horizontal="right" vertical="center"/>
    </xf>
    <xf numFmtId="0" fontId="6" fillId="0" borderId="0" xfId="1" applyAlignment="1">
      <alignment horizontal="right"/>
    </xf>
    <xf numFmtId="0" fontId="4" fillId="3" borderId="0" xfId="0" applyFont="1" applyFill="1" applyAlignment="1">
      <alignment vertical="center" wrapText="1"/>
    </xf>
    <xf numFmtId="0" fontId="4" fillId="3" borderId="0" xfId="0" applyFont="1" applyFill="1" applyAlignment="1">
      <alignment horizontal="center" vertical="center" wrapText="1"/>
    </xf>
    <xf numFmtId="0" fontId="36" fillId="0" borderId="0" xfId="5" applyFont="1"/>
    <xf numFmtId="0" fontId="36" fillId="0" borderId="0" xfId="5" applyFont="1" applyAlignment="1">
      <alignment horizontal="right"/>
    </xf>
    <xf numFmtId="0" fontId="34" fillId="0" borderId="0" xfId="5" applyFont="1" applyAlignment="1">
      <alignment horizontal="left" vertical="center" wrapText="1"/>
    </xf>
    <xf numFmtId="0" fontId="36" fillId="0" borderId="0" xfId="5" applyFont="1" applyAlignment="1">
      <alignment horizontal="left" vertical="center" wrapText="1"/>
    </xf>
    <xf numFmtId="4" fontId="34" fillId="0" borderId="0" xfId="5" applyNumberFormat="1" applyFont="1"/>
    <xf numFmtId="0" fontId="36" fillId="0" borderId="0" xfId="5" applyFont="1" applyAlignment="1">
      <alignment horizontal="right" wrapText="1"/>
    </xf>
    <xf numFmtId="0" fontId="36" fillId="0" borderId="0" xfId="5" applyFont="1" applyAlignment="1">
      <alignment horizontal="center" wrapText="1"/>
    </xf>
    <xf numFmtId="0" fontId="36" fillId="0" borderId="0" xfId="5" applyFont="1" applyAlignment="1">
      <alignment horizontal="center" vertical="center"/>
    </xf>
    <xf numFmtId="0" fontId="22" fillId="4" borderId="0" xfId="0" applyFont="1" applyFill="1" applyAlignment="1" applyProtection="1">
      <alignment horizontal="right" vertical="center" wrapText="1"/>
      <protection locked="0"/>
    </xf>
    <xf numFmtId="0" fontId="22" fillId="3" borderId="0" xfId="0" applyFont="1" applyFill="1" applyAlignment="1">
      <alignment horizontal="center" wrapText="1"/>
    </xf>
    <xf numFmtId="0" fontId="4" fillId="3" borderId="0" xfId="0" applyFont="1" applyFill="1" applyAlignment="1">
      <alignment horizontal="center" wrapText="1"/>
    </xf>
    <xf numFmtId="0" fontId="4" fillId="0" borderId="0" xfId="0" applyFont="1" applyAlignment="1">
      <alignment horizontal="center" wrapText="1"/>
    </xf>
    <xf numFmtId="0" fontId="15" fillId="0" borderId="0" xfId="0" applyFont="1" applyAlignment="1">
      <alignment horizontal="center" wrapText="1"/>
    </xf>
    <xf numFmtId="0" fontId="4" fillId="0" borderId="0" xfId="0" applyFont="1" applyAlignment="1">
      <alignment vertical="center" wrapText="1"/>
    </xf>
    <xf numFmtId="0" fontId="4" fillId="0" borderId="0" xfId="0" applyFont="1" applyAlignment="1">
      <alignment horizontal="center" vertical="center" wrapText="1"/>
    </xf>
    <xf numFmtId="0" fontId="2" fillId="0" borderId="0" xfId="0" applyFont="1" applyAlignment="1">
      <alignment wrapText="1"/>
    </xf>
    <xf numFmtId="0" fontId="22" fillId="0" borderId="0" xfId="0" applyFont="1" applyAlignment="1">
      <alignment horizontal="center"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3" fontId="0" fillId="0" borderId="0" xfId="0" applyNumberFormat="1"/>
    <xf numFmtId="49" fontId="19" fillId="0" borderId="0" xfId="0" applyNumberFormat="1" applyFont="1" applyAlignment="1">
      <alignment horizontal="center" vertical="center" wrapText="1"/>
    </xf>
    <xf numFmtId="49" fontId="19" fillId="0" borderId="0" xfId="0" applyNumberFormat="1" applyFont="1" applyAlignment="1">
      <alignment horizontal="center" vertical="center"/>
    </xf>
    <xf numFmtId="0" fontId="0" fillId="0" borderId="0" xfId="0" applyAlignment="1">
      <alignment horizontal="center" vertical="center" wrapText="1"/>
    </xf>
    <xf numFmtId="0" fontId="0" fillId="0" borderId="0" xfId="0" applyAlignment="1">
      <alignment horizontal="right" vertical="center" wrapText="1"/>
    </xf>
    <xf numFmtId="49" fontId="1" fillId="4" borderId="0" xfId="0" applyNumberFormat="1" applyFont="1" applyFill="1" applyAlignment="1">
      <alignment horizontal="right" vertical="center" wrapText="1"/>
    </xf>
    <xf numFmtId="0" fontId="4" fillId="3" borderId="0" xfId="0" applyFont="1" applyFill="1" applyAlignment="1">
      <alignment horizontal="right" vertical="center" wrapText="1"/>
    </xf>
    <xf numFmtId="0" fontId="15" fillId="0" borderId="0" xfId="0" applyFont="1" applyAlignment="1">
      <alignment horizontal="right" vertical="center" wrapText="1"/>
    </xf>
    <xf numFmtId="49" fontId="36" fillId="2" borderId="0" xfId="0" applyNumberFormat="1" applyFont="1" applyFill="1" applyAlignment="1">
      <alignment vertical="center" wrapText="1"/>
    </xf>
    <xf numFmtId="0" fontId="36" fillId="2" borderId="0" xfId="0" applyFont="1" applyFill="1" applyAlignment="1">
      <alignment vertical="center" wrapText="1"/>
    </xf>
    <xf numFmtId="0" fontId="0" fillId="0" borderId="0" xfId="0" applyAlignment="1">
      <alignment horizontal="right" wrapText="1"/>
    </xf>
    <xf numFmtId="0" fontId="25" fillId="0" borderId="0" xfId="3" applyBorder="1" applyAlignment="1">
      <alignment vertical="center" wrapText="1"/>
    </xf>
    <xf numFmtId="49" fontId="34" fillId="0" borderId="0" xfId="0" applyNumberFormat="1" applyFont="1" applyAlignment="1">
      <alignment vertical="center" wrapText="1"/>
    </xf>
    <xf numFmtId="49" fontId="34" fillId="0" borderId="0" xfId="0" applyNumberFormat="1" applyFont="1" applyAlignment="1">
      <alignment vertical="center"/>
    </xf>
    <xf numFmtId="0" fontId="34" fillId="0" borderId="0" xfId="0" applyFont="1" applyAlignment="1">
      <alignment wrapText="1"/>
    </xf>
    <xf numFmtId="0" fontId="34" fillId="0" borderId="0" xfId="0" applyFont="1" applyAlignment="1">
      <alignment vertical="center" wrapText="1"/>
    </xf>
    <xf numFmtId="4" fontId="34" fillId="0" borderId="0" xfId="0" applyNumberFormat="1" applyFont="1" applyAlignment="1">
      <alignment horizontal="right"/>
    </xf>
    <xf numFmtId="0" fontId="34" fillId="0" borderId="0" xfId="0" applyFont="1"/>
    <xf numFmtId="4" fontId="34" fillId="0" borderId="0" xfId="0" applyNumberFormat="1" applyFont="1"/>
    <xf numFmtId="49" fontId="10" fillId="0" borderId="4" xfId="4" applyNumberFormat="1" applyFont="1" applyBorder="1" applyAlignment="1">
      <alignment horizontal="right" vertical="center" wrapText="1"/>
    </xf>
    <xf numFmtId="0" fontId="6" fillId="0" borderId="4" xfId="1" applyBorder="1" applyAlignment="1">
      <alignment horizontal="right"/>
    </xf>
    <xf numFmtId="0" fontId="10" fillId="0" borderId="4" xfId="4" applyFont="1" applyBorder="1" applyAlignment="1">
      <alignment horizontal="left" vertical="center" wrapText="1"/>
    </xf>
    <xf numFmtId="0" fontId="6" fillId="0" borderId="4" xfId="1" applyBorder="1"/>
    <xf numFmtId="0" fontId="10" fillId="0" borderId="6" xfId="4" applyFont="1" applyBorder="1" applyAlignment="1">
      <alignment horizontal="center" vertical="center"/>
    </xf>
    <xf numFmtId="0" fontId="6" fillId="0" borderId="6" xfId="1" applyBorder="1"/>
    <xf numFmtId="0" fontId="13" fillId="0" borderId="6" xfId="4" applyFont="1" applyBorder="1" applyAlignment="1">
      <alignment horizontal="center" vertical="center"/>
    </xf>
    <xf numFmtId="0" fontId="10" fillId="14" borderId="6" xfId="4" applyFont="1" applyFill="1" applyBorder="1" applyAlignment="1">
      <alignment horizontal="center" vertical="center"/>
    </xf>
    <xf numFmtId="49" fontId="10" fillId="0" borderId="5" xfId="4" applyNumberFormat="1" applyFont="1" applyBorder="1" applyAlignment="1">
      <alignment horizontal="left" vertical="center" wrapText="1"/>
    </xf>
    <xf numFmtId="0" fontId="6" fillId="0" borderId="5" xfId="1" applyBorder="1"/>
    <xf numFmtId="0" fontId="2" fillId="0" borderId="5" xfId="4" applyBorder="1" applyAlignment="1">
      <alignment vertical="center"/>
    </xf>
    <xf numFmtId="0" fontId="14" fillId="0" borderId="4" xfId="4" applyFont="1" applyBorder="1" applyAlignment="1">
      <alignment horizontal="center" vertical="center" wrapText="1"/>
    </xf>
    <xf numFmtId="0" fontId="2" fillId="0" borderId="4" xfId="4" applyBorder="1" applyAlignment="1">
      <alignment vertical="center"/>
    </xf>
    <xf numFmtId="0" fontId="2" fillId="0" borderId="4" xfId="4" applyBorder="1" applyAlignment="1">
      <alignment vertical="center" wrapText="1"/>
    </xf>
    <xf numFmtId="0" fontId="1" fillId="0" borderId="4" xfId="4" applyFont="1" applyBorder="1" applyAlignment="1">
      <alignment vertical="center"/>
    </xf>
    <xf numFmtId="0" fontId="10" fillId="0" borderId="4" xfId="4" applyFont="1" applyBorder="1" applyAlignment="1">
      <alignment horizontal="center" vertical="center" wrapText="1"/>
    </xf>
    <xf numFmtId="0" fontId="10" fillId="0" borderId="4" xfId="4" applyFont="1" applyBorder="1" applyAlignment="1">
      <alignment horizontal="center" vertical="center"/>
    </xf>
    <xf numFmtId="0" fontId="36" fillId="0" borderId="0" xfId="5" applyFont="1" applyAlignment="1">
      <alignment horizontal="right" vertical="center"/>
    </xf>
    <xf numFmtId="0" fontId="34" fillId="0" borderId="0" xfId="5" applyFont="1" applyAlignment="1">
      <alignment horizontal="right" vertical="center"/>
    </xf>
    <xf numFmtId="0" fontId="34" fillId="0" borderId="0" xfId="0" applyFont="1" applyAlignment="1">
      <alignment horizontal="right" vertical="center"/>
    </xf>
    <xf numFmtId="0" fontId="25" fillId="0" borderId="0" xfId="3" applyAlignment="1">
      <alignment vertical="center" wrapText="1"/>
    </xf>
    <xf numFmtId="0" fontId="40" fillId="0" borderId="0" xfId="0" applyFont="1" applyAlignment="1">
      <alignment horizontal="center" vertical="center" wrapText="1"/>
    </xf>
    <xf numFmtId="49" fontId="15" fillId="0" borderId="0" xfId="0" applyNumberFormat="1" applyFont="1" applyAlignment="1">
      <alignment horizontal="right" vertical="center" wrapText="1"/>
    </xf>
    <xf numFmtId="49" fontId="15" fillId="2" borderId="0" xfId="0" applyNumberFormat="1" applyFont="1" applyFill="1" applyAlignment="1">
      <alignment horizontal="right" vertical="center" wrapText="1"/>
    </xf>
    <xf numFmtId="0" fontId="41" fillId="15" borderId="0" xfId="0" applyFont="1" applyFill="1" applyAlignment="1">
      <alignment horizontal="right" vertical="center" wrapText="1"/>
    </xf>
    <xf numFmtId="0" fontId="0" fillId="0" borderId="0" xfId="1" applyFont="1" applyAlignment="1">
      <alignment horizontal="right" vertical="center"/>
    </xf>
    <xf numFmtId="0" fontId="0" fillId="0" borderId="0" xfId="1" applyFont="1" applyAlignment="1">
      <alignment vertical="center" wrapText="1"/>
    </xf>
    <xf numFmtId="0" fontId="0" fillId="0" borderId="0" xfId="1" applyFont="1"/>
    <xf numFmtId="0" fontId="0" fillId="0" borderId="0" xfId="0" quotePrefix="1" applyAlignment="1">
      <alignment horizontal="right" vertical="center"/>
    </xf>
    <xf numFmtId="0" fontId="37" fillId="0" borderId="0" xfId="1" applyFont="1"/>
    <xf numFmtId="0" fontId="39" fillId="0" borderId="0" xfId="0" applyFont="1"/>
    <xf numFmtId="0" fontId="0" fillId="0" borderId="0" xfId="0" quotePrefix="1"/>
    <xf numFmtId="0" fontId="2" fillId="0" borderId="0" xfId="1" applyFont="1" applyAlignment="1">
      <alignment horizontal="right" vertical="center"/>
    </xf>
    <xf numFmtId="0" fontId="2" fillId="0" borderId="0" xfId="1" applyFont="1" applyAlignment="1">
      <alignment vertical="center" wrapText="1"/>
    </xf>
    <xf numFmtId="0" fontId="38" fillId="0" borderId="0" xfId="5" applyFont="1" applyAlignment="1">
      <alignment horizontal="right"/>
    </xf>
    <xf numFmtId="0" fontId="38" fillId="0" borderId="0" xfId="5" applyFont="1"/>
    <xf numFmtId="0" fontId="37" fillId="0" borderId="0" xfId="1" quotePrefix="1" applyFont="1"/>
    <xf numFmtId="0" fontId="37" fillId="0" borderId="0" xfId="5" applyFont="1"/>
    <xf numFmtId="0" fontId="41" fillId="15" borderId="0" xfId="0" applyFont="1" applyFill="1" applyAlignment="1">
      <alignment vertical="center" wrapText="1"/>
    </xf>
    <xf numFmtId="0" fontId="15" fillId="0" borderId="0" xfId="0" applyFont="1" applyAlignment="1">
      <alignment vertical="center" wrapText="1"/>
    </xf>
    <xf numFmtId="0" fontId="15" fillId="2" borderId="0" xfId="0" applyFont="1" applyFill="1" applyAlignment="1">
      <alignment vertical="center" wrapText="1"/>
    </xf>
    <xf numFmtId="0" fontId="15" fillId="0" borderId="0" xfId="0" applyFont="1" applyAlignment="1">
      <alignment vertical="center"/>
    </xf>
    <xf numFmtId="0" fontId="0" fillId="0" borderId="9" xfId="0" applyBorder="1" applyAlignment="1">
      <alignment vertical="center" wrapText="1"/>
    </xf>
    <xf numFmtId="0" fontId="0" fillId="0" borderId="10" xfId="0" applyBorder="1" applyAlignment="1">
      <alignment vertical="center" wrapText="1"/>
    </xf>
    <xf numFmtId="49" fontId="15" fillId="0" borderId="0" xfId="0" applyNumberFormat="1"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center" wrapText="1"/>
    </xf>
    <xf numFmtId="0" fontId="4" fillId="3" borderId="0" xfId="0" applyFont="1" applyFill="1" applyAlignment="1">
      <alignment horizontal="center" vertical="center" wrapText="1"/>
    </xf>
    <xf numFmtId="0" fontId="36" fillId="0" borderId="0" xfId="5" applyFont="1" applyAlignment="1">
      <alignment horizontal="center" wrapText="1"/>
    </xf>
  </cellXfs>
  <cellStyles count="6">
    <cellStyle name="Hipervínculo" xfId="3" builtinId="8"/>
    <cellStyle name="Normal" xfId="0" builtinId="0"/>
    <cellStyle name="Normal 2" xfId="1" xr:uid="{00000000-0005-0000-0000-000002000000}"/>
    <cellStyle name="Normal 2 2" xfId="4" xr:uid="{00000000-0005-0000-0000-000003000000}"/>
    <cellStyle name="Normal 3" xfId="5" xr:uid="{FC639ED6-F02A-4B57-9F17-F1C539C2D35E}"/>
    <cellStyle name="Porcentaje 2" xfId="2" xr:uid="{00000000-0005-0000-0000-000005000000}"/>
  </cellStyles>
  <dxfs count="3">
    <dxf>
      <font>
        <b/>
        <i val="0"/>
        <color rgb="FF9C0006"/>
      </font>
    </dxf>
    <dxf>
      <font>
        <b/>
        <i val="0"/>
        <color rgb="FFC00000"/>
      </font>
    </dxf>
    <dxf>
      <font>
        <b/>
        <i val="0"/>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5" Type="http://schemas.openxmlformats.org/officeDocument/2006/relationships/worksheet" Target="worksheets/sheet5.xml" /><Relationship Id="rId4" Type="http://schemas.openxmlformats.org/officeDocument/2006/relationships/worksheet" Target="worksheets/sheet4.xml" /><Relationship Id="rId9" Type="http://schemas.openxmlformats.org/officeDocument/2006/relationships/calcChain" Target="calcChain.xml"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 /><Relationship Id="rId2" Type="http://schemas.openxmlformats.org/officeDocument/2006/relationships/hyperlink" Target="mailto:ediaz@cruzroja.org.ar" TargetMode="External" /><Relationship Id="rId1" Type="http://schemas.openxmlformats.org/officeDocument/2006/relationships/hyperlink" Target="mailto:andrefabianar@gmail.com" TargetMode="External" /><Relationship Id="rId5" Type="http://schemas.openxmlformats.org/officeDocument/2006/relationships/comments" Target="../comments1.xml" /><Relationship Id="rId4" Type="http://schemas.openxmlformats.org/officeDocument/2006/relationships/vmlDrawing" Target="../drawings/vmlDrawing1.vml" /></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 /><Relationship Id="rId2" Type="http://schemas.openxmlformats.org/officeDocument/2006/relationships/vmlDrawing" Target="../drawings/vmlDrawing2.vml" /><Relationship Id="rId1" Type="http://schemas.openxmlformats.org/officeDocument/2006/relationships/printerSettings" Target="../printerSettings/printerSettings2.bin" /></Relationships>
</file>

<file path=xl/worksheets/_rels/sheet5.xml.rels><?xml version="1.0" encoding="UTF-8" standalone="yes"?>
<Relationships xmlns="http://schemas.openxmlformats.org/package/2006/relationships"><Relationship Id="rId3" Type="http://schemas.openxmlformats.org/officeDocument/2006/relationships/hyperlink" Target="mailto:fabiana.gonzalez4@gmail.com" TargetMode="External" /><Relationship Id="rId2" Type="http://schemas.openxmlformats.org/officeDocument/2006/relationships/hyperlink" Target="mailto:llapelle@yahoo.com.ar" TargetMode="External" /><Relationship Id="rId1" Type="http://schemas.openxmlformats.org/officeDocument/2006/relationships/hyperlink" Target="mailto:carrilloanexovillamaria@gmail.com" TargetMode="External" /><Relationship Id="rId6" Type="http://schemas.openxmlformats.org/officeDocument/2006/relationships/comments" Target="../comments3.xml" /><Relationship Id="rId5" Type="http://schemas.openxmlformats.org/officeDocument/2006/relationships/vmlDrawing" Target="../drawings/vmlDrawing3.vml" /><Relationship Id="rId4"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20"/>
  <sheetViews>
    <sheetView topLeftCell="J271" workbookViewId="0">
      <selection activeCell="J274" sqref="J274"/>
    </sheetView>
  </sheetViews>
  <sheetFormatPr defaultColWidth="11.43359375" defaultRowHeight="45" customHeight="1" x14ac:dyDescent="0.2"/>
  <cols>
    <col min="1" max="1" width="4.03515625" style="37" bestFit="1" customWidth="1"/>
    <col min="2" max="2" width="9.953125" style="162" bestFit="1" customWidth="1"/>
    <col min="3" max="3" width="66.5859375" style="25" customWidth="1"/>
    <col min="4" max="4" width="18.96484375" style="25" customWidth="1"/>
    <col min="5" max="5" width="19.37109375" style="25" customWidth="1"/>
    <col min="6" max="6" width="22.328125" style="25" customWidth="1"/>
    <col min="7" max="7" width="11.02734375" style="25" customWidth="1"/>
    <col min="8" max="8" width="17.21875" style="25" customWidth="1"/>
    <col min="9" max="9" width="20.04296875" style="25" customWidth="1"/>
    <col min="10" max="10" width="25.828125" style="25" customWidth="1"/>
    <col min="11" max="11" width="23.40625" style="25" customWidth="1"/>
    <col min="12" max="12" width="35.2421875" style="25" customWidth="1"/>
    <col min="13" max="14" width="22.46484375" style="25" customWidth="1"/>
    <col min="15" max="15" width="25.2890625" style="25" customWidth="1"/>
    <col min="16" max="16" width="41.56640625" style="25" customWidth="1"/>
    <col min="17" max="17" width="33.359375" style="25" customWidth="1"/>
    <col min="18" max="18" width="30.8046875" style="25" customWidth="1"/>
    <col min="19" max="19" width="25.421875" style="25" customWidth="1"/>
    <col min="20" max="20" width="43.71875" style="25" customWidth="1"/>
    <col min="21" max="21" width="11.43359375" style="179" customWidth="1"/>
    <col min="22" max="22" width="11.43359375" style="25" customWidth="1"/>
    <col min="23" max="16384" width="11.43359375" style="37"/>
  </cols>
  <sheetData>
    <row r="1" spans="1:25" ht="45" customHeight="1" x14ac:dyDescent="0.35">
      <c r="C1" s="161" t="s">
        <v>2775</v>
      </c>
    </row>
    <row r="2" spans="1:25" ht="15" x14ac:dyDescent="0.2">
      <c r="B2" s="80">
        <v>1</v>
      </c>
      <c r="C2" s="25">
        <v>2</v>
      </c>
      <c r="D2" s="79">
        <v>3</v>
      </c>
      <c r="E2" s="25">
        <v>4</v>
      </c>
      <c r="F2" s="79">
        <v>5</v>
      </c>
      <c r="G2" s="25">
        <v>6</v>
      </c>
      <c r="H2" s="79">
        <v>7</v>
      </c>
      <c r="I2" s="25">
        <v>8</v>
      </c>
      <c r="J2" s="79">
        <v>9</v>
      </c>
      <c r="K2" s="25">
        <v>10</v>
      </c>
      <c r="L2" s="79">
        <v>11</v>
      </c>
      <c r="M2" s="79">
        <v>12</v>
      </c>
      <c r="N2" s="25">
        <v>13</v>
      </c>
      <c r="O2" s="79">
        <v>14</v>
      </c>
      <c r="P2" s="25">
        <v>15</v>
      </c>
      <c r="Q2" s="79">
        <v>16</v>
      </c>
      <c r="R2" s="79">
        <v>17</v>
      </c>
      <c r="S2" s="25">
        <v>18</v>
      </c>
      <c r="T2" s="79">
        <v>19</v>
      </c>
      <c r="U2" s="179">
        <v>20</v>
      </c>
      <c r="V2" s="79"/>
    </row>
    <row r="3" spans="1:25" ht="30" customHeight="1" x14ac:dyDescent="0.2">
      <c r="A3" s="57"/>
      <c r="B3" s="163" t="s">
        <v>0</v>
      </c>
      <c r="C3" s="129" t="s">
        <v>1</v>
      </c>
      <c r="D3" s="130" t="s">
        <v>17</v>
      </c>
      <c r="E3" s="130" t="s">
        <v>2</v>
      </c>
      <c r="F3" s="130" t="s">
        <v>3</v>
      </c>
      <c r="G3" s="130" t="s">
        <v>12</v>
      </c>
      <c r="H3" s="130" t="s">
        <v>4</v>
      </c>
      <c r="I3" s="130" t="s">
        <v>5</v>
      </c>
      <c r="J3" s="130" t="s">
        <v>6</v>
      </c>
      <c r="K3" s="129" t="s">
        <v>7</v>
      </c>
      <c r="L3" s="130" t="s">
        <v>8</v>
      </c>
      <c r="M3" s="130" t="s">
        <v>9</v>
      </c>
      <c r="N3" s="130" t="s">
        <v>13</v>
      </c>
      <c r="O3" s="130" t="s">
        <v>441</v>
      </c>
      <c r="P3" s="130" t="s">
        <v>440</v>
      </c>
      <c r="Q3" s="130" t="s">
        <v>10</v>
      </c>
      <c r="R3" s="130" t="s">
        <v>13</v>
      </c>
      <c r="S3" s="130" t="s">
        <v>439</v>
      </c>
      <c r="T3" s="130" t="s">
        <v>438</v>
      </c>
      <c r="U3" s="180" t="s">
        <v>425</v>
      </c>
    </row>
    <row r="4" spans="1:25" ht="30" customHeight="1" x14ac:dyDescent="0.2">
      <c r="A4">
        <v>1</v>
      </c>
      <c r="B4" s="37">
        <v>20017500</v>
      </c>
      <c r="C4" s="25" t="s">
        <v>596</v>
      </c>
      <c r="D4" s="25" t="s">
        <v>137</v>
      </c>
      <c r="E4" s="25" t="s">
        <v>137</v>
      </c>
      <c r="F4" s="25" t="s">
        <v>137</v>
      </c>
      <c r="G4" s="25">
        <v>1194</v>
      </c>
      <c r="H4" s="25" t="s">
        <v>134</v>
      </c>
      <c r="I4" s="25" t="s">
        <v>83</v>
      </c>
      <c r="J4" s="25" t="s">
        <v>1844</v>
      </c>
      <c r="K4" s="25">
        <v>1153830770</v>
      </c>
      <c r="L4" s="25" t="s">
        <v>1845</v>
      </c>
      <c r="M4" s="25" t="s">
        <v>1846</v>
      </c>
      <c r="N4" s="25" t="s">
        <v>1121</v>
      </c>
      <c r="O4" s="25">
        <v>1153830770</v>
      </c>
      <c r="P4" s="25" t="s">
        <v>1845</v>
      </c>
      <c r="Q4" s="25" t="s">
        <v>1847</v>
      </c>
      <c r="R4" s="25" t="s">
        <v>1119</v>
      </c>
      <c r="S4" s="25">
        <v>1151500879</v>
      </c>
      <c r="T4" s="25" t="s">
        <v>1848</v>
      </c>
      <c r="U4" s="181">
        <v>2018</v>
      </c>
      <c r="W4" s="25"/>
      <c r="X4" s="25"/>
      <c r="Y4" s="25"/>
    </row>
    <row r="5" spans="1:25" ht="45" customHeight="1" x14ac:dyDescent="0.2">
      <c r="A5">
        <v>2</v>
      </c>
      <c r="B5" s="37">
        <v>20024000</v>
      </c>
      <c r="C5" s="25" t="s">
        <v>150</v>
      </c>
      <c r="D5" s="25" t="s">
        <v>137</v>
      </c>
      <c r="E5" s="25" t="s">
        <v>137</v>
      </c>
      <c r="F5" s="25" t="s">
        <v>137</v>
      </c>
      <c r="G5" s="25">
        <v>1407</v>
      </c>
      <c r="H5" s="25" t="s">
        <v>134</v>
      </c>
      <c r="I5" s="25" t="s">
        <v>83</v>
      </c>
      <c r="J5" s="25" t="s">
        <v>1710</v>
      </c>
      <c r="K5" s="25">
        <v>1149144459</v>
      </c>
      <c r="L5" s="25" t="s">
        <v>1015</v>
      </c>
      <c r="M5" s="25" t="s">
        <v>1711</v>
      </c>
      <c r="N5" s="25" t="s">
        <v>1121</v>
      </c>
      <c r="O5" s="25">
        <v>1132109143</v>
      </c>
      <c r="P5" s="25" t="s">
        <v>1712</v>
      </c>
      <c r="Q5" s="25" t="s">
        <v>1713</v>
      </c>
      <c r="R5" s="25" t="s">
        <v>1119</v>
      </c>
      <c r="S5" s="25">
        <v>1165026310</v>
      </c>
      <c r="T5" s="25" t="s">
        <v>1016</v>
      </c>
      <c r="U5" s="181">
        <v>2019</v>
      </c>
      <c r="W5" s="25"/>
      <c r="Y5" s="25"/>
    </row>
    <row r="6" spans="1:25" ht="30" customHeight="1" x14ac:dyDescent="0.2">
      <c r="A6">
        <v>3</v>
      </c>
      <c r="B6" s="37">
        <v>20036600</v>
      </c>
      <c r="C6" s="25" t="s">
        <v>597</v>
      </c>
      <c r="D6" s="25" t="s">
        <v>137</v>
      </c>
      <c r="E6" s="25" t="s">
        <v>137</v>
      </c>
      <c r="F6" s="25" t="s">
        <v>137</v>
      </c>
      <c r="G6" s="25">
        <v>1405</v>
      </c>
      <c r="H6" s="25" t="s">
        <v>82</v>
      </c>
      <c r="I6" s="25" t="s">
        <v>83</v>
      </c>
      <c r="J6" s="25" t="s">
        <v>1815</v>
      </c>
      <c r="K6" s="25">
        <v>1149823198</v>
      </c>
      <c r="L6" s="25" t="s">
        <v>2803</v>
      </c>
      <c r="M6" s="25" t="s">
        <v>1817</v>
      </c>
      <c r="N6" s="25" t="s">
        <v>1121</v>
      </c>
      <c r="O6" s="25">
        <v>5491135767624</v>
      </c>
      <c r="P6" s="25" t="s">
        <v>1816</v>
      </c>
      <c r="Q6" s="25" t="s">
        <v>1817</v>
      </c>
      <c r="R6" s="25" t="s">
        <v>1121</v>
      </c>
      <c r="S6" s="25">
        <v>5491135767624</v>
      </c>
      <c r="T6" s="25" t="s">
        <v>1816</v>
      </c>
      <c r="U6" s="181">
        <v>2016</v>
      </c>
      <c r="W6" s="25"/>
      <c r="Y6" s="25"/>
    </row>
    <row r="7" spans="1:25" ht="30" customHeight="1" x14ac:dyDescent="0.2">
      <c r="A7">
        <v>4</v>
      </c>
      <c r="B7" s="37">
        <v>20036601</v>
      </c>
      <c r="C7" s="25" t="s">
        <v>598</v>
      </c>
      <c r="D7" s="25" t="s">
        <v>137</v>
      </c>
      <c r="E7" s="25" t="s">
        <v>137</v>
      </c>
      <c r="F7" s="25" t="s">
        <v>137</v>
      </c>
      <c r="G7" s="25">
        <v>1439</v>
      </c>
      <c r="H7" s="25" t="s">
        <v>82</v>
      </c>
      <c r="I7" s="25" t="s">
        <v>83</v>
      </c>
      <c r="J7" s="25" t="s">
        <v>1818</v>
      </c>
      <c r="K7" s="25">
        <v>1146013127</v>
      </c>
      <c r="L7" s="25" t="s">
        <v>2803</v>
      </c>
      <c r="M7" s="25" t="s">
        <v>1817</v>
      </c>
      <c r="N7" s="25" t="s">
        <v>1121</v>
      </c>
      <c r="O7" s="25">
        <v>5491135767624</v>
      </c>
      <c r="P7" s="25" t="s">
        <v>1816</v>
      </c>
      <c r="Q7" s="25" t="s">
        <v>1817</v>
      </c>
      <c r="R7" s="25" t="s">
        <v>1121</v>
      </c>
      <c r="S7" s="25">
        <v>5491135767624</v>
      </c>
      <c r="T7" s="25" t="s">
        <v>1816</v>
      </c>
      <c r="U7" s="181">
        <v>2016</v>
      </c>
      <c r="W7" s="25"/>
      <c r="X7" s="25"/>
      <c r="Y7" s="25"/>
    </row>
    <row r="8" spans="1:25" ht="30" customHeight="1" x14ac:dyDescent="0.2">
      <c r="A8">
        <v>5</v>
      </c>
      <c r="B8" s="37">
        <v>20053100</v>
      </c>
      <c r="C8" s="25" t="s">
        <v>599</v>
      </c>
      <c r="D8" s="25" t="s">
        <v>137</v>
      </c>
      <c r="E8" s="25" t="s">
        <v>137</v>
      </c>
      <c r="F8" s="25" t="s">
        <v>137</v>
      </c>
      <c r="G8" s="25">
        <v>1429</v>
      </c>
      <c r="H8" s="25" t="s">
        <v>134</v>
      </c>
      <c r="I8" s="25" t="s">
        <v>83</v>
      </c>
      <c r="J8" s="25" t="s">
        <v>1017</v>
      </c>
      <c r="K8" s="25" t="s">
        <v>1537</v>
      </c>
      <c r="L8" s="25" t="s">
        <v>1538</v>
      </c>
      <c r="M8" s="25" t="s">
        <v>1539</v>
      </c>
      <c r="N8" s="25" t="s">
        <v>1121</v>
      </c>
      <c r="O8" s="25" t="s">
        <v>1540</v>
      </c>
      <c r="P8" s="25" t="s">
        <v>1018</v>
      </c>
      <c r="Q8" s="25" t="s">
        <v>1539</v>
      </c>
      <c r="R8" s="25" t="s">
        <v>1121</v>
      </c>
      <c r="S8" s="25" t="s">
        <v>1540</v>
      </c>
      <c r="T8" s="25" t="s">
        <v>1018</v>
      </c>
      <c r="U8" s="181">
        <v>2016</v>
      </c>
      <c r="W8" s="25"/>
      <c r="Y8" s="25"/>
    </row>
    <row r="9" spans="1:25" ht="30" customHeight="1" x14ac:dyDescent="0.2">
      <c r="A9">
        <v>6</v>
      </c>
      <c r="B9" s="37">
        <v>20053900</v>
      </c>
      <c r="C9" s="25" t="s">
        <v>600</v>
      </c>
      <c r="D9" s="25" t="s">
        <v>137</v>
      </c>
      <c r="E9" s="25" t="s">
        <v>137</v>
      </c>
      <c r="F9" s="25" t="s">
        <v>137</v>
      </c>
      <c r="G9" s="25">
        <v>1209</v>
      </c>
      <c r="H9" s="25" t="s">
        <v>134</v>
      </c>
      <c r="I9" s="25" t="s">
        <v>83</v>
      </c>
      <c r="J9" s="25" t="s">
        <v>1854</v>
      </c>
      <c r="K9" s="25">
        <v>1148637227</v>
      </c>
      <c r="L9" s="25" t="s">
        <v>1855</v>
      </c>
      <c r="M9" s="25" t="s">
        <v>1856</v>
      </c>
      <c r="N9" s="25" t="s">
        <v>1121</v>
      </c>
      <c r="O9" s="25">
        <v>1140984803</v>
      </c>
      <c r="P9" s="160" t="s">
        <v>1855</v>
      </c>
      <c r="Q9" s="25" t="s">
        <v>1857</v>
      </c>
      <c r="R9" s="25" t="s">
        <v>1122</v>
      </c>
      <c r="S9" s="25">
        <v>1140895142</v>
      </c>
      <c r="T9" s="25" t="s">
        <v>1858</v>
      </c>
      <c r="U9" s="181">
        <v>2017</v>
      </c>
      <c r="W9" s="25"/>
      <c r="Y9" s="25"/>
    </row>
    <row r="10" spans="1:25" ht="30" customHeight="1" x14ac:dyDescent="0.2">
      <c r="A10">
        <v>7</v>
      </c>
      <c r="B10" s="37">
        <v>20089000</v>
      </c>
      <c r="C10" s="25" t="s">
        <v>601</v>
      </c>
      <c r="D10" s="25" t="s">
        <v>137</v>
      </c>
      <c r="E10" s="25" t="s">
        <v>137</v>
      </c>
      <c r="F10" s="25" t="s">
        <v>137</v>
      </c>
      <c r="G10" s="25">
        <v>1083</v>
      </c>
      <c r="H10" s="25" t="s">
        <v>134</v>
      </c>
      <c r="I10" s="25" t="s">
        <v>83</v>
      </c>
      <c r="J10" s="25" t="s">
        <v>1498</v>
      </c>
      <c r="K10" s="25" t="s">
        <v>2761</v>
      </c>
      <c r="L10" s="25" t="s">
        <v>1042</v>
      </c>
      <c r="M10" s="25" t="s">
        <v>1499</v>
      </c>
      <c r="N10" s="25" t="s">
        <v>1121</v>
      </c>
      <c r="O10" s="25" t="s">
        <v>1500</v>
      </c>
      <c r="P10" s="25" t="s">
        <v>1501</v>
      </c>
      <c r="Q10" s="25" t="s">
        <v>1499</v>
      </c>
      <c r="R10" s="25" t="s">
        <v>1121</v>
      </c>
      <c r="S10" s="25" t="s">
        <v>1500</v>
      </c>
      <c r="T10" s="25" t="s">
        <v>1043</v>
      </c>
      <c r="U10" s="181">
        <v>2016</v>
      </c>
      <c r="W10" s="25"/>
      <c r="X10" s="25"/>
      <c r="Y10" s="25"/>
    </row>
    <row r="11" spans="1:25" ht="30" customHeight="1" x14ac:dyDescent="0.2">
      <c r="A11">
        <v>8</v>
      </c>
      <c r="B11" s="37">
        <v>20096900</v>
      </c>
      <c r="C11" s="25" t="s">
        <v>160</v>
      </c>
      <c r="D11" s="25" t="s">
        <v>137</v>
      </c>
      <c r="E11" s="25" t="s">
        <v>137</v>
      </c>
      <c r="F11" s="25" t="s">
        <v>137</v>
      </c>
      <c r="G11" s="25">
        <v>1417</v>
      </c>
      <c r="H11" s="25" t="s">
        <v>134</v>
      </c>
      <c r="I11" s="25" t="s">
        <v>83</v>
      </c>
      <c r="J11" s="25" t="s">
        <v>1510</v>
      </c>
      <c r="K11" s="25">
        <v>1138640707</v>
      </c>
      <c r="L11" s="25" t="s">
        <v>1511</v>
      </c>
      <c r="M11" s="25" t="s">
        <v>1512</v>
      </c>
      <c r="N11" s="25" t="s">
        <v>1121</v>
      </c>
      <c r="O11" s="25">
        <v>1157230438</v>
      </c>
      <c r="P11" s="25" t="s">
        <v>1513</v>
      </c>
      <c r="Q11" s="25" t="s">
        <v>1512</v>
      </c>
      <c r="R11" s="25" t="s">
        <v>1121</v>
      </c>
      <c r="S11" s="25">
        <v>1157230438</v>
      </c>
      <c r="T11" s="25" t="s">
        <v>1513</v>
      </c>
      <c r="U11" s="181">
        <v>2018</v>
      </c>
      <c r="W11" s="25"/>
      <c r="Y11" s="25"/>
    </row>
    <row r="12" spans="1:25" ht="30" customHeight="1" x14ac:dyDescent="0.2">
      <c r="A12">
        <v>9</v>
      </c>
      <c r="B12" s="37">
        <v>20142000</v>
      </c>
      <c r="C12" s="25" t="s">
        <v>454</v>
      </c>
      <c r="D12" s="25" t="s">
        <v>137</v>
      </c>
      <c r="E12" s="25" t="s">
        <v>137</v>
      </c>
      <c r="F12" s="25" t="s">
        <v>137</v>
      </c>
      <c r="G12" s="25">
        <v>1117</v>
      </c>
      <c r="H12" s="25" t="s">
        <v>134</v>
      </c>
      <c r="I12" s="25" t="s">
        <v>83</v>
      </c>
      <c r="J12" s="25" t="s">
        <v>1529</v>
      </c>
      <c r="K12" s="25">
        <v>1149821117</v>
      </c>
      <c r="L12" s="25" t="s">
        <v>1019</v>
      </c>
      <c r="M12" s="25" t="s">
        <v>1530</v>
      </c>
      <c r="N12" s="25" t="s">
        <v>1121</v>
      </c>
      <c r="O12" s="25" t="s">
        <v>1531</v>
      </c>
      <c r="P12" s="25" t="s">
        <v>1020</v>
      </c>
      <c r="Q12" s="25" t="s">
        <v>1530</v>
      </c>
      <c r="R12" s="25" t="s">
        <v>1121</v>
      </c>
      <c r="S12" s="25" t="s">
        <v>1531</v>
      </c>
      <c r="T12" s="25" t="s">
        <v>1020</v>
      </c>
      <c r="U12" s="181">
        <v>2022</v>
      </c>
      <c r="W12" s="25"/>
      <c r="X12" s="25"/>
      <c r="Y12" s="25"/>
    </row>
    <row r="13" spans="1:25" ht="30" customHeight="1" x14ac:dyDescent="0.2">
      <c r="A13">
        <v>10</v>
      </c>
      <c r="B13" s="37">
        <v>20174400</v>
      </c>
      <c r="C13" s="25" t="s">
        <v>602</v>
      </c>
      <c r="D13" s="25" t="s">
        <v>137</v>
      </c>
      <c r="E13" s="25" t="s">
        <v>137</v>
      </c>
      <c r="F13" s="25" t="s">
        <v>137</v>
      </c>
      <c r="G13" s="25">
        <v>1405</v>
      </c>
      <c r="H13" s="25" t="s">
        <v>134</v>
      </c>
      <c r="I13" s="25" t="s">
        <v>83</v>
      </c>
      <c r="J13" s="25" t="s">
        <v>1532</v>
      </c>
      <c r="K13" s="25" t="s">
        <v>1533</v>
      </c>
      <c r="L13" s="25" t="s">
        <v>1025</v>
      </c>
      <c r="M13" s="25" t="s">
        <v>1534</v>
      </c>
      <c r="N13" s="25" t="s">
        <v>1121</v>
      </c>
      <c r="O13" s="25" t="s">
        <v>1535</v>
      </c>
      <c r="P13" s="25" t="s">
        <v>1025</v>
      </c>
      <c r="Q13" s="25" t="s">
        <v>1536</v>
      </c>
      <c r="R13" s="25" t="s">
        <v>1121</v>
      </c>
      <c r="S13" s="25" t="s">
        <v>1535</v>
      </c>
      <c r="T13" s="25" t="s">
        <v>1025</v>
      </c>
      <c r="U13" s="181">
        <v>2016</v>
      </c>
      <c r="W13" s="25"/>
      <c r="Y13" s="25"/>
    </row>
    <row r="14" spans="1:25" ht="30" customHeight="1" x14ac:dyDescent="0.2">
      <c r="A14">
        <v>11</v>
      </c>
      <c r="B14" s="37">
        <v>20191900</v>
      </c>
      <c r="C14" s="25" t="s">
        <v>468</v>
      </c>
      <c r="D14" s="25" t="s">
        <v>137</v>
      </c>
      <c r="E14" s="25" t="s">
        <v>137</v>
      </c>
      <c r="F14" s="25" t="s">
        <v>137</v>
      </c>
      <c r="G14" s="25">
        <v>1406</v>
      </c>
      <c r="H14" s="25" t="s">
        <v>134</v>
      </c>
      <c r="I14" s="25" t="s">
        <v>83</v>
      </c>
      <c r="J14" s="25" t="s">
        <v>1626</v>
      </c>
      <c r="K14" s="25">
        <v>46324845</v>
      </c>
      <c r="L14" s="25" t="s">
        <v>1026</v>
      </c>
      <c r="M14" s="25" t="s">
        <v>1627</v>
      </c>
      <c r="N14" s="25" t="s">
        <v>1121</v>
      </c>
      <c r="O14" s="25">
        <v>1559442620</v>
      </c>
      <c r="P14" s="25" t="s">
        <v>1628</v>
      </c>
      <c r="Q14" s="25" t="s">
        <v>1629</v>
      </c>
      <c r="R14" s="25" t="s">
        <v>1122</v>
      </c>
      <c r="S14" s="25">
        <v>1569086864</v>
      </c>
      <c r="T14" s="25" t="s">
        <v>1027</v>
      </c>
      <c r="U14" s="181">
        <v>2022</v>
      </c>
      <c r="W14" s="25"/>
      <c r="X14" s="25"/>
      <c r="Y14" s="25"/>
    </row>
    <row r="15" spans="1:25" ht="30" customHeight="1" x14ac:dyDescent="0.2">
      <c r="A15">
        <v>12</v>
      </c>
      <c r="B15" s="37">
        <v>20224200</v>
      </c>
      <c r="C15" s="25" t="s">
        <v>603</v>
      </c>
      <c r="D15" s="25" t="s">
        <v>137</v>
      </c>
      <c r="E15" s="25" t="s">
        <v>137</v>
      </c>
      <c r="F15" s="25" t="s">
        <v>137</v>
      </c>
      <c r="G15" s="25">
        <v>1095</v>
      </c>
      <c r="H15" s="25" t="s">
        <v>134</v>
      </c>
      <c r="I15" s="25" t="s">
        <v>83</v>
      </c>
      <c r="J15" s="25" t="s">
        <v>2074</v>
      </c>
      <c r="K15" s="25">
        <v>1153546641</v>
      </c>
      <c r="L15" s="25" t="s">
        <v>2075</v>
      </c>
      <c r="M15" s="25" t="s">
        <v>2076</v>
      </c>
      <c r="N15" s="25" t="s">
        <v>1121</v>
      </c>
      <c r="O15" s="25" t="s">
        <v>2077</v>
      </c>
      <c r="P15" s="25" t="s">
        <v>2078</v>
      </c>
      <c r="Q15" s="25" t="s">
        <v>2079</v>
      </c>
      <c r="R15" s="25" t="s">
        <v>1119</v>
      </c>
      <c r="S15" s="25">
        <v>5491150402183</v>
      </c>
      <c r="T15" s="25" t="s">
        <v>2080</v>
      </c>
      <c r="U15" s="181">
        <v>2017</v>
      </c>
      <c r="W15" s="25"/>
      <c r="Y15" s="25"/>
    </row>
    <row r="16" spans="1:25" ht="30" customHeight="1" x14ac:dyDescent="0.2">
      <c r="A16">
        <v>13</v>
      </c>
      <c r="B16" s="37">
        <v>20234600</v>
      </c>
      <c r="C16" s="25" t="s">
        <v>558</v>
      </c>
      <c r="D16" s="25" t="s">
        <v>137</v>
      </c>
      <c r="E16" s="25" t="s">
        <v>137</v>
      </c>
      <c r="F16" s="25" t="s">
        <v>137</v>
      </c>
      <c r="G16" s="25">
        <v>1408</v>
      </c>
      <c r="H16" s="25" t="s">
        <v>134</v>
      </c>
      <c r="I16" s="25" t="s">
        <v>83</v>
      </c>
      <c r="J16" s="25" t="s">
        <v>1573</v>
      </c>
      <c r="K16" s="25">
        <v>1146446117</v>
      </c>
      <c r="L16" s="25" t="s">
        <v>1028</v>
      </c>
      <c r="M16" s="25" t="s">
        <v>1574</v>
      </c>
      <c r="N16" s="25" t="s">
        <v>1121</v>
      </c>
      <c r="O16" s="25" t="s">
        <v>1575</v>
      </c>
      <c r="P16" s="25" t="s">
        <v>1576</v>
      </c>
      <c r="Q16" s="25" t="s">
        <v>1577</v>
      </c>
      <c r="R16" s="25" t="s">
        <v>1122</v>
      </c>
      <c r="S16" s="25" t="s">
        <v>1578</v>
      </c>
      <c r="T16" s="25" t="s">
        <v>1028</v>
      </c>
      <c r="U16" s="181">
        <v>2022</v>
      </c>
      <c r="W16" s="25"/>
      <c r="X16" s="25"/>
      <c r="Y16" s="25"/>
    </row>
    <row r="17" spans="1:25" ht="30" customHeight="1" x14ac:dyDescent="0.2">
      <c r="A17">
        <v>14</v>
      </c>
      <c r="B17" s="37">
        <v>20245000</v>
      </c>
      <c r="C17" s="25" t="s">
        <v>604</v>
      </c>
      <c r="D17" s="25" t="s">
        <v>137</v>
      </c>
      <c r="E17" s="25" t="s">
        <v>137</v>
      </c>
      <c r="F17" s="25" t="s">
        <v>137</v>
      </c>
      <c r="G17" s="25">
        <v>1229</v>
      </c>
      <c r="H17" s="25" t="s">
        <v>134</v>
      </c>
      <c r="I17" s="25" t="s">
        <v>83</v>
      </c>
      <c r="J17" s="25" t="s">
        <v>1838</v>
      </c>
      <c r="K17" s="25">
        <v>1143082257</v>
      </c>
      <c r="L17" s="25" t="s">
        <v>1839</v>
      </c>
      <c r="M17" s="25" t="s">
        <v>1840</v>
      </c>
      <c r="N17" s="25" t="s">
        <v>1121</v>
      </c>
      <c r="O17" s="25">
        <v>1164716081</v>
      </c>
      <c r="P17" s="25" t="s">
        <v>1841</v>
      </c>
      <c r="Q17" s="25" t="s">
        <v>1842</v>
      </c>
      <c r="R17" s="25" t="s">
        <v>1119</v>
      </c>
      <c r="S17" s="25">
        <v>1157571987</v>
      </c>
      <c r="T17" s="25" t="s">
        <v>1843</v>
      </c>
      <c r="U17" s="181">
        <v>2017</v>
      </c>
      <c r="W17" s="25"/>
      <c r="X17" s="25"/>
      <c r="Y17" s="25"/>
    </row>
    <row r="18" spans="1:25" ht="30" customHeight="1" x14ac:dyDescent="0.2">
      <c r="A18">
        <v>15</v>
      </c>
      <c r="B18" s="37">
        <v>20282200</v>
      </c>
      <c r="C18" s="25" t="s">
        <v>182</v>
      </c>
      <c r="D18" s="25" t="s">
        <v>137</v>
      </c>
      <c r="E18" s="25" t="s">
        <v>137</v>
      </c>
      <c r="F18" s="25" t="s">
        <v>137</v>
      </c>
      <c r="G18" s="25">
        <v>1056</v>
      </c>
      <c r="H18" s="25" t="s">
        <v>134</v>
      </c>
      <c r="I18" s="25" t="s">
        <v>83</v>
      </c>
      <c r="J18" s="25" t="s">
        <v>1029</v>
      </c>
      <c r="L18" s="25" t="s">
        <v>1520</v>
      </c>
      <c r="M18" s="25" t="s">
        <v>1031</v>
      </c>
      <c r="N18" s="25" t="s">
        <v>1121</v>
      </c>
      <c r="O18" s="25" t="s">
        <v>1521</v>
      </c>
      <c r="P18" s="25" t="s">
        <v>1030</v>
      </c>
      <c r="Q18" s="25" t="s">
        <v>1522</v>
      </c>
      <c r="R18" s="25" t="s">
        <v>1181</v>
      </c>
      <c r="S18" s="25" t="s">
        <v>1523</v>
      </c>
      <c r="T18" s="25" t="s">
        <v>1520</v>
      </c>
      <c r="U18" s="181">
        <v>2018</v>
      </c>
      <c r="W18" s="25"/>
      <c r="X18" s="25"/>
      <c r="Y18" s="25"/>
    </row>
    <row r="19" spans="1:25" ht="30" customHeight="1" x14ac:dyDescent="0.2">
      <c r="A19">
        <v>16</v>
      </c>
      <c r="B19" s="37">
        <v>20282300</v>
      </c>
      <c r="C19" s="25" t="s">
        <v>469</v>
      </c>
      <c r="D19" s="25" t="s">
        <v>137</v>
      </c>
      <c r="E19" s="25" t="s">
        <v>137</v>
      </c>
      <c r="F19" s="25" t="s">
        <v>137</v>
      </c>
      <c r="G19" s="25">
        <v>1424</v>
      </c>
      <c r="H19" s="25" t="s">
        <v>134</v>
      </c>
      <c r="I19" s="25" t="s">
        <v>83</v>
      </c>
      <c r="J19" s="25" t="s">
        <v>2638</v>
      </c>
      <c r="K19" s="25">
        <v>1149826336</v>
      </c>
      <c r="L19" s="25" t="s">
        <v>2639</v>
      </c>
      <c r="M19" s="25" t="s">
        <v>2640</v>
      </c>
      <c r="N19" s="25" t="s">
        <v>1121</v>
      </c>
      <c r="O19" s="25">
        <v>1155772410</v>
      </c>
      <c r="P19" s="25" t="s">
        <v>2641</v>
      </c>
      <c r="Q19" s="25" t="s">
        <v>2642</v>
      </c>
      <c r="R19" s="25" t="s">
        <v>1119</v>
      </c>
      <c r="S19" s="25">
        <v>1165129171</v>
      </c>
      <c r="T19" s="25" t="s">
        <v>2643</v>
      </c>
      <c r="U19" s="181">
        <v>2022</v>
      </c>
      <c r="W19" s="25"/>
      <c r="X19" s="25"/>
      <c r="Y19" s="25"/>
    </row>
    <row r="20" spans="1:25" ht="30" customHeight="1" x14ac:dyDescent="0.2">
      <c r="A20">
        <v>17</v>
      </c>
      <c r="B20" s="37">
        <v>20286200</v>
      </c>
      <c r="C20" s="25" t="s">
        <v>470</v>
      </c>
      <c r="D20" s="25" t="s">
        <v>137</v>
      </c>
      <c r="E20" s="25" t="s">
        <v>137</v>
      </c>
      <c r="F20" s="25" t="s">
        <v>137</v>
      </c>
      <c r="G20" s="25">
        <v>1437</v>
      </c>
      <c r="H20" s="25" t="s">
        <v>134</v>
      </c>
      <c r="I20" s="25" t="s">
        <v>83</v>
      </c>
      <c r="J20" s="25" t="s">
        <v>1032</v>
      </c>
      <c r="L20" s="25" t="s">
        <v>1033</v>
      </c>
      <c r="M20" s="25" t="s">
        <v>1601</v>
      </c>
      <c r="N20" s="25" t="s">
        <v>1121</v>
      </c>
      <c r="O20" s="25" t="s">
        <v>1602</v>
      </c>
      <c r="P20" s="25" t="s">
        <v>1033</v>
      </c>
      <c r="Q20" s="25" t="s">
        <v>1603</v>
      </c>
      <c r="R20" s="25" t="s">
        <v>1119</v>
      </c>
      <c r="S20" s="25" t="s">
        <v>1604</v>
      </c>
      <c r="T20" s="25" t="s">
        <v>1605</v>
      </c>
      <c r="U20" s="181">
        <v>2022</v>
      </c>
      <c r="W20" s="25"/>
      <c r="X20" s="25"/>
      <c r="Y20" s="25"/>
    </row>
    <row r="21" spans="1:25" ht="30" customHeight="1" x14ac:dyDescent="0.2">
      <c r="A21">
        <v>18</v>
      </c>
      <c r="B21" s="37">
        <v>20299400</v>
      </c>
      <c r="C21" s="25" t="s">
        <v>605</v>
      </c>
      <c r="D21" s="25" t="s">
        <v>137</v>
      </c>
      <c r="E21" s="25" t="s">
        <v>137</v>
      </c>
      <c r="F21" s="25" t="s">
        <v>137</v>
      </c>
      <c r="G21" s="25">
        <v>1113</v>
      </c>
      <c r="H21" s="25" t="s">
        <v>134</v>
      </c>
      <c r="I21" s="25" t="s">
        <v>83</v>
      </c>
      <c r="J21" s="25" t="s">
        <v>1733</v>
      </c>
      <c r="K21" s="25" t="s">
        <v>1734</v>
      </c>
      <c r="L21" s="25" t="s">
        <v>1735</v>
      </c>
      <c r="M21" s="25" t="s">
        <v>1736</v>
      </c>
      <c r="N21" s="25" t="s">
        <v>1121</v>
      </c>
      <c r="O21" s="25" t="s">
        <v>1734</v>
      </c>
      <c r="P21" s="25" t="s">
        <v>1035</v>
      </c>
      <c r="Q21" s="25" t="s">
        <v>1737</v>
      </c>
      <c r="R21" s="25" t="s">
        <v>1121</v>
      </c>
      <c r="S21" s="25" t="s">
        <v>1734</v>
      </c>
      <c r="T21" s="25" t="s">
        <v>1034</v>
      </c>
      <c r="U21" s="181">
        <v>2018</v>
      </c>
      <c r="W21" s="25"/>
      <c r="X21" s="25"/>
      <c r="Y21" s="25"/>
    </row>
    <row r="22" spans="1:25" ht="30" customHeight="1" x14ac:dyDescent="0.2">
      <c r="A22">
        <v>19</v>
      </c>
      <c r="B22" s="37">
        <v>20304900</v>
      </c>
      <c r="C22" s="25" t="s">
        <v>563</v>
      </c>
      <c r="D22" s="25" t="s">
        <v>137</v>
      </c>
      <c r="E22" s="25" t="s">
        <v>137</v>
      </c>
      <c r="F22" s="25" t="s">
        <v>137</v>
      </c>
      <c r="G22" s="25">
        <v>1096</v>
      </c>
      <c r="H22" s="25" t="s">
        <v>134</v>
      </c>
      <c r="I22" s="25" t="s">
        <v>83</v>
      </c>
      <c r="J22" s="25" t="s">
        <v>1055</v>
      </c>
      <c r="K22" s="25" t="s">
        <v>1541</v>
      </c>
      <c r="L22" s="25" t="s">
        <v>1057</v>
      </c>
      <c r="M22" s="25" t="s">
        <v>1056</v>
      </c>
      <c r="N22" s="25" t="s">
        <v>1121</v>
      </c>
      <c r="O22" s="25">
        <v>1150632839</v>
      </c>
      <c r="P22" s="25" t="s">
        <v>1057</v>
      </c>
      <c r="Q22" s="25" t="s">
        <v>1058</v>
      </c>
      <c r="R22" s="25" t="s">
        <v>1119</v>
      </c>
      <c r="S22" s="25">
        <v>1159761773</v>
      </c>
      <c r="T22" s="25" t="s">
        <v>1059</v>
      </c>
      <c r="U22" s="181">
        <v>2022</v>
      </c>
      <c r="W22" s="25"/>
      <c r="Y22" s="25"/>
    </row>
    <row r="23" spans="1:25" ht="30" customHeight="1" x14ac:dyDescent="0.2">
      <c r="A23">
        <v>20</v>
      </c>
      <c r="B23" s="37">
        <v>20314900</v>
      </c>
      <c r="C23" s="25" t="s">
        <v>471</v>
      </c>
      <c r="D23" s="25" t="s">
        <v>137</v>
      </c>
      <c r="E23" s="25" t="s">
        <v>137</v>
      </c>
      <c r="F23" s="25" t="s">
        <v>137</v>
      </c>
      <c r="G23" s="25">
        <v>1437</v>
      </c>
      <c r="H23" s="25" t="s">
        <v>134</v>
      </c>
      <c r="I23" s="25" t="s">
        <v>83</v>
      </c>
      <c r="J23" s="25" t="s">
        <v>1036</v>
      </c>
      <c r="L23" s="25" t="s">
        <v>1037</v>
      </c>
      <c r="M23" s="25" t="s">
        <v>1038</v>
      </c>
      <c r="N23" s="25" t="s">
        <v>1121</v>
      </c>
      <c r="O23" s="25" t="s">
        <v>1492</v>
      </c>
      <c r="P23" s="25" t="s">
        <v>1039</v>
      </c>
      <c r="Q23" s="25" t="s">
        <v>1040</v>
      </c>
      <c r="R23" s="25" t="s">
        <v>1122</v>
      </c>
      <c r="S23" s="25" t="s">
        <v>1493</v>
      </c>
      <c r="T23" s="25" t="s">
        <v>1041</v>
      </c>
      <c r="U23" s="181">
        <v>2022</v>
      </c>
      <c r="W23" s="25"/>
      <c r="X23" s="25"/>
      <c r="Y23" s="25"/>
    </row>
    <row r="24" spans="1:25" ht="30" customHeight="1" x14ac:dyDescent="0.2">
      <c r="A24">
        <v>21</v>
      </c>
      <c r="B24" s="37">
        <v>60008000</v>
      </c>
      <c r="C24" s="25" t="s">
        <v>565</v>
      </c>
      <c r="D24" s="25" t="s">
        <v>136</v>
      </c>
      <c r="E24" s="25" t="s">
        <v>566</v>
      </c>
      <c r="F24" s="25" t="s">
        <v>566</v>
      </c>
      <c r="G24" s="25">
        <v>7635</v>
      </c>
      <c r="H24" s="25" t="s">
        <v>82</v>
      </c>
      <c r="I24" s="25" t="s">
        <v>976</v>
      </c>
      <c r="J24" s="25" t="s">
        <v>839</v>
      </c>
      <c r="K24" s="25" t="s">
        <v>1375</v>
      </c>
      <c r="L24" s="25" t="s">
        <v>840</v>
      </c>
      <c r="M24" s="25" t="s">
        <v>842</v>
      </c>
      <c r="N24" s="25" t="s">
        <v>1118</v>
      </c>
      <c r="O24" s="25">
        <v>2262534654</v>
      </c>
      <c r="P24" s="25" t="s">
        <v>841</v>
      </c>
      <c r="Q24" s="25" t="s">
        <v>842</v>
      </c>
      <c r="R24" s="25" t="s">
        <v>1119</v>
      </c>
      <c r="S24" s="25">
        <v>2262534654</v>
      </c>
      <c r="T24" s="25" t="s">
        <v>840</v>
      </c>
      <c r="U24" s="181">
        <v>2022</v>
      </c>
      <c r="W24" s="25"/>
      <c r="X24" s="25"/>
      <c r="Y24" s="25"/>
    </row>
    <row r="25" spans="1:25" ht="30" customHeight="1" x14ac:dyDescent="0.2">
      <c r="A25">
        <v>22</v>
      </c>
      <c r="B25" s="37">
        <v>60011700</v>
      </c>
      <c r="C25" s="25" t="s">
        <v>184</v>
      </c>
      <c r="D25" s="25" t="s">
        <v>136</v>
      </c>
      <c r="E25" s="25" t="s">
        <v>185</v>
      </c>
      <c r="F25" s="25" t="s">
        <v>185</v>
      </c>
      <c r="G25" s="25">
        <v>1686</v>
      </c>
      <c r="H25" s="25" t="s">
        <v>134</v>
      </c>
      <c r="I25" s="25" t="s">
        <v>83</v>
      </c>
      <c r="J25" s="25" t="s">
        <v>792</v>
      </c>
      <c r="K25" s="25">
        <v>1152949019</v>
      </c>
      <c r="L25" s="25" t="s">
        <v>793</v>
      </c>
      <c r="M25" s="25" t="s">
        <v>794</v>
      </c>
      <c r="N25" s="25" t="s">
        <v>1118</v>
      </c>
      <c r="O25" s="25">
        <v>1158865307</v>
      </c>
      <c r="P25" s="25" t="s">
        <v>795</v>
      </c>
      <c r="Q25" s="25" t="s">
        <v>796</v>
      </c>
      <c r="R25" s="25" t="s">
        <v>1122</v>
      </c>
      <c r="S25" s="25">
        <v>1149469060</v>
      </c>
      <c r="T25" s="25" t="s">
        <v>1568</v>
      </c>
      <c r="U25" s="181">
        <v>2019</v>
      </c>
      <c r="W25" s="25"/>
      <c r="X25" s="25"/>
      <c r="Y25" s="25"/>
    </row>
    <row r="26" spans="1:25" ht="30" customHeight="1" x14ac:dyDescent="0.2">
      <c r="A26">
        <v>23</v>
      </c>
      <c r="B26" s="37">
        <v>60021000</v>
      </c>
      <c r="C26" s="25" t="s">
        <v>567</v>
      </c>
      <c r="D26" s="25" t="s">
        <v>136</v>
      </c>
      <c r="E26" s="25" t="s">
        <v>275</v>
      </c>
      <c r="F26" s="25" t="s">
        <v>276</v>
      </c>
      <c r="G26" s="25">
        <v>7600</v>
      </c>
      <c r="H26" s="25" t="s">
        <v>134</v>
      </c>
      <c r="I26" s="25" t="s">
        <v>83</v>
      </c>
      <c r="J26" s="25" t="s">
        <v>1061</v>
      </c>
      <c r="K26" s="25" t="s">
        <v>1062</v>
      </c>
      <c r="L26" s="25" t="s">
        <v>1063</v>
      </c>
      <c r="M26" s="25" t="s">
        <v>1064</v>
      </c>
      <c r="N26" s="25" t="s">
        <v>1118</v>
      </c>
      <c r="O26" s="25">
        <v>2236689498</v>
      </c>
      <c r="P26" s="25" t="s">
        <v>1065</v>
      </c>
      <c r="Q26" s="25" t="s">
        <v>1716</v>
      </c>
      <c r="R26" s="25" t="s">
        <v>1272</v>
      </c>
      <c r="S26" s="25">
        <v>2235381773</v>
      </c>
      <c r="T26" s="25" t="s">
        <v>1717</v>
      </c>
      <c r="U26" s="181">
        <v>2022</v>
      </c>
      <c r="W26" s="25"/>
      <c r="X26" s="25"/>
      <c r="Y26" s="25"/>
    </row>
    <row r="27" spans="1:25" ht="30" customHeight="1" x14ac:dyDescent="0.2">
      <c r="A27">
        <v>24</v>
      </c>
      <c r="B27" s="37">
        <v>60021900</v>
      </c>
      <c r="C27" s="25" t="s">
        <v>606</v>
      </c>
      <c r="D27" s="25" t="s">
        <v>136</v>
      </c>
      <c r="E27" s="25" t="s">
        <v>186</v>
      </c>
      <c r="F27" s="25" t="s">
        <v>186</v>
      </c>
      <c r="G27" s="25">
        <v>6050</v>
      </c>
      <c r="H27" s="25" t="s">
        <v>82</v>
      </c>
      <c r="I27" s="25" t="s">
        <v>976</v>
      </c>
      <c r="J27" s="25" t="s">
        <v>1173</v>
      </c>
      <c r="L27" s="25" t="s">
        <v>797</v>
      </c>
      <c r="M27" s="25" t="s">
        <v>798</v>
      </c>
      <c r="N27" s="25" t="s">
        <v>1118</v>
      </c>
      <c r="O27" s="25">
        <v>2355445772</v>
      </c>
      <c r="P27" s="25" t="s">
        <v>799</v>
      </c>
      <c r="Q27" s="25" t="s">
        <v>798</v>
      </c>
      <c r="R27" s="25" t="s">
        <v>1119</v>
      </c>
      <c r="S27" s="25">
        <v>2355445772</v>
      </c>
      <c r="T27" s="25" t="s">
        <v>799</v>
      </c>
      <c r="U27" s="181">
        <v>2016</v>
      </c>
      <c r="W27" s="25"/>
      <c r="X27" s="25"/>
      <c r="Y27" s="25"/>
    </row>
    <row r="28" spans="1:25" ht="30" customHeight="1" x14ac:dyDescent="0.2">
      <c r="A28">
        <v>25</v>
      </c>
      <c r="B28" s="37">
        <v>60067400</v>
      </c>
      <c r="C28" s="25" t="s">
        <v>187</v>
      </c>
      <c r="D28" s="25" t="s">
        <v>136</v>
      </c>
      <c r="E28" s="25" t="s">
        <v>188</v>
      </c>
      <c r="F28" s="25" t="s">
        <v>2746</v>
      </c>
      <c r="G28" s="25">
        <v>1917</v>
      </c>
      <c r="H28" s="25" t="s">
        <v>82</v>
      </c>
      <c r="I28" s="25" t="s">
        <v>976</v>
      </c>
      <c r="J28" s="25" t="s">
        <v>2183</v>
      </c>
      <c r="K28" s="25" t="s">
        <v>2184</v>
      </c>
      <c r="L28" s="25" t="s">
        <v>2185</v>
      </c>
      <c r="M28" s="25" t="s">
        <v>2186</v>
      </c>
      <c r="N28" s="25" t="s">
        <v>1118</v>
      </c>
      <c r="O28" s="25">
        <v>2215933617</v>
      </c>
      <c r="P28" s="25" t="s">
        <v>2185</v>
      </c>
      <c r="Q28" s="25" t="s">
        <v>2187</v>
      </c>
      <c r="R28" s="25" t="s">
        <v>1151</v>
      </c>
      <c r="S28" s="25">
        <v>2223674609</v>
      </c>
      <c r="T28" s="25" t="s">
        <v>2188</v>
      </c>
      <c r="U28" s="181">
        <v>2016</v>
      </c>
      <c r="W28" s="25"/>
      <c r="X28" s="25"/>
      <c r="Y28" s="25"/>
    </row>
    <row r="29" spans="1:25" ht="30" customHeight="1" x14ac:dyDescent="0.2">
      <c r="A29">
        <v>26</v>
      </c>
      <c r="B29" s="37">
        <v>60128300</v>
      </c>
      <c r="C29" s="25" t="s">
        <v>607</v>
      </c>
      <c r="D29" s="25" t="s">
        <v>136</v>
      </c>
      <c r="E29" s="25" t="s">
        <v>189</v>
      </c>
      <c r="F29" s="25" t="s">
        <v>189</v>
      </c>
      <c r="G29" s="25">
        <v>6640</v>
      </c>
      <c r="H29" s="25" t="s">
        <v>82</v>
      </c>
      <c r="I29" s="25" t="s">
        <v>976</v>
      </c>
      <c r="J29" s="25" t="s">
        <v>981</v>
      </c>
      <c r="K29" s="25" t="s">
        <v>1343</v>
      </c>
      <c r="L29" s="25" t="s">
        <v>982</v>
      </c>
      <c r="M29" s="25" t="s">
        <v>983</v>
      </c>
      <c r="N29" s="25" t="s">
        <v>1118</v>
      </c>
      <c r="O29" s="25" t="s">
        <v>1344</v>
      </c>
      <c r="P29" s="25" t="s">
        <v>984</v>
      </c>
      <c r="Q29" s="25" t="s">
        <v>1345</v>
      </c>
      <c r="R29" s="25" t="s">
        <v>1151</v>
      </c>
      <c r="S29" s="25" t="s">
        <v>1346</v>
      </c>
      <c r="T29" s="25" t="s">
        <v>1347</v>
      </c>
      <c r="U29" s="181">
        <v>2017</v>
      </c>
      <c r="W29" s="25"/>
      <c r="Y29" s="25"/>
    </row>
    <row r="30" spans="1:25" ht="30" customHeight="1" x14ac:dyDescent="0.2">
      <c r="A30">
        <v>27</v>
      </c>
      <c r="B30" s="37">
        <v>60167400</v>
      </c>
      <c r="C30" s="25" t="s">
        <v>608</v>
      </c>
      <c r="D30" s="25" t="s">
        <v>136</v>
      </c>
      <c r="E30" s="25" t="s">
        <v>2504</v>
      </c>
      <c r="F30" s="25" t="s">
        <v>190</v>
      </c>
      <c r="G30" s="25">
        <v>2900</v>
      </c>
      <c r="H30" s="25" t="s">
        <v>134</v>
      </c>
      <c r="I30" s="25" t="s">
        <v>83</v>
      </c>
      <c r="J30" s="25" t="s">
        <v>1557</v>
      </c>
      <c r="K30" s="25" t="s">
        <v>1558</v>
      </c>
      <c r="L30" s="25" t="s">
        <v>800</v>
      </c>
      <c r="M30" s="25" t="s">
        <v>1559</v>
      </c>
      <c r="N30" s="25" t="s">
        <v>1118</v>
      </c>
      <c r="O30" s="25" t="s">
        <v>1560</v>
      </c>
      <c r="P30" s="25" t="s">
        <v>801</v>
      </c>
      <c r="Q30" s="25" t="s">
        <v>1561</v>
      </c>
      <c r="R30" s="25" t="s">
        <v>590</v>
      </c>
      <c r="S30" s="25" t="s">
        <v>1562</v>
      </c>
      <c r="T30" s="25" t="s">
        <v>1563</v>
      </c>
      <c r="U30" s="181">
        <v>2016</v>
      </c>
      <c r="W30" s="25"/>
      <c r="X30" s="25"/>
      <c r="Y30" s="25"/>
    </row>
    <row r="31" spans="1:25" ht="30" customHeight="1" x14ac:dyDescent="0.2">
      <c r="A31">
        <v>28</v>
      </c>
      <c r="B31" s="37">
        <v>60233900</v>
      </c>
      <c r="C31" s="25" t="s">
        <v>609</v>
      </c>
      <c r="D31" s="25" t="s">
        <v>136</v>
      </c>
      <c r="E31" s="25" t="s">
        <v>193</v>
      </c>
      <c r="F31" s="25" t="s">
        <v>193</v>
      </c>
      <c r="G31" s="25">
        <v>6530</v>
      </c>
      <c r="H31" s="25" t="s">
        <v>82</v>
      </c>
      <c r="I31" s="25" t="s">
        <v>976</v>
      </c>
      <c r="J31" s="25" t="s">
        <v>1298</v>
      </c>
      <c r="K31" s="25" t="s">
        <v>1299</v>
      </c>
      <c r="L31" s="25" t="s">
        <v>1300</v>
      </c>
      <c r="M31" s="25" t="s">
        <v>943</v>
      </c>
      <c r="N31" s="25" t="s">
        <v>1118</v>
      </c>
      <c r="O31" s="25">
        <v>2395439443</v>
      </c>
      <c r="P31" s="25" t="s">
        <v>944</v>
      </c>
      <c r="Q31" s="25" t="s">
        <v>1301</v>
      </c>
      <c r="R31" s="25" t="s">
        <v>590</v>
      </c>
      <c r="S31" s="25">
        <v>2395420097</v>
      </c>
      <c r="T31" s="25" t="s">
        <v>1302</v>
      </c>
      <c r="U31" s="181">
        <v>2016</v>
      </c>
      <c r="W31" s="25"/>
      <c r="X31" s="25"/>
      <c r="Y31" s="25"/>
    </row>
    <row r="32" spans="1:25" ht="30" customHeight="1" x14ac:dyDescent="0.2">
      <c r="A32">
        <v>29</v>
      </c>
      <c r="B32" s="37">
        <v>60270200</v>
      </c>
      <c r="C32" s="25" t="s">
        <v>194</v>
      </c>
      <c r="D32" s="25" t="s">
        <v>136</v>
      </c>
      <c r="E32" s="25" t="s">
        <v>195</v>
      </c>
      <c r="F32" s="25" t="s">
        <v>195</v>
      </c>
      <c r="G32" s="25">
        <v>1832</v>
      </c>
      <c r="H32" s="25" t="s">
        <v>82</v>
      </c>
      <c r="I32" s="25" t="s">
        <v>976</v>
      </c>
      <c r="J32" s="25" t="s">
        <v>1264</v>
      </c>
      <c r="K32" s="25" t="s">
        <v>1265</v>
      </c>
      <c r="L32" s="25" t="s">
        <v>802</v>
      </c>
      <c r="M32" s="25" t="s">
        <v>1266</v>
      </c>
      <c r="N32" s="25" t="s">
        <v>1118</v>
      </c>
      <c r="O32" s="25">
        <v>1167809339</v>
      </c>
      <c r="P32" s="25" t="s">
        <v>1267</v>
      </c>
      <c r="Q32" s="25" t="s">
        <v>1268</v>
      </c>
      <c r="R32" s="25" t="s">
        <v>1122</v>
      </c>
      <c r="S32" s="25">
        <v>1140837109</v>
      </c>
      <c r="T32" s="25" t="s">
        <v>771</v>
      </c>
      <c r="U32" s="181">
        <v>2021</v>
      </c>
      <c r="W32" s="25"/>
      <c r="X32" s="25"/>
      <c r="Y32" s="25"/>
    </row>
    <row r="33" spans="1:28" ht="30" customHeight="1" x14ac:dyDescent="0.2">
      <c r="A33">
        <v>30</v>
      </c>
      <c r="B33" s="37">
        <v>60339300</v>
      </c>
      <c r="C33" s="25" t="s">
        <v>196</v>
      </c>
      <c r="D33" s="25" t="s">
        <v>136</v>
      </c>
      <c r="E33" s="25" t="s">
        <v>197</v>
      </c>
      <c r="F33" s="25" t="s">
        <v>198</v>
      </c>
      <c r="G33" s="25">
        <v>6015</v>
      </c>
      <c r="H33" s="25" t="s">
        <v>82</v>
      </c>
      <c r="I33" s="25" t="s">
        <v>976</v>
      </c>
      <c r="J33" s="25" t="s">
        <v>843</v>
      </c>
      <c r="K33" s="25" t="s">
        <v>1335</v>
      </c>
      <c r="L33" s="25" t="s">
        <v>844</v>
      </c>
      <c r="M33" s="25" t="s">
        <v>2774</v>
      </c>
      <c r="N33" s="25" t="s">
        <v>1118</v>
      </c>
      <c r="O33" s="25">
        <v>2355643605</v>
      </c>
      <c r="P33" s="25" t="s">
        <v>845</v>
      </c>
      <c r="Q33" s="25" t="s">
        <v>846</v>
      </c>
      <c r="R33" s="25" t="s">
        <v>1272</v>
      </c>
      <c r="S33" s="25">
        <v>2355456020</v>
      </c>
      <c r="T33" s="25" t="s">
        <v>847</v>
      </c>
      <c r="U33" s="181">
        <v>2016</v>
      </c>
      <c r="W33" s="25"/>
      <c r="X33" s="25"/>
      <c r="Y33" s="25"/>
    </row>
    <row r="34" spans="1:28" ht="30" customHeight="1" x14ac:dyDescent="0.2">
      <c r="A34">
        <v>31</v>
      </c>
      <c r="B34" s="37">
        <v>60433000</v>
      </c>
      <c r="C34" s="25" t="s">
        <v>1897</v>
      </c>
      <c r="D34" s="25" t="s">
        <v>136</v>
      </c>
      <c r="E34" s="25" t="s">
        <v>462</v>
      </c>
      <c r="F34" s="37" t="s">
        <v>462</v>
      </c>
      <c r="G34" s="25">
        <v>1748</v>
      </c>
      <c r="H34" s="25" t="s">
        <v>82</v>
      </c>
      <c r="I34" s="25" t="s">
        <v>83</v>
      </c>
      <c r="J34" t="s">
        <v>1898</v>
      </c>
      <c r="K34"/>
      <c r="L34" t="s">
        <v>1899</v>
      </c>
      <c r="M34" t="s">
        <v>1900</v>
      </c>
      <c r="N34" t="s">
        <v>1118</v>
      </c>
      <c r="O34" t="s">
        <v>1901</v>
      </c>
      <c r="P34" t="s">
        <v>1902</v>
      </c>
      <c r="Q34" t="s">
        <v>1903</v>
      </c>
      <c r="R34" t="s">
        <v>590</v>
      </c>
      <c r="S34" t="s">
        <v>1904</v>
      </c>
      <c r="T34" t="s">
        <v>1905</v>
      </c>
      <c r="U34" s="181">
        <v>2022</v>
      </c>
      <c r="W34" s="25"/>
      <c r="Y34" s="25"/>
    </row>
    <row r="35" spans="1:28" ht="30" customHeight="1" x14ac:dyDescent="0.2">
      <c r="A35">
        <v>32</v>
      </c>
      <c r="B35" s="37">
        <v>60442300</v>
      </c>
      <c r="C35" s="25" t="s">
        <v>610</v>
      </c>
      <c r="D35" s="25" t="s">
        <v>136</v>
      </c>
      <c r="E35" s="25" t="s">
        <v>2505</v>
      </c>
      <c r="F35" s="25" t="s">
        <v>1324</v>
      </c>
      <c r="G35" s="25">
        <v>7163</v>
      </c>
      <c r="H35" s="25" t="s">
        <v>82</v>
      </c>
      <c r="I35" s="25" t="s">
        <v>976</v>
      </c>
      <c r="J35" s="25" t="s">
        <v>1021</v>
      </c>
      <c r="K35" s="25" t="s">
        <v>1325</v>
      </c>
      <c r="L35" s="25" t="s">
        <v>1022</v>
      </c>
      <c r="M35" s="25" t="s">
        <v>1023</v>
      </c>
      <c r="N35" s="25" t="s">
        <v>1118</v>
      </c>
      <c r="O35" s="25" t="s">
        <v>1326</v>
      </c>
      <c r="P35" s="25" t="s">
        <v>1327</v>
      </c>
      <c r="Q35" s="25" t="s">
        <v>1328</v>
      </c>
      <c r="R35" s="25" t="s">
        <v>590</v>
      </c>
      <c r="S35" s="25" t="s">
        <v>1329</v>
      </c>
      <c r="T35" s="25" t="s">
        <v>1024</v>
      </c>
      <c r="U35" s="181">
        <v>2016</v>
      </c>
      <c r="W35" s="25"/>
      <c r="X35" s="25"/>
      <c r="Y35" s="25"/>
    </row>
    <row r="36" spans="1:28" ht="30" customHeight="1" x14ac:dyDescent="0.2">
      <c r="A36">
        <v>33</v>
      </c>
      <c r="B36" s="37">
        <v>60563100</v>
      </c>
      <c r="C36" s="25" t="s">
        <v>199</v>
      </c>
      <c r="D36" s="25" t="s">
        <v>136</v>
      </c>
      <c r="E36" s="25" t="s">
        <v>200</v>
      </c>
      <c r="F36" s="25" t="s">
        <v>2745</v>
      </c>
      <c r="G36" s="25">
        <v>1865</v>
      </c>
      <c r="H36" s="25" t="s">
        <v>82</v>
      </c>
      <c r="I36" s="25" t="s">
        <v>976</v>
      </c>
      <c r="J36" s="25" t="s">
        <v>1318</v>
      </c>
      <c r="K36" s="25" t="s">
        <v>149</v>
      </c>
      <c r="L36" s="25" t="s">
        <v>1319</v>
      </c>
      <c r="M36" s="25" t="s">
        <v>1320</v>
      </c>
      <c r="N36" s="25" t="s">
        <v>1118</v>
      </c>
      <c r="O36" s="25">
        <v>2224550282</v>
      </c>
      <c r="P36" s="25" t="s">
        <v>1321</v>
      </c>
      <c r="Q36" s="25" t="s">
        <v>1322</v>
      </c>
      <c r="R36" s="25" t="s">
        <v>1272</v>
      </c>
      <c r="S36" s="25">
        <v>1141901523</v>
      </c>
      <c r="T36" s="25" t="s">
        <v>1323</v>
      </c>
      <c r="U36" s="181">
        <v>2021</v>
      </c>
      <c r="W36" s="25"/>
      <c r="Y36" s="25"/>
    </row>
    <row r="37" spans="1:28" ht="30" customHeight="1" x14ac:dyDescent="0.2">
      <c r="A37">
        <v>34</v>
      </c>
      <c r="B37" s="37">
        <v>60574400</v>
      </c>
      <c r="C37" s="25" t="s">
        <v>201</v>
      </c>
      <c r="D37" s="25" t="s">
        <v>136</v>
      </c>
      <c r="E37" s="25" t="s">
        <v>2506</v>
      </c>
      <c r="F37" s="25" t="s">
        <v>1292</v>
      </c>
      <c r="G37" s="25">
        <v>1741</v>
      </c>
      <c r="H37" s="25" t="s">
        <v>82</v>
      </c>
      <c r="I37" s="25" t="s">
        <v>976</v>
      </c>
      <c r="J37" s="25" t="s">
        <v>1293</v>
      </c>
      <c r="L37" s="25" t="s">
        <v>1294</v>
      </c>
      <c r="M37" s="25" t="s">
        <v>1295</v>
      </c>
      <c r="N37" s="25" t="s">
        <v>1118</v>
      </c>
      <c r="O37" s="25">
        <v>1161513271</v>
      </c>
      <c r="P37" s="25" t="s">
        <v>945</v>
      </c>
      <c r="Q37" s="25" t="s">
        <v>1296</v>
      </c>
      <c r="R37" s="25" t="s">
        <v>1121</v>
      </c>
      <c r="S37" s="25">
        <v>1169509511</v>
      </c>
      <c r="T37" s="25" t="s">
        <v>1297</v>
      </c>
      <c r="U37" s="181">
        <v>2017</v>
      </c>
      <c r="W37" s="25"/>
      <c r="X37" s="25"/>
      <c r="Y37" s="25"/>
    </row>
    <row r="38" spans="1:28" ht="30" customHeight="1" x14ac:dyDescent="0.2">
      <c r="A38">
        <v>35</v>
      </c>
      <c r="B38" s="37">
        <v>60595200</v>
      </c>
      <c r="C38" s="25" t="s">
        <v>472</v>
      </c>
      <c r="D38" s="25" t="s">
        <v>136</v>
      </c>
      <c r="E38" s="25" t="s">
        <v>516</v>
      </c>
      <c r="F38" s="25" t="s">
        <v>516</v>
      </c>
      <c r="G38" s="25">
        <v>2930</v>
      </c>
      <c r="H38" s="25" t="s">
        <v>82</v>
      </c>
      <c r="I38" s="25" t="s">
        <v>976</v>
      </c>
      <c r="J38" s="25" t="s">
        <v>1170</v>
      </c>
      <c r="K38" s="25" t="s">
        <v>1171</v>
      </c>
      <c r="L38" s="25" t="s">
        <v>804</v>
      </c>
      <c r="M38" s="25" t="s">
        <v>805</v>
      </c>
      <c r="N38" s="25" t="s">
        <v>1118</v>
      </c>
      <c r="O38" s="25" t="s">
        <v>1172</v>
      </c>
      <c r="P38" s="25" t="s">
        <v>806</v>
      </c>
      <c r="Q38" s="25" t="s">
        <v>805</v>
      </c>
      <c r="R38" s="25" t="s">
        <v>1119</v>
      </c>
      <c r="S38" s="25" t="s">
        <v>1172</v>
      </c>
      <c r="T38" s="25" t="s">
        <v>806</v>
      </c>
      <c r="U38" s="181">
        <v>2022</v>
      </c>
      <c r="W38" s="25"/>
      <c r="X38" s="25"/>
      <c r="Y38" s="25"/>
    </row>
    <row r="39" spans="1:28" ht="30" customHeight="1" x14ac:dyDescent="0.2">
      <c r="A39">
        <v>36</v>
      </c>
      <c r="B39" s="37">
        <v>60595600</v>
      </c>
      <c r="C39" s="25" t="s">
        <v>473</v>
      </c>
      <c r="D39" s="25" t="s">
        <v>136</v>
      </c>
      <c r="E39" s="25" t="s">
        <v>504</v>
      </c>
      <c r="F39" s="25" t="s">
        <v>504</v>
      </c>
      <c r="G39" s="25">
        <v>7130</v>
      </c>
      <c r="H39" s="25" t="s">
        <v>82</v>
      </c>
      <c r="I39" s="25" t="s">
        <v>976</v>
      </c>
      <c r="J39" s="25" t="s">
        <v>1257</v>
      </c>
      <c r="K39" s="25" t="s">
        <v>1258</v>
      </c>
      <c r="L39" s="25" t="s">
        <v>807</v>
      </c>
      <c r="M39" s="25" t="s">
        <v>1259</v>
      </c>
      <c r="N39" s="25" t="s">
        <v>1118</v>
      </c>
      <c r="O39" s="25">
        <v>2215015552</v>
      </c>
      <c r="P39" s="25" t="s">
        <v>1260</v>
      </c>
      <c r="Q39" s="25" t="s">
        <v>1261</v>
      </c>
      <c r="R39" s="25" t="s">
        <v>590</v>
      </c>
      <c r="S39" s="25" t="s">
        <v>1262</v>
      </c>
      <c r="T39" s="25" t="s">
        <v>1263</v>
      </c>
      <c r="U39" s="181">
        <v>2022</v>
      </c>
      <c r="W39" s="25"/>
      <c r="X39" s="25"/>
      <c r="Y39" s="25"/>
    </row>
    <row r="40" spans="1:28" ht="30" customHeight="1" x14ac:dyDescent="0.2">
      <c r="A40">
        <v>37</v>
      </c>
      <c r="B40" s="37">
        <v>60596500</v>
      </c>
      <c r="C40" s="25" t="s">
        <v>202</v>
      </c>
      <c r="D40" s="25" t="s">
        <v>136</v>
      </c>
      <c r="E40" s="25" t="s">
        <v>851</v>
      </c>
      <c r="F40" s="25" t="s">
        <v>203</v>
      </c>
      <c r="G40" s="25">
        <v>7540</v>
      </c>
      <c r="H40" s="25" t="s">
        <v>82</v>
      </c>
      <c r="I40" s="25" t="s">
        <v>976</v>
      </c>
      <c r="J40" s="25" t="s">
        <v>1394</v>
      </c>
      <c r="K40" s="25">
        <v>2926</v>
      </c>
      <c r="L40" s="25" t="s">
        <v>808</v>
      </c>
      <c r="M40" s="25" t="s">
        <v>1395</v>
      </c>
      <c r="N40" s="25" t="s">
        <v>1118</v>
      </c>
      <c r="O40" s="25">
        <v>2926411581</v>
      </c>
      <c r="P40" s="25" t="s">
        <v>809</v>
      </c>
      <c r="Q40" s="25" t="s">
        <v>1396</v>
      </c>
      <c r="R40" s="25" t="s">
        <v>1151</v>
      </c>
      <c r="S40" s="25">
        <v>2926419531</v>
      </c>
      <c r="T40" s="25" t="s">
        <v>1397</v>
      </c>
      <c r="U40" s="181">
        <v>2016</v>
      </c>
      <c r="W40" s="25"/>
      <c r="Y40" s="25"/>
    </row>
    <row r="41" spans="1:28" ht="30" customHeight="1" x14ac:dyDescent="0.2">
      <c r="A41">
        <v>38</v>
      </c>
      <c r="B41" s="37">
        <v>60610300</v>
      </c>
      <c r="C41" s="25" t="s">
        <v>204</v>
      </c>
      <c r="D41" s="25" t="s">
        <v>136</v>
      </c>
      <c r="E41" s="25" t="s">
        <v>205</v>
      </c>
      <c r="F41" s="25" t="s">
        <v>205</v>
      </c>
      <c r="G41" s="25">
        <v>2800</v>
      </c>
      <c r="H41" s="25" t="s">
        <v>82</v>
      </c>
      <c r="I41" s="25" t="s">
        <v>976</v>
      </c>
      <c r="J41" s="25" t="s">
        <v>848</v>
      </c>
      <c r="K41" s="25" t="s">
        <v>1349</v>
      </c>
      <c r="L41" s="25" t="s">
        <v>849</v>
      </c>
      <c r="M41" s="25" t="s">
        <v>1350</v>
      </c>
      <c r="N41" s="25" t="s">
        <v>1118</v>
      </c>
      <c r="O41" s="25" t="s">
        <v>1351</v>
      </c>
      <c r="P41" s="25" t="s">
        <v>1352</v>
      </c>
      <c r="Q41" s="25" t="s">
        <v>1353</v>
      </c>
      <c r="R41" s="25" t="s">
        <v>1151</v>
      </c>
      <c r="S41" s="25" t="s">
        <v>850</v>
      </c>
      <c r="T41" s="25" t="s">
        <v>1354</v>
      </c>
      <c r="U41" s="181">
        <v>2016</v>
      </c>
      <c r="W41" s="25"/>
      <c r="X41" s="25"/>
      <c r="Y41" s="25"/>
    </row>
    <row r="42" spans="1:28" ht="30" customHeight="1" x14ac:dyDescent="0.2">
      <c r="A42">
        <v>39</v>
      </c>
      <c r="B42" s="37">
        <v>60611700</v>
      </c>
      <c r="C42" s="25" t="s">
        <v>206</v>
      </c>
      <c r="D42" s="25" t="s">
        <v>136</v>
      </c>
      <c r="E42" s="25" t="s">
        <v>207</v>
      </c>
      <c r="F42" s="25" t="s">
        <v>207</v>
      </c>
      <c r="G42" s="25">
        <v>1708</v>
      </c>
      <c r="H42" s="25" t="s">
        <v>134</v>
      </c>
      <c r="I42" s="25" t="s">
        <v>83</v>
      </c>
      <c r="J42" s="25" t="s">
        <v>1630</v>
      </c>
      <c r="K42" s="25" t="s">
        <v>1631</v>
      </c>
      <c r="L42" s="25" t="s">
        <v>1632</v>
      </c>
      <c r="M42" s="25" t="s">
        <v>810</v>
      </c>
      <c r="N42" s="25" t="s">
        <v>1118</v>
      </c>
      <c r="O42" s="25" t="s">
        <v>1631</v>
      </c>
      <c r="P42" s="25" t="s">
        <v>811</v>
      </c>
      <c r="Q42" s="25" t="s">
        <v>1633</v>
      </c>
      <c r="R42" s="25" t="s">
        <v>1272</v>
      </c>
      <c r="S42" s="25" t="s">
        <v>1631</v>
      </c>
      <c r="T42" s="25" t="s">
        <v>1634</v>
      </c>
      <c r="U42" s="181">
        <v>2018</v>
      </c>
      <c r="W42" s="25"/>
      <c r="X42" s="25"/>
      <c r="Y42" s="25"/>
    </row>
    <row r="43" spans="1:28" ht="30" customHeight="1" x14ac:dyDescent="0.2">
      <c r="A43">
        <v>40</v>
      </c>
      <c r="B43" s="37">
        <v>60643100</v>
      </c>
      <c r="C43" s="25" t="s">
        <v>611</v>
      </c>
      <c r="D43" s="25" t="s">
        <v>136</v>
      </c>
      <c r="E43" s="25" t="s">
        <v>269</v>
      </c>
      <c r="F43" s="25" t="s">
        <v>269</v>
      </c>
      <c r="G43" s="25">
        <v>1900</v>
      </c>
      <c r="H43" s="25" t="s">
        <v>134</v>
      </c>
      <c r="I43" s="25" t="s">
        <v>83</v>
      </c>
      <c r="J43" s="25" t="s">
        <v>1687</v>
      </c>
      <c r="K43" s="25" t="s">
        <v>812</v>
      </c>
      <c r="L43" s="25" t="s">
        <v>813</v>
      </c>
      <c r="M43" s="25" t="s">
        <v>1688</v>
      </c>
      <c r="N43" s="25" t="s">
        <v>1118</v>
      </c>
      <c r="O43" s="25" t="s">
        <v>814</v>
      </c>
      <c r="P43" s="25" t="s">
        <v>815</v>
      </c>
      <c r="Q43" s="25" t="s">
        <v>1689</v>
      </c>
      <c r="R43" s="25" t="s">
        <v>1122</v>
      </c>
      <c r="S43" s="25" t="s">
        <v>1690</v>
      </c>
      <c r="T43" s="25" t="s">
        <v>816</v>
      </c>
      <c r="U43" s="181">
        <v>2021</v>
      </c>
      <c r="W43" s="25"/>
      <c r="X43" s="25"/>
      <c r="Y43" s="25"/>
    </row>
    <row r="44" spans="1:28" ht="30" customHeight="1" x14ac:dyDescent="0.2">
      <c r="A44">
        <v>41</v>
      </c>
      <c r="B44" s="37">
        <v>60652600</v>
      </c>
      <c r="C44" s="25" t="s">
        <v>208</v>
      </c>
      <c r="D44" s="25" t="s">
        <v>136</v>
      </c>
      <c r="E44" s="25" t="s">
        <v>209</v>
      </c>
      <c r="F44" s="25" t="s">
        <v>209</v>
      </c>
      <c r="G44" s="25">
        <v>1646</v>
      </c>
      <c r="H44" s="25" t="s">
        <v>134</v>
      </c>
      <c r="I44" s="25" t="s">
        <v>83</v>
      </c>
      <c r="J44" s="25" t="s">
        <v>1726</v>
      </c>
      <c r="K44" s="25" t="s">
        <v>1727</v>
      </c>
      <c r="L44" s="25" t="s">
        <v>817</v>
      </c>
      <c r="M44" s="25" t="s">
        <v>1728</v>
      </c>
      <c r="N44" s="25" t="s">
        <v>1118</v>
      </c>
      <c r="O44" s="25" t="s">
        <v>1729</v>
      </c>
      <c r="P44" s="25" t="s">
        <v>1730</v>
      </c>
      <c r="Q44" s="25" t="s">
        <v>1731</v>
      </c>
      <c r="R44" s="25" t="s">
        <v>590</v>
      </c>
      <c r="S44" s="25">
        <v>1144354047</v>
      </c>
      <c r="T44" s="25" t="s">
        <v>1732</v>
      </c>
      <c r="U44" s="181">
        <v>2018</v>
      </c>
      <c r="W44" s="25"/>
      <c r="X44" s="25"/>
      <c r="Y44" s="25"/>
    </row>
    <row r="45" spans="1:28" ht="30" customHeight="1" x14ac:dyDescent="0.2">
      <c r="A45">
        <v>42</v>
      </c>
      <c r="B45" s="37">
        <v>60661000</v>
      </c>
      <c r="C45" s="25" t="s">
        <v>210</v>
      </c>
      <c r="D45" s="25" t="s">
        <v>136</v>
      </c>
      <c r="E45" s="25" t="s">
        <v>211</v>
      </c>
      <c r="F45" s="25" t="s">
        <v>1224</v>
      </c>
      <c r="G45" s="25">
        <v>7513</v>
      </c>
      <c r="H45" s="25" t="s">
        <v>82</v>
      </c>
      <c r="I45" s="25" t="s">
        <v>976</v>
      </c>
      <c r="J45" s="25" t="s">
        <v>1225</v>
      </c>
      <c r="K45" s="25">
        <v>2983482081</v>
      </c>
      <c r="L45" s="25" t="s">
        <v>818</v>
      </c>
      <c r="M45" s="25" t="s">
        <v>1226</v>
      </c>
      <c r="N45" s="25" t="s">
        <v>1118</v>
      </c>
      <c r="O45" s="25">
        <v>2983564897</v>
      </c>
      <c r="P45" s="25" t="s">
        <v>819</v>
      </c>
      <c r="Q45" s="25" t="s">
        <v>1227</v>
      </c>
      <c r="R45" s="25" t="s">
        <v>590</v>
      </c>
      <c r="S45" s="25" t="s">
        <v>1228</v>
      </c>
      <c r="T45" s="25" t="s">
        <v>820</v>
      </c>
      <c r="U45" s="181">
        <v>2016</v>
      </c>
      <c r="W45" s="25"/>
      <c r="X45" s="25"/>
      <c r="Y45" s="25"/>
    </row>
    <row r="46" spans="1:28" ht="30" customHeight="1" x14ac:dyDescent="0.2">
      <c r="A46">
        <v>43</v>
      </c>
      <c r="B46" s="37">
        <v>60670900</v>
      </c>
      <c r="C46" s="25" t="s">
        <v>212</v>
      </c>
      <c r="D46" s="25" t="s">
        <v>136</v>
      </c>
      <c r="E46" s="25" t="s">
        <v>213</v>
      </c>
      <c r="F46" s="25" t="s">
        <v>512</v>
      </c>
      <c r="G46" s="25">
        <v>8183</v>
      </c>
      <c r="H46" s="25" t="s">
        <v>82</v>
      </c>
      <c r="I46" s="25" t="s">
        <v>976</v>
      </c>
      <c r="J46" s="25" t="s">
        <v>2219</v>
      </c>
      <c r="K46" s="25" t="s">
        <v>2220</v>
      </c>
      <c r="L46" s="25" t="s">
        <v>2221</v>
      </c>
      <c r="M46" s="25" t="s">
        <v>2222</v>
      </c>
      <c r="N46" s="25" t="s">
        <v>1118</v>
      </c>
      <c r="O46" s="25">
        <v>2924407858</v>
      </c>
      <c r="P46" s="25" t="s">
        <v>2221</v>
      </c>
      <c r="Q46" s="25" t="s">
        <v>2222</v>
      </c>
      <c r="R46" s="25" t="s">
        <v>1119</v>
      </c>
      <c r="S46" s="25" t="s">
        <v>2220</v>
      </c>
      <c r="T46" s="25" t="s">
        <v>2221</v>
      </c>
      <c r="U46" s="181">
        <v>2021</v>
      </c>
      <c r="W46" s="25"/>
      <c r="Y46" s="25"/>
    </row>
    <row r="47" spans="1:28" ht="30" customHeight="1" x14ac:dyDescent="0.2">
      <c r="A47">
        <v>44</v>
      </c>
      <c r="B47" s="37">
        <v>60691500</v>
      </c>
      <c r="C47" s="25" t="s">
        <v>612</v>
      </c>
      <c r="D47" s="25" t="s">
        <v>136</v>
      </c>
      <c r="E47" s="25" t="s">
        <v>214</v>
      </c>
      <c r="F47" s="25" t="s">
        <v>214</v>
      </c>
      <c r="G47" s="25">
        <v>6455</v>
      </c>
      <c r="H47" s="25" t="s">
        <v>82</v>
      </c>
      <c r="I47" s="25" t="s">
        <v>976</v>
      </c>
      <c r="J47" s="25" t="s">
        <v>1358</v>
      </c>
      <c r="K47" s="25">
        <v>2357431766</v>
      </c>
      <c r="L47" s="25" t="s">
        <v>1359</v>
      </c>
      <c r="M47" s="25" t="s">
        <v>1360</v>
      </c>
      <c r="N47" s="25" t="s">
        <v>1118</v>
      </c>
      <c r="O47" s="25">
        <v>2355462257</v>
      </c>
      <c r="P47" s="25" t="s">
        <v>1361</v>
      </c>
      <c r="Q47" s="25" t="s">
        <v>1362</v>
      </c>
      <c r="R47" s="25" t="s">
        <v>590</v>
      </c>
      <c r="S47" s="25">
        <v>2355644809</v>
      </c>
      <c r="T47" s="25" t="s">
        <v>1363</v>
      </c>
      <c r="U47" s="181">
        <v>2016</v>
      </c>
      <c r="W47" s="25"/>
      <c r="X47" s="25"/>
      <c r="Y47" s="25"/>
      <c r="Z47" s="25"/>
      <c r="AB47" s="25"/>
    </row>
    <row r="48" spans="1:28" ht="30" customHeight="1" x14ac:dyDescent="0.2">
      <c r="A48">
        <v>45</v>
      </c>
      <c r="B48" s="37">
        <v>60702400</v>
      </c>
      <c r="C48" s="25" t="s">
        <v>613</v>
      </c>
      <c r="D48" s="25" t="s">
        <v>136</v>
      </c>
      <c r="E48" s="25" t="s">
        <v>215</v>
      </c>
      <c r="F48" s="25" t="s">
        <v>215</v>
      </c>
      <c r="G48" s="25">
        <v>7530</v>
      </c>
      <c r="H48" s="25" t="s">
        <v>82</v>
      </c>
      <c r="I48" s="25" t="s">
        <v>976</v>
      </c>
      <c r="J48" s="25" t="s">
        <v>2038</v>
      </c>
      <c r="K48" s="25" t="s">
        <v>2039</v>
      </c>
      <c r="L48" s="25" t="s">
        <v>2040</v>
      </c>
      <c r="M48" s="25" t="s">
        <v>2041</v>
      </c>
      <c r="N48" s="25" t="s">
        <v>1118</v>
      </c>
      <c r="O48" s="25">
        <v>2923463821</v>
      </c>
      <c r="P48" s="25" t="s">
        <v>2042</v>
      </c>
      <c r="Q48" s="25" t="s">
        <v>2043</v>
      </c>
      <c r="R48" s="25" t="s">
        <v>590</v>
      </c>
      <c r="S48" s="25">
        <v>2923503323</v>
      </c>
      <c r="T48" s="25" t="s">
        <v>2044</v>
      </c>
      <c r="U48" s="181">
        <v>2017</v>
      </c>
      <c r="W48" s="25"/>
      <c r="X48" s="25"/>
      <c r="Y48" s="25"/>
    </row>
    <row r="49" spans="1:28" ht="30" customHeight="1" x14ac:dyDescent="0.2">
      <c r="A49">
        <v>46</v>
      </c>
      <c r="B49" s="37">
        <v>60738300</v>
      </c>
      <c r="C49" s="25" t="s">
        <v>216</v>
      </c>
      <c r="D49" s="25" t="s">
        <v>136</v>
      </c>
      <c r="E49" s="25" t="s">
        <v>463</v>
      </c>
      <c r="F49" s="25" t="s">
        <v>463</v>
      </c>
      <c r="G49" s="25">
        <v>7303</v>
      </c>
      <c r="H49" s="25" t="s">
        <v>82</v>
      </c>
      <c r="I49" s="25" t="s">
        <v>976</v>
      </c>
      <c r="J49" s="25" t="s">
        <v>1781</v>
      </c>
      <c r="K49" s="25" t="s">
        <v>1782</v>
      </c>
      <c r="L49" s="25" t="s">
        <v>1783</v>
      </c>
      <c r="M49" s="25" t="s">
        <v>1784</v>
      </c>
      <c r="N49" s="25" t="s">
        <v>1118</v>
      </c>
      <c r="O49" s="25">
        <v>2281532572</v>
      </c>
      <c r="P49" s="25" t="s">
        <v>1785</v>
      </c>
      <c r="Q49" s="25" t="s">
        <v>1786</v>
      </c>
      <c r="R49" s="25" t="s">
        <v>1151</v>
      </c>
      <c r="S49" s="25" t="s">
        <v>1787</v>
      </c>
      <c r="T49" s="25" t="s">
        <v>1788</v>
      </c>
      <c r="U49" s="181">
        <v>2021</v>
      </c>
      <c r="W49" s="25"/>
      <c r="X49" s="25"/>
      <c r="Y49" s="25"/>
    </row>
    <row r="50" spans="1:28" ht="30" customHeight="1" x14ac:dyDescent="0.2">
      <c r="A50">
        <v>47</v>
      </c>
      <c r="B50" s="37">
        <v>60767300</v>
      </c>
      <c r="C50" s="25" t="s">
        <v>614</v>
      </c>
      <c r="D50" s="25" t="s">
        <v>136</v>
      </c>
      <c r="E50" s="25" t="s">
        <v>220</v>
      </c>
      <c r="F50" s="25" t="s">
        <v>1201</v>
      </c>
      <c r="G50" s="25">
        <v>7109</v>
      </c>
      <c r="H50" s="25" t="s">
        <v>82</v>
      </c>
      <c r="I50" s="25" t="s">
        <v>976</v>
      </c>
      <c r="J50" s="25" t="s">
        <v>821</v>
      </c>
      <c r="K50" s="25" t="s">
        <v>1202</v>
      </c>
      <c r="L50" s="25" t="s">
        <v>822</v>
      </c>
      <c r="M50" s="25" t="s">
        <v>1203</v>
      </c>
      <c r="N50" s="25" t="s">
        <v>1118</v>
      </c>
      <c r="O50" s="25">
        <v>2257618213</v>
      </c>
      <c r="P50" s="25" t="s">
        <v>822</v>
      </c>
      <c r="Q50" s="25" t="s">
        <v>1204</v>
      </c>
      <c r="R50" s="25" t="s">
        <v>1151</v>
      </c>
      <c r="S50" s="25">
        <v>2246500864</v>
      </c>
      <c r="T50" s="25" t="s">
        <v>1205</v>
      </c>
      <c r="U50" s="181">
        <v>2016</v>
      </c>
      <c r="W50" s="25"/>
      <c r="X50" s="25"/>
      <c r="Y50" s="25"/>
    </row>
    <row r="51" spans="1:28" ht="30" customHeight="1" x14ac:dyDescent="0.2">
      <c r="A51">
        <v>48</v>
      </c>
      <c r="B51" s="37">
        <v>60770900</v>
      </c>
      <c r="C51" s="25" t="s">
        <v>615</v>
      </c>
      <c r="D51" s="25" t="s">
        <v>136</v>
      </c>
      <c r="E51" s="25" t="s">
        <v>221</v>
      </c>
      <c r="F51" s="25" t="s">
        <v>221</v>
      </c>
      <c r="G51" s="25">
        <v>2741</v>
      </c>
      <c r="H51" s="25" t="s">
        <v>82</v>
      </c>
      <c r="I51" s="25" t="s">
        <v>976</v>
      </c>
      <c r="J51" s="25" t="s">
        <v>1269</v>
      </c>
      <c r="K51" s="25">
        <v>2474423102</v>
      </c>
      <c r="L51" s="25" t="s">
        <v>1011</v>
      </c>
      <c r="M51" s="25" t="s">
        <v>1270</v>
      </c>
      <c r="N51" s="25" t="s">
        <v>1118</v>
      </c>
      <c r="O51" s="25">
        <v>2474479613</v>
      </c>
      <c r="P51" s="25" t="s">
        <v>1012</v>
      </c>
      <c r="Q51" s="25" t="s">
        <v>1271</v>
      </c>
      <c r="R51" s="25" t="s">
        <v>1272</v>
      </c>
      <c r="S51" s="25">
        <v>2474479613</v>
      </c>
      <c r="T51" s="25" t="s">
        <v>1012</v>
      </c>
      <c r="U51" s="181">
        <v>2016</v>
      </c>
      <c r="W51" s="25"/>
      <c r="X51" s="25"/>
      <c r="Y51" s="25"/>
    </row>
    <row r="52" spans="1:28" ht="30" customHeight="1" x14ac:dyDescent="0.2">
      <c r="A52">
        <v>49</v>
      </c>
      <c r="B52" s="37">
        <v>60778000</v>
      </c>
      <c r="C52" s="25" t="s">
        <v>222</v>
      </c>
      <c r="D52" s="25" t="s">
        <v>136</v>
      </c>
      <c r="E52" s="25" t="s">
        <v>223</v>
      </c>
      <c r="F52" s="25" t="s">
        <v>223</v>
      </c>
      <c r="G52" s="25">
        <v>7100</v>
      </c>
      <c r="H52" s="25" t="s">
        <v>82</v>
      </c>
      <c r="I52" s="25" t="s">
        <v>976</v>
      </c>
      <c r="J52" s="25" t="s">
        <v>2196</v>
      </c>
      <c r="K52" s="25">
        <v>2245443171</v>
      </c>
      <c r="L52" s="25" t="s">
        <v>2197</v>
      </c>
      <c r="M52" s="25" t="s">
        <v>2198</v>
      </c>
      <c r="N52" s="25" t="s">
        <v>1118</v>
      </c>
      <c r="O52" s="25">
        <v>2245503832</v>
      </c>
      <c r="P52" s="25" t="s">
        <v>2199</v>
      </c>
      <c r="Q52" s="25" t="s">
        <v>2198</v>
      </c>
      <c r="R52" s="25" t="s">
        <v>1122</v>
      </c>
      <c r="S52" s="25">
        <v>2245503832</v>
      </c>
      <c r="T52" s="25" t="s">
        <v>2199</v>
      </c>
      <c r="U52" s="181">
        <v>2016</v>
      </c>
      <c r="W52" s="25"/>
      <c r="X52" s="25"/>
      <c r="Y52" s="25"/>
    </row>
    <row r="53" spans="1:28" ht="30" customHeight="1" x14ac:dyDescent="0.2">
      <c r="A53">
        <v>50</v>
      </c>
      <c r="B53" s="37">
        <v>60786800</v>
      </c>
      <c r="C53" s="25" t="s">
        <v>224</v>
      </c>
      <c r="D53" s="25" t="s">
        <v>136</v>
      </c>
      <c r="E53" s="25" t="s">
        <v>225</v>
      </c>
      <c r="F53" s="25" t="s">
        <v>225</v>
      </c>
      <c r="G53" s="25">
        <v>1980</v>
      </c>
      <c r="H53" s="25" t="s">
        <v>82</v>
      </c>
      <c r="I53" s="25" t="s">
        <v>976</v>
      </c>
      <c r="J53" s="25" t="s">
        <v>1167</v>
      </c>
      <c r="K53" s="25">
        <v>2223509480</v>
      </c>
      <c r="L53" s="25" t="s">
        <v>1168</v>
      </c>
      <c r="M53" s="25" t="s">
        <v>1169</v>
      </c>
      <c r="N53" s="25" t="s">
        <v>1118</v>
      </c>
      <c r="O53" s="25">
        <v>2223509480</v>
      </c>
      <c r="P53" s="25" t="s">
        <v>946</v>
      </c>
      <c r="Q53" s="25" t="s">
        <v>1169</v>
      </c>
      <c r="R53" s="25" t="s">
        <v>1122</v>
      </c>
      <c r="S53" s="25">
        <v>2223509480</v>
      </c>
      <c r="T53" s="25" t="s">
        <v>946</v>
      </c>
      <c r="U53" s="181">
        <v>2016</v>
      </c>
      <c r="W53" s="25"/>
      <c r="X53" s="25"/>
      <c r="Y53" s="25"/>
    </row>
    <row r="54" spans="1:28" ht="30" customHeight="1" x14ac:dyDescent="0.2">
      <c r="A54">
        <v>51</v>
      </c>
      <c r="B54" s="37">
        <v>60797800</v>
      </c>
      <c r="C54" s="25" t="s">
        <v>226</v>
      </c>
      <c r="D54" s="25" t="s">
        <v>136</v>
      </c>
      <c r="E54" s="25" t="s">
        <v>227</v>
      </c>
      <c r="F54" s="25" t="s">
        <v>227</v>
      </c>
      <c r="G54" s="25">
        <v>2752</v>
      </c>
      <c r="H54" s="25" t="s">
        <v>82</v>
      </c>
      <c r="I54" s="25" t="s">
        <v>83</v>
      </c>
      <c r="J54" s="25" t="s">
        <v>1370</v>
      </c>
      <c r="K54" s="25" t="s">
        <v>1371</v>
      </c>
      <c r="L54" s="25" t="s">
        <v>947</v>
      </c>
      <c r="M54" s="25" t="s">
        <v>1372</v>
      </c>
      <c r="N54" s="25" t="s">
        <v>1118</v>
      </c>
      <c r="O54" s="25">
        <v>2474684527</v>
      </c>
      <c r="P54" s="25" t="s">
        <v>948</v>
      </c>
      <c r="Q54" s="25" t="s">
        <v>1373</v>
      </c>
      <c r="R54" s="25" t="s">
        <v>590</v>
      </c>
      <c r="S54" s="25">
        <v>2478462041</v>
      </c>
      <c r="T54" s="25" t="s">
        <v>1374</v>
      </c>
      <c r="U54" s="181">
        <v>2019</v>
      </c>
      <c r="W54" s="25"/>
      <c r="X54" s="25"/>
      <c r="Y54" s="25"/>
    </row>
    <row r="55" spans="1:28" ht="30" customHeight="1" x14ac:dyDescent="0.2">
      <c r="A55">
        <v>52</v>
      </c>
      <c r="B55" s="37">
        <v>60798600</v>
      </c>
      <c r="C55" s="25" t="s">
        <v>464</v>
      </c>
      <c r="D55" s="25" t="s">
        <v>136</v>
      </c>
      <c r="E55" s="25" t="s">
        <v>465</v>
      </c>
      <c r="F55" s="25" t="s">
        <v>2205</v>
      </c>
      <c r="G55" s="25">
        <v>7174</v>
      </c>
      <c r="H55" s="25" t="s">
        <v>82</v>
      </c>
      <c r="I55" s="25" t="s">
        <v>976</v>
      </c>
      <c r="J55" s="25" t="s">
        <v>2206</v>
      </c>
      <c r="K55" s="25">
        <v>2265432854</v>
      </c>
      <c r="L55" s="25" t="s">
        <v>2207</v>
      </c>
      <c r="M55" s="25" t="s">
        <v>2208</v>
      </c>
      <c r="N55" s="25" t="s">
        <v>1118</v>
      </c>
      <c r="O55" s="25">
        <v>2265419157</v>
      </c>
      <c r="P55" s="25" t="s">
        <v>2209</v>
      </c>
      <c r="Q55" s="25" t="s">
        <v>2210</v>
      </c>
      <c r="R55" s="25" t="s">
        <v>1151</v>
      </c>
      <c r="S55" s="25">
        <v>2235956908</v>
      </c>
      <c r="T55" s="25" t="s">
        <v>2211</v>
      </c>
      <c r="U55" s="181">
        <v>2022</v>
      </c>
      <c r="W55" s="25"/>
      <c r="X55" s="25"/>
      <c r="Y55" s="25"/>
    </row>
    <row r="56" spans="1:28" ht="30" customHeight="1" x14ac:dyDescent="0.2">
      <c r="A56">
        <v>53</v>
      </c>
      <c r="B56" s="37">
        <v>60799700</v>
      </c>
      <c r="C56" s="25" t="s">
        <v>616</v>
      </c>
      <c r="D56" s="25" t="s">
        <v>136</v>
      </c>
      <c r="E56" s="25" t="s">
        <v>228</v>
      </c>
      <c r="F56" s="37" t="s">
        <v>228</v>
      </c>
      <c r="G56" s="25">
        <v>6740</v>
      </c>
      <c r="H56" s="25" t="s">
        <v>82</v>
      </c>
      <c r="I56" s="25" t="s">
        <v>976</v>
      </c>
      <c r="J56" t="s">
        <v>1938</v>
      </c>
      <c r="K56" t="s">
        <v>1939</v>
      </c>
      <c r="L56" t="s">
        <v>1940</v>
      </c>
      <c r="M56" t="s">
        <v>1941</v>
      </c>
      <c r="N56" t="s">
        <v>1118</v>
      </c>
      <c r="O56" t="s">
        <v>1942</v>
      </c>
      <c r="P56" t="s">
        <v>1943</v>
      </c>
      <c r="Q56" t="s">
        <v>1944</v>
      </c>
      <c r="R56" t="s">
        <v>1151</v>
      </c>
      <c r="S56">
        <v>2364671388</v>
      </c>
      <c r="T56" t="s">
        <v>1945</v>
      </c>
      <c r="U56" s="181">
        <v>2016</v>
      </c>
      <c r="W56" s="25"/>
      <c r="X56" s="25"/>
      <c r="Y56" s="25"/>
    </row>
    <row r="57" spans="1:28" ht="30" customHeight="1" x14ac:dyDescent="0.2">
      <c r="A57">
        <v>54</v>
      </c>
      <c r="B57" s="37">
        <v>60800900</v>
      </c>
      <c r="C57" s="25" t="s">
        <v>2804</v>
      </c>
      <c r="D57" s="25" t="s">
        <v>136</v>
      </c>
      <c r="E57" s="25" t="s">
        <v>271</v>
      </c>
      <c r="F57" s="25" t="s">
        <v>2805</v>
      </c>
      <c r="G57" s="25">
        <v>1757</v>
      </c>
      <c r="H57" s="25" t="s">
        <v>134</v>
      </c>
      <c r="I57" s="25" t="s">
        <v>83</v>
      </c>
      <c r="J57" s="25" t="s">
        <v>2806</v>
      </c>
      <c r="U57" s="179">
        <v>2025</v>
      </c>
      <c r="W57" s="25"/>
      <c r="X57" s="25"/>
      <c r="Y57" s="25"/>
    </row>
    <row r="58" spans="1:28" ht="30" customHeight="1" x14ac:dyDescent="0.2">
      <c r="A58">
        <v>55</v>
      </c>
      <c r="B58" s="37">
        <v>60807100</v>
      </c>
      <c r="C58" s="25" t="s">
        <v>229</v>
      </c>
      <c r="D58" s="25" t="s">
        <v>136</v>
      </c>
      <c r="E58" s="25" t="s">
        <v>230</v>
      </c>
      <c r="F58" s="25" t="s">
        <v>231</v>
      </c>
      <c r="G58" s="25">
        <v>1856</v>
      </c>
      <c r="H58" s="25" t="s">
        <v>82</v>
      </c>
      <c r="I58" s="25" t="s">
        <v>976</v>
      </c>
      <c r="J58" s="25" t="s">
        <v>834</v>
      </c>
      <c r="K58" s="25" t="s">
        <v>1406</v>
      </c>
      <c r="L58" s="25" t="s">
        <v>1407</v>
      </c>
      <c r="M58" s="25" t="s">
        <v>1408</v>
      </c>
      <c r="N58" s="25" t="s">
        <v>1118</v>
      </c>
      <c r="O58" s="25">
        <v>1131202071</v>
      </c>
      <c r="P58" s="25" t="s">
        <v>1407</v>
      </c>
      <c r="Q58" s="25" t="s">
        <v>1409</v>
      </c>
      <c r="R58" s="25" t="s">
        <v>1151</v>
      </c>
      <c r="S58" s="25" t="s">
        <v>1410</v>
      </c>
      <c r="T58" s="25" t="s">
        <v>835</v>
      </c>
      <c r="U58" s="181">
        <v>2016</v>
      </c>
      <c r="W58" s="25"/>
      <c r="X58" s="25"/>
      <c r="Y58" s="25"/>
    </row>
    <row r="59" spans="1:28" ht="30" customHeight="1" x14ac:dyDescent="0.2">
      <c r="A59">
        <v>56</v>
      </c>
      <c r="B59" s="37">
        <v>60831300</v>
      </c>
      <c r="C59" s="25" t="s">
        <v>617</v>
      </c>
      <c r="D59" s="25" t="s">
        <v>136</v>
      </c>
      <c r="E59" s="25" t="s">
        <v>195</v>
      </c>
      <c r="F59" s="25" t="s">
        <v>195</v>
      </c>
      <c r="G59" s="25">
        <v>1832</v>
      </c>
      <c r="H59" s="25" t="s">
        <v>134</v>
      </c>
      <c r="I59" s="25" t="s">
        <v>83</v>
      </c>
      <c r="J59" s="25" t="s">
        <v>823</v>
      </c>
      <c r="K59" s="25" t="s">
        <v>1606</v>
      </c>
      <c r="L59" s="25" t="s">
        <v>824</v>
      </c>
      <c r="M59" s="25" t="s">
        <v>1607</v>
      </c>
      <c r="N59" s="25" t="s">
        <v>1118</v>
      </c>
      <c r="O59" s="25" t="s">
        <v>1608</v>
      </c>
      <c r="P59" s="25" t="s">
        <v>825</v>
      </c>
      <c r="Q59" s="25" t="s">
        <v>1609</v>
      </c>
      <c r="R59" s="25" t="s">
        <v>1151</v>
      </c>
      <c r="S59" s="25" t="s">
        <v>1610</v>
      </c>
      <c r="T59" s="25" t="s">
        <v>826</v>
      </c>
      <c r="U59" s="181">
        <v>2016</v>
      </c>
      <c r="W59" s="25"/>
      <c r="Y59" s="25"/>
    </row>
    <row r="60" spans="1:28" ht="30" customHeight="1" x14ac:dyDescent="0.2">
      <c r="A60">
        <v>57</v>
      </c>
      <c r="B60" s="37">
        <v>60845900</v>
      </c>
      <c r="C60" s="25" t="s">
        <v>618</v>
      </c>
      <c r="D60" s="25" t="s">
        <v>136</v>
      </c>
      <c r="E60" s="25" t="s">
        <v>232</v>
      </c>
      <c r="F60" s="25" t="s">
        <v>232</v>
      </c>
      <c r="G60" s="25">
        <v>7203</v>
      </c>
      <c r="H60" s="25" t="s">
        <v>82</v>
      </c>
      <c r="I60" s="25" t="s">
        <v>976</v>
      </c>
      <c r="J60" s="25" t="s">
        <v>1306</v>
      </c>
      <c r="K60" s="25" t="s">
        <v>1307</v>
      </c>
      <c r="L60" s="25" t="s">
        <v>827</v>
      </c>
      <c r="M60" s="25" t="s">
        <v>1308</v>
      </c>
      <c r="N60" s="25" t="s">
        <v>1118</v>
      </c>
      <c r="O60" s="25">
        <v>2494354355</v>
      </c>
      <c r="P60" s="25" t="s">
        <v>1309</v>
      </c>
      <c r="Q60" s="25" t="s">
        <v>1310</v>
      </c>
      <c r="R60" s="25" t="s">
        <v>1151</v>
      </c>
      <c r="S60" s="25">
        <v>2494018707</v>
      </c>
      <c r="T60" s="25" t="s">
        <v>1311</v>
      </c>
      <c r="U60" s="181">
        <v>2016</v>
      </c>
      <c r="W60" s="25"/>
      <c r="X60" s="25"/>
      <c r="Y60" s="25"/>
      <c r="Z60" s="25"/>
      <c r="AB60" s="25"/>
    </row>
    <row r="61" spans="1:28" ht="30" customHeight="1" x14ac:dyDescent="0.2">
      <c r="A61">
        <v>58</v>
      </c>
      <c r="B61" s="37">
        <v>60863000</v>
      </c>
      <c r="C61" s="25" t="s">
        <v>233</v>
      </c>
      <c r="D61" s="25" t="s">
        <v>136</v>
      </c>
      <c r="E61" s="25" t="s">
        <v>234</v>
      </c>
      <c r="F61" s="25" t="s">
        <v>235</v>
      </c>
      <c r="G61" s="25">
        <v>1676</v>
      </c>
      <c r="H61" s="25" t="s">
        <v>134</v>
      </c>
      <c r="I61" s="25" t="s">
        <v>83</v>
      </c>
      <c r="J61" s="25" t="s">
        <v>1698</v>
      </c>
      <c r="K61" s="25" t="s">
        <v>1699</v>
      </c>
      <c r="L61" s="25" t="s">
        <v>992</v>
      </c>
      <c r="M61" s="25" t="s">
        <v>1700</v>
      </c>
      <c r="N61" s="25" t="s">
        <v>1118</v>
      </c>
      <c r="O61" s="25" t="s">
        <v>1699</v>
      </c>
      <c r="P61" s="25" t="s">
        <v>992</v>
      </c>
      <c r="Q61" s="25" t="s">
        <v>1701</v>
      </c>
      <c r="R61" s="25" t="s">
        <v>1181</v>
      </c>
      <c r="S61" s="25" t="s">
        <v>1699</v>
      </c>
      <c r="T61" s="25" t="s">
        <v>1702</v>
      </c>
      <c r="U61" s="181">
        <v>2018</v>
      </c>
      <c r="W61" s="25"/>
      <c r="Y61" s="25"/>
    </row>
    <row r="62" spans="1:28" ht="30" customHeight="1" x14ac:dyDescent="0.2">
      <c r="A62">
        <v>59</v>
      </c>
      <c r="B62" s="37">
        <v>60877900</v>
      </c>
      <c r="C62" s="25" t="s">
        <v>452</v>
      </c>
      <c r="D62" s="25" t="s">
        <v>136</v>
      </c>
      <c r="E62" s="25" t="s">
        <v>2507</v>
      </c>
      <c r="F62" s="25" t="s">
        <v>1569</v>
      </c>
      <c r="G62" s="25">
        <v>6700</v>
      </c>
      <c r="H62" s="25" t="s">
        <v>134</v>
      </c>
      <c r="I62" s="25" t="s">
        <v>83</v>
      </c>
      <c r="J62" s="25" t="s">
        <v>739</v>
      </c>
      <c r="K62" s="25">
        <v>2323432073</v>
      </c>
      <c r="L62" s="25" t="s">
        <v>740</v>
      </c>
      <c r="M62" s="25" t="s">
        <v>1570</v>
      </c>
      <c r="N62" s="25" t="s">
        <v>1118</v>
      </c>
      <c r="O62" s="25">
        <v>1161530430</v>
      </c>
      <c r="P62" s="25" t="s">
        <v>1571</v>
      </c>
      <c r="Q62" s="25" t="s">
        <v>1572</v>
      </c>
      <c r="R62" s="25" t="s">
        <v>1121</v>
      </c>
      <c r="S62" s="25">
        <v>1161530430</v>
      </c>
      <c r="T62" s="25" t="s">
        <v>1571</v>
      </c>
      <c r="U62" s="181">
        <v>2018</v>
      </c>
      <c r="W62" s="25"/>
      <c r="X62" s="25"/>
      <c r="Y62" s="25"/>
    </row>
    <row r="63" spans="1:28" ht="30" customHeight="1" x14ac:dyDescent="0.2">
      <c r="A63">
        <v>60</v>
      </c>
      <c r="B63" s="37">
        <v>60909700</v>
      </c>
      <c r="C63" s="25" t="s">
        <v>236</v>
      </c>
      <c r="D63" s="25" t="s">
        <v>136</v>
      </c>
      <c r="E63" s="25" t="s">
        <v>527</v>
      </c>
      <c r="F63" s="25" t="s">
        <v>1330</v>
      </c>
      <c r="G63" s="25">
        <v>7406</v>
      </c>
      <c r="H63" s="25" t="s">
        <v>82</v>
      </c>
      <c r="I63" s="25" t="s">
        <v>976</v>
      </c>
      <c r="J63" s="25" t="s">
        <v>741</v>
      </c>
      <c r="K63" s="25">
        <v>2286471295</v>
      </c>
      <c r="L63" s="25" t="s">
        <v>742</v>
      </c>
      <c r="M63" s="25" t="s">
        <v>1331</v>
      </c>
      <c r="N63" s="25" t="s">
        <v>1118</v>
      </c>
      <c r="O63" s="25">
        <v>2284534319</v>
      </c>
      <c r="P63" s="25" t="s">
        <v>1332</v>
      </c>
      <c r="Q63" s="25" t="s">
        <v>1333</v>
      </c>
      <c r="R63" s="25" t="s">
        <v>1181</v>
      </c>
      <c r="S63" s="25">
        <v>2284545274</v>
      </c>
      <c r="T63" s="25" t="s">
        <v>1334</v>
      </c>
      <c r="U63" s="181">
        <v>2021</v>
      </c>
      <c r="W63" s="25"/>
      <c r="Y63" s="25"/>
    </row>
    <row r="64" spans="1:28" ht="30" customHeight="1" x14ac:dyDescent="0.2">
      <c r="A64">
        <v>61</v>
      </c>
      <c r="B64" s="37">
        <v>60932500</v>
      </c>
      <c r="C64" s="25" t="s">
        <v>237</v>
      </c>
      <c r="D64" s="25" t="s">
        <v>136</v>
      </c>
      <c r="E64" s="25" t="s">
        <v>80</v>
      </c>
      <c r="F64" s="25" t="s">
        <v>80</v>
      </c>
      <c r="G64" s="25">
        <v>1661</v>
      </c>
      <c r="H64" s="25" t="s">
        <v>82</v>
      </c>
      <c r="I64" s="25" t="s">
        <v>83</v>
      </c>
      <c r="J64" s="25" t="s">
        <v>1953</v>
      </c>
      <c r="K64" s="25" t="s">
        <v>1954</v>
      </c>
      <c r="L64" s="25" t="s">
        <v>1955</v>
      </c>
      <c r="M64" s="25" t="s">
        <v>1956</v>
      </c>
      <c r="N64" s="25" t="s">
        <v>1118</v>
      </c>
      <c r="O64" s="25" t="s">
        <v>1957</v>
      </c>
      <c r="P64" s="25" t="s">
        <v>1958</v>
      </c>
      <c r="Q64" s="25" t="s">
        <v>1959</v>
      </c>
      <c r="R64" s="25" t="s">
        <v>590</v>
      </c>
      <c r="S64" s="25">
        <v>1140751556</v>
      </c>
      <c r="T64" s="25" t="s">
        <v>1960</v>
      </c>
      <c r="U64" s="181">
        <v>2018</v>
      </c>
      <c r="W64" s="25"/>
      <c r="X64" s="25"/>
      <c r="Y64" s="25"/>
    </row>
    <row r="65" spans="1:28" ht="30" customHeight="1" x14ac:dyDescent="0.2">
      <c r="A65">
        <v>62</v>
      </c>
      <c r="B65" s="37">
        <v>60950000</v>
      </c>
      <c r="C65" s="25" t="s">
        <v>619</v>
      </c>
      <c r="D65" s="25" t="s">
        <v>136</v>
      </c>
      <c r="E65" s="25" t="s">
        <v>238</v>
      </c>
      <c r="F65" s="25" t="s">
        <v>238</v>
      </c>
      <c r="G65" s="25">
        <v>7150</v>
      </c>
      <c r="H65" s="25" t="s">
        <v>82</v>
      </c>
      <c r="I65" s="25" t="s">
        <v>976</v>
      </c>
      <c r="J65" s="25" t="s">
        <v>1183</v>
      </c>
      <c r="K65" s="25">
        <v>2296454806</v>
      </c>
      <c r="L65" s="25" t="s">
        <v>743</v>
      </c>
      <c r="M65" s="25" t="s">
        <v>1184</v>
      </c>
      <c r="N65" s="25" t="s">
        <v>1118</v>
      </c>
      <c r="O65" s="25">
        <v>2494484041</v>
      </c>
      <c r="P65" s="25" t="s">
        <v>744</v>
      </c>
      <c r="Q65" s="25" t="s">
        <v>1185</v>
      </c>
      <c r="R65" s="25" t="s">
        <v>1151</v>
      </c>
      <c r="S65" s="25">
        <v>2494531049</v>
      </c>
      <c r="T65" s="25" t="s">
        <v>745</v>
      </c>
      <c r="U65" s="181">
        <v>2016</v>
      </c>
      <c r="W65" s="25"/>
      <c r="Y65" s="25"/>
    </row>
    <row r="66" spans="1:28" ht="30" customHeight="1" x14ac:dyDescent="0.2">
      <c r="A66">
        <v>63</v>
      </c>
      <c r="B66" s="37">
        <v>60956100</v>
      </c>
      <c r="C66" s="25" t="s">
        <v>620</v>
      </c>
      <c r="D66" s="25" t="s">
        <v>136</v>
      </c>
      <c r="E66" s="25" t="s">
        <v>239</v>
      </c>
      <c r="F66" s="25" t="s">
        <v>239</v>
      </c>
      <c r="G66" s="25">
        <v>2720</v>
      </c>
      <c r="H66" s="25" t="s">
        <v>82</v>
      </c>
      <c r="I66" s="25" t="s">
        <v>976</v>
      </c>
      <c r="J66" s="25" t="s">
        <v>1279</v>
      </c>
      <c r="K66" s="25" t="s">
        <v>1280</v>
      </c>
      <c r="L66" s="25" t="s">
        <v>949</v>
      </c>
      <c r="M66" s="25" t="s">
        <v>950</v>
      </c>
      <c r="N66" s="25" t="s">
        <v>1118</v>
      </c>
      <c r="O66" s="25">
        <v>2473472056</v>
      </c>
      <c r="P66" s="25" t="s">
        <v>951</v>
      </c>
      <c r="Q66" s="25" t="s">
        <v>1281</v>
      </c>
      <c r="R66" s="25" t="s">
        <v>590</v>
      </c>
      <c r="S66" s="25">
        <v>2473404982</v>
      </c>
      <c r="T66" s="25" t="s">
        <v>1282</v>
      </c>
      <c r="U66" s="181">
        <v>2016</v>
      </c>
      <c r="W66" s="25"/>
      <c r="X66" s="25"/>
      <c r="Y66" s="25"/>
    </row>
    <row r="67" spans="1:28" ht="30" customHeight="1" x14ac:dyDescent="0.2">
      <c r="A67">
        <v>64</v>
      </c>
      <c r="B67" s="37">
        <v>60974700</v>
      </c>
      <c r="C67" s="25" t="s">
        <v>2537</v>
      </c>
      <c r="D67" s="25" t="s">
        <v>136</v>
      </c>
      <c r="E67" s="25" t="s">
        <v>2538</v>
      </c>
      <c r="F67" s="25" t="s">
        <v>2538</v>
      </c>
      <c r="G67">
        <v>8150</v>
      </c>
      <c r="H67" s="25" t="s">
        <v>82</v>
      </c>
      <c r="I67" s="25" t="s">
        <v>976</v>
      </c>
      <c r="J67" s="25" t="s">
        <v>2539</v>
      </c>
      <c r="K67" s="25" t="s">
        <v>2540</v>
      </c>
      <c r="L67" s="25" t="s">
        <v>2541</v>
      </c>
      <c r="M67" s="25" t="s">
        <v>2542</v>
      </c>
      <c r="N67" s="25" t="s">
        <v>1118</v>
      </c>
      <c r="O67" s="25" t="s">
        <v>2543</v>
      </c>
      <c r="P67" s="25" t="s">
        <v>2544</v>
      </c>
      <c r="Q67" s="25" t="s">
        <v>2545</v>
      </c>
      <c r="R67" s="25" t="s">
        <v>590</v>
      </c>
      <c r="S67" s="25" t="s">
        <v>2546</v>
      </c>
      <c r="T67" s="25" t="s">
        <v>2547</v>
      </c>
      <c r="U67" s="181">
        <v>2024</v>
      </c>
      <c r="W67" s="25"/>
      <c r="Y67" s="25"/>
    </row>
    <row r="68" spans="1:28" ht="30" customHeight="1" x14ac:dyDescent="0.2">
      <c r="A68">
        <v>65</v>
      </c>
      <c r="B68" s="37">
        <v>60982700</v>
      </c>
      <c r="C68" s="25" t="s">
        <v>241</v>
      </c>
      <c r="D68" s="25" t="s">
        <v>136</v>
      </c>
      <c r="E68" s="25" t="s">
        <v>242</v>
      </c>
      <c r="F68" s="25" t="s">
        <v>242</v>
      </c>
      <c r="G68" s="25">
        <v>6400</v>
      </c>
      <c r="H68" s="25" t="s">
        <v>82</v>
      </c>
      <c r="I68" s="25" t="s">
        <v>976</v>
      </c>
      <c r="J68" s="25" t="s">
        <v>1143</v>
      </c>
      <c r="K68" s="25" t="s">
        <v>746</v>
      </c>
      <c r="L68" s="25" t="s">
        <v>1144</v>
      </c>
      <c r="M68" s="25" t="s">
        <v>1145</v>
      </c>
      <c r="N68" s="25" t="s">
        <v>1118</v>
      </c>
      <c r="O68" s="25" t="s">
        <v>747</v>
      </c>
      <c r="P68" s="25" t="s">
        <v>748</v>
      </c>
      <c r="Q68" s="25" t="s">
        <v>1146</v>
      </c>
      <c r="R68" s="25" t="s">
        <v>590</v>
      </c>
      <c r="S68" s="25">
        <v>2392501842</v>
      </c>
      <c r="T68" s="25" t="s">
        <v>1147</v>
      </c>
      <c r="U68" s="181">
        <v>2016</v>
      </c>
      <c r="W68" s="25"/>
      <c r="X68" s="25"/>
      <c r="Y68" s="25"/>
    </row>
    <row r="69" spans="1:28" ht="30" customHeight="1" x14ac:dyDescent="0.2">
      <c r="A69">
        <v>66</v>
      </c>
      <c r="B69" s="37">
        <v>61045600</v>
      </c>
      <c r="C69" s="25" t="s">
        <v>243</v>
      </c>
      <c r="D69" s="25" t="s">
        <v>136</v>
      </c>
      <c r="E69" s="25" t="s">
        <v>244</v>
      </c>
      <c r="F69" s="25" t="s">
        <v>244</v>
      </c>
      <c r="G69" s="25">
        <v>1629</v>
      </c>
      <c r="H69" s="25" t="s">
        <v>82</v>
      </c>
      <c r="I69" s="25" t="s">
        <v>83</v>
      </c>
      <c r="J69" s="25" t="s">
        <v>2189</v>
      </c>
      <c r="K69" s="25" t="s">
        <v>2190</v>
      </c>
      <c r="L69" s="25" t="s">
        <v>2191</v>
      </c>
      <c r="M69" s="25" t="s">
        <v>2192</v>
      </c>
      <c r="N69" s="25" t="s">
        <v>803</v>
      </c>
      <c r="O69" s="25" t="s">
        <v>2193</v>
      </c>
      <c r="P69" s="25" t="s">
        <v>2191</v>
      </c>
      <c r="Q69" s="25" t="s">
        <v>2194</v>
      </c>
      <c r="R69" s="25" t="s">
        <v>590</v>
      </c>
      <c r="S69" s="25">
        <v>2304521526</v>
      </c>
      <c r="T69" s="25" t="s">
        <v>2195</v>
      </c>
      <c r="U69" s="181">
        <v>2021</v>
      </c>
      <c r="W69" s="25"/>
      <c r="X69" s="25"/>
      <c r="Y69" s="25"/>
      <c r="Z69" s="25"/>
      <c r="AB69" s="25"/>
    </row>
    <row r="70" spans="1:28" ht="30" customHeight="1" x14ac:dyDescent="0.2">
      <c r="A70">
        <v>67</v>
      </c>
      <c r="B70" s="37">
        <v>61128600</v>
      </c>
      <c r="C70" s="25" t="s">
        <v>621</v>
      </c>
      <c r="D70" s="25" t="s">
        <v>136</v>
      </c>
      <c r="E70" s="25" t="s">
        <v>2508</v>
      </c>
      <c r="F70" s="25" t="s">
        <v>2508</v>
      </c>
      <c r="G70" s="25">
        <v>6435</v>
      </c>
      <c r="H70" s="25" t="s">
        <v>82</v>
      </c>
      <c r="I70" s="25" t="s">
        <v>976</v>
      </c>
      <c r="J70" s="25" t="s">
        <v>1197</v>
      </c>
      <c r="K70" s="25">
        <v>2929431076</v>
      </c>
      <c r="L70" s="25" t="s">
        <v>749</v>
      </c>
      <c r="M70" s="25" t="s">
        <v>1198</v>
      </c>
      <c r="N70" s="25" t="s">
        <v>1118</v>
      </c>
      <c r="O70" s="25">
        <v>2923413162</v>
      </c>
      <c r="P70" s="25" t="s">
        <v>1199</v>
      </c>
      <c r="Q70" s="25" t="s">
        <v>750</v>
      </c>
      <c r="R70" s="25" t="s">
        <v>590</v>
      </c>
      <c r="S70" s="25">
        <v>2923435411</v>
      </c>
      <c r="T70" s="25" t="s">
        <v>751</v>
      </c>
      <c r="U70" s="181">
        <v>2016</v>
      </c>
      <c r="W70" s="25"/>
      <c r="X70" s="25"/>
      <c r="Y70" s="25"/>
    </row>
    <row r="71" spans="1:28" ht="30" customHeight="1" x14ac:dyDescent="0.2">
      <c r="A71">
        <v>68</v>
      </c>
      <c r="B71" s="37">
        <v>61172600</v>
      </c>
      <c r="C71" s="25" t="s">
        <v>622</v>
      </c>
      <c r="D71" s="25" t="s">
        <v>136</v>
      </c>
      <c r="E71" s="25" t="s">
        <v>245</v>
      </c>
      <c r="F71" s="25" t="s">
        <v>245</v>
      </c>
      <c r="G71" s="25">
        <v>2705</v>
      </c>
      <c r="H71" s="25" t="s">
        <v>82</v>
      </c>
      <c r="I71" s="25" t="s">
        <v>976</v>
      </c>
      <c r="J71" s="25" t="s">
        <v>993</v>
      </c>
      <c r="K71" s="25" t="s">
        <v>1148</v>
      </c>
      <c r="L71" s="25" t="s">
        <v>1149</v>
      </c>
      <c r="M71" s="25" t="s">
        <v>994</v>
      </c>
      <c r="N71" s="25" t="s">
        <v>1118</v>
      </c>
      <c r="O71" s="25" t="s">
        <v>1148</v>
      </c>
      <c r="P71" s="25" t="s">
        <v>995</v>
      </c>
      <c r="Q71" s="25" t="s">
        <v>1150</v>
      </c>
      <c r="R71" s="25" t="s">
        <v>1151</v>
      </c>
      <c r="S71" s="25" t="s">
        <v>1152</v>
      </c>
      <c r="T71" s="25" t="s">
        <v>1153</v>
      </c>
      <c r="U71" s="181">
        <v>2016</v>
      </c>
      <c r="W71" s="25"/>
      <c r="X71" s="25"/>
      <c r="Y71" s="25"/>
    </row>
    <row r="72" spans="1:28" ht="30" customHeight="1" x14ac:dyDescent="0.2">
      <c r="A72">
        <v>69</v>
      </c>
      <c r="B72" s="37">
        <v>61185300</v>
      </c>
      <c r="C72" s="25" t="s">
        <v>1868</v>
      </c>
      <c r="D72" s="25" t="s">
        <v>136</v>
      </c>
      <c r="E72" s="25" t="s">
        <v>246</v>
      </c>
      <c r="F72" s="25" t="s">
        <v>836</v>
      </c>
      <c r="G72" s="25">
        <v>1824</v>
      </c>
      <c r="H72" s="25" t="s">
        <v>134</v>
      </c>
      <c r="I72" s="25" t="s">
        <v>83</v>
      </c>
      <c r="J72" s="25" t="s">
        <v>837</v>
      </c>
      <c r="K72" s="25" t="s">
        <v>1677</v>
      </c>
      <c r="L72" s="25" t="s">
        <v>1678</v>
      </c>
      <c r="M72" s="25" t="s">
        <v>1679</v>
      </c>
      <c r="N72" s="25" t="s">
        <v>1118</v>
      </c>
      <c r="O72" s="25" t="s">
        <v>1680</v>
      </c>
      <c r="P72" s="25" t="s">
        <v>838</v>
      </c>
      <c r="Q72" s="25" t="s">
        <v>1681</v>
      </c>
      <c r="R72" s="25" t="s">
        <v>1121</v>
      </c>
      <c r="S72" s="25" t="s">
        <v>1682</v>
      </c>
      <c r="T72" s="25" t="s">
        <v>1683</v>
      </c>
      <c r="U72" s="181">
        <v>2016</v>
      </c>
      <c r="W72" s="25"/>
      <c r="X72" s="25"/>
      <c r="Y72" s="25"/>
    </row>
    <row r="73" spans="1:28" ht="30" customHeight="1" x14ac:dyDescent="0.2">
      <c r="A73">
        <v>70</v>
      </c>
      <c r="B73" s="37">
        <v>61190300</v>
      </c>
      <c r="C73" s="25" t="s">
        <v>247</v>
      </c>
      <c r="D73" s="25" t="s">
        <v>136</v>
      </c>
      <c r="E73" s="25" t="s">
        <v>248</v>
      </c>
      <c r="F73" s="25" t="s">
        <v>248</v>
      </c>
      <c r="G73" s="25">
        <v>8160</v>
      </c>
      <c r="H73" s="25" t="s">
        <v>82</v>
      </c>
      <c r="I73" s="25" t="s">
        <v>976</v>
      </c>
      <c r="J73" s="25" t="s">
        <v>752</v>
      </c>
      <c r="K73" s="25">
        <v>291491150</v>
      </c>
      <c r="L73" s="25" t="s">
        <v>753</v>
      </c>
      <c r="M73" s="25" t="s">
        <v>1357</v>
      </c>
      <c r="N73" s="25" t="s">
        <v>1118</v>
      </c>
      <c r="O73" s="25">
        <v>2915048990</v>
      </c>
      <c r="P73" s="25" t="s">
        <v>754</v>
      </c>
      <c r="Q73" s="25" t="s">
        <v>1357</v>
      </c>
      <c r="R73" s="25" t="s">
        <v>1119</v>
      </c>
      <c r="S73" s="25">
        <v>2915048990</v>
      </c>
      <c r="T73" s="25" t="s">
        <v>754</v>
      </c>
      <c r="U73" s="181">
        <v>2021</v>
      </c>
      <c r="W73" s="25"/>
      <c r="X73" s="25"/>
      <c r="Y73" s="25"/>
    </row>
    <row r="74" spans="1:28" ht="30" customHeight="1" x14ac:dyDescent="0.2">
      <c r="A74">
        <v>71</v>
      </c>
      <c r="B74" s="37">
        <v>61190700</v>
      </c>
      <c r="C74" s="25" t="s">
        <v>249</v>
      </c>
      <c r="D74" s="25" t="s">
        <v>136</v>
      </c>
      <c r="E74" s="25" t="s">
        <v>250</v>
      </c>
      <c r="F74" s="25" t="s">
        <v>250</v>
      </c>
      <c r="G74" s="25">
        <v>7521</v>
      </c>
      <c r="H74" s="25" t="s">
        <v>82</v>
      </c>
      <c r="I74" s="25" t="s">
        <v>976</v>
      </c>
      <c r="J74" s="25" t="s">
        <v>996</v>
      </c>
      <c r="K74" s="25">
        <v>2983470030</v>
      </c>
      <c r="L74" s="25" t="s">
        <v>997</v>
      </c>
      <c r="M74" s="25" t="s">
        <v>998</v>
      </c>
      <c r="N74" s="25" t="s">
        <v>1118</v>
      </c>
      <c r="O74" s="25">
        <v>2983528147</v>
      </c>
      <c r="P74" s="25" t="s">
        <v>999</v>
      </c>
      <c r="Q74" s="25" t="s">
        <v>998</v>
      </c>
      <c r="R74" s="25" t="s">
        <v>1119</v>
      </c>
      <c r="S74" s="25">
        <v>2983528147</v>
      </c>
      <c r="T74" s="25" t="s">
        <v>1470</v>
      </c>
      <c r="U74" s="181">
        <v>2016</v>
      </c>
      <c r="W74" s="25"/>
      <c r="X74" s="25"/>
      <c r="Y74" s="25"/>
    </row>
    <row r="75" spans="1:28" ht="30" customHeight="1" x14ac:dyDescent="0.2">
      <c r="A75">
        <v>72</v>
      </c>
      <c r="B75" s="37">
        <v>61233400</v>
      </c>
      <c r="C75" s="25" t="s">
        <v>251</v>
      </c>
      <c r="D75" s="25" t="s">
        <v>136</v>
      </c>
      <c r="E75" s="25" t="s">
        <v>252</v>
      </c>
      <c r="F75" s="25" t="s">
        <v>252</v>
      </c>
      <c r="G75" s="25">
        <v>1642</v>
      </c>
      <c r="H75" s="25" t="s">
        <v>134</v>
      </c>
      <c r="I75" s="25" t="s">
        <v>83</v>
      </c>
      <c r="J75" s="25" t="s">
        <v>1000</v>
      </c>
      <c r="K75" s="25">
        <v>1147437487</v>
      </c>
      <c r="L75" s="25" t="s">
        <v>1001</v>
      </c>
      <c r="M75" s="25" t="s">
        <v>1718</v>
      </c>
      <c r="N75" s="25" t="s">
        <v>1118</v>
      </c>
      <c r="O75" s="25">
        <v>1151548281</v>
      </c>
      <c r="P75" s="25" t="s">
        <v>1719</v>
      </c>
      <c r="Q75" s="25" t="s">
        <v>1718</v>
      </c>
      <c r="R75" s="25" t="s">
        <v>1119</v>
      </c>
      <c r="S75" s="25">
        <v>1151548281</v>
      </c>
      <c r="T75" s="25" t="s">
        <v>1719</v>
      </c>
      <c r="U75" s="181">
        <v>2018</v>
      </c>
      <c r="W75" s="25"/>
      <c r="X75" s="25"/>
      <c r="Y75" s="25"/>
    </row>
    <row r="76" spans="1:28" ht="30" customHeight="1" x14ac:dyDescent="0.2">
      <c r="A76">
        <v>73</v>
      </c>
      <c r="B76" s="37">
        <v>61288800</v>
      </c>
      <c r="C76" s="25" t="s">
        <v>623</v>
      </c>
      <c r="D76" s="25" t="s">
        <v>136</v>
      </c>
      <c r="E76" s="25" t="s">
        <v>253</v>
      </c>
      <c r="F76" s="25" t="s">
        <v>253</v>
      </c>
      <c r="G76" s="25">
        <v>1744</v>
      </c>
      <c r="H76" s="25" t="s">
        <v>82</v>
      </c>
      <c r="I76" s="25" t="s">
        <v>83</v>
      </c>
      <c r="J76" s="25" t="s">
        <v>1312</v>
      </c>
      <c r="K76" s="25" t="s">
        <v>1313</v>
      </c>
      <c r="L76" s="25" t="s">
        <v>755</v>
      </c>
      <c r="M76" s="25" t="s">
        <v>756</v>
      </c>
      <c r="N76" s="25" t="s">
        <v>1118</v>
      </c>
      <c r="O76" s="25">
        <v>1156515354</v>
      </c>
      <c r="P76" s="25" t="s">
        <v>757</v>
      </c>
      <c r="Q76" s="25" t="s">
        <v>758</v>
      </c>
      <c r="R76" s="25" t="s">
        <v>1151</v>
      </c>
      <c r="S76" s="25">
        <v>1163372597</v>
      </c>
      <c r="T76" s="25" t="s">
        <v>1314</v>
      </c>
      <c r="U76" s="181">
        <v>2016</v>
      </c>
      <c r="W76" s="25"/>
      <c r="X76" s="25"/>
      <c r="Y76" s="25"/>
    </row>
    <row r="77" spans="1:28" ht="30" customHeight="1" x14ac:dyDescent="0.2">
      <c r="A77">
        <v>74</v>
      </c>
      <c r="B77" s="37">
        <v>61302600</v>
      </c>
      <c r="C77" s="25" t="s">
        <v>254</v>
      </c>
      <c r="D77" s="25" t="s">
        <v>136</v>
      </c>
      <c r="E77" s="25" t="s">
        <v>255</v>
      </c>
      <c r="F77" s="25" t="s">
        <v>255</v>
      </c>
      <c r="G77" s="25">
        <v>2942</v>
      </c>
      <c r="H77" s="25" t="s">
        <v>82</v>
      </c>
      <c r="I77" s="25" t="s">
        <v>83</v>
      </c>
      <c r="J77" s="25" t="s">
        <v>1355</v>
      </c>
      <c r="K77" s="25">
        <v>3329480266</v>
      </c>
      <c r="L77" s="25" t="s">
        <v>759</v>
      </c>
      <c r="M77" s="25" t="s">
        <v>760</v>
      </c>
      <c r="N77" s="25" t="s">
        <v>1118</v>
      </c>
      <c r="O77" s="25">
        <v>3329612462</v>
      </c>
      <c r="P77" s="25" t="s">
        <v>761</v>
      </c>
      <c r="Q77" s="25" t="s">
        <v>1356</v>
      </c>
      <c r="R77" s="25" t="s">
        <v>1151</v>
      </c>
      <c r="S77" s="25">
        <v>3329601945</v>
      </c>
      <c r="T77" s="25" t="s">
        <v>762</v>
      </c>
      <c r="U77" s="181">
        <v>2016</v>
      </c>
      <c r="W77" s="25"/>
      <c r="Y77" s="25"/>
    </row>
    <row r="78" spans="1:28" ht="30" customHeight="1" x14ac:dyDescent="0.2">
      <c r="A78">
        <v>75</v>
      </c>
      <c r="B78" s="37">
        <v>61337200</v>
      </c>
      <c r="C78" s="25" t="s">
        <v>624</v>
      </c>
      <c r="D78" s="25" t="s">
        <v>136</v>
      </c>
      <c r="E78" s="25" t="s">
        <v>256</v>
      </c>
      <c r="F78" s="25" t="s">
        <v>257</v>
      </c>
      <c r="G78" s="25">
        <v>1602</v>
      </c>
      <c r="H78" s="25" t="s">
        <v>134</v>
      </c>
      <c r="I78" s="25" t="s">
        <v>83</v>
      </c>
      <c r="J78" s="25" t="s">
        <v>763</v>
      </c>
      <c r="K78" s="25" t="s">
        <v>1703</v>
      </c>
      <c r="L78" s="25" t="s">
        <v>764</v>
      </c>
      <c r="M78" s="25" t="s">
        <v>1704</v>
      </c>
      <c r="N78" s="25" t="s">
        <v>1118</v>
      </c>
      <c r="O78" s="25" t="s">
        <v>1705</v>
      </c>
      <c r="P78" s="25" t="s">
        <v>1706</v>
      </c>
      <c r="Q78" s="25" t="s">
        <v>765</v>
      </c>
      <c r="R78" s="25" t="s">
        <v>1122</v>
      </c>
      <c r="S78" s="25" t="s">
        <v>1707</v>
      </c>
      <c r="T78" s="25" t="s">
        <v>1708</v>
      </c>
      <c r="U78" s="181">
        <v>2016</v>
      </c>
      <c r="W78" s="25"/>
      <c r="X78" s="25"/>
      <c r="Y78" s="25"/>
      <c r="Z78" s="25"/>
      <c r="AB78" s="25"/>
    </row>
    <row r="79" spans="1:28" ht="30" customHeight="1" x14ac:dyDescent="0.2">
      <c r="A79">
        <v>76</v>
      </c>
      <c r="B79" s="37">
        <v>61375800</v>
      </c>
      <c r="C79" s="25" t="s">
        <v>258</v>
      </c>
      <c r="D79" s="25" t="s">
        <v>136</v>
      </c>
      <c r="E79" s="25" t="s">
        <v>259</v>
      </c>
      <c r="F79" s="25" t="s">
        <v>515</v>
      </c>
      <c r="G79" s="25">
        <v>6339</v>
      </c>
      <c r="H79" s="25" t="s">
        <v>82</v>
      </c>
      <c r="I79" s="25" t="s">
        <v>976</v>
      </c>
      <c r="J79" s="25" t="s">
        <v>766</v>
      </c>
      <c r="K79" s="25">
        <v>2392562757</v>
      </c>
      <c r="L79" s="25" t="s">
        <v>1364</v>
      </c>
      <c r="M79" s="25" t="s">
        <v>1365</v>
      </c>
      <c r="N79" s="25" t="s">
        <v>1118</v>
      </c>
      <c r="O79" s="25">
        <v>2392562757</v>
      </c>
      <c r="P79" s="25" t="s">
        <v>1364</v>
      </c>
      <c r="Q79" s="25" t="s">
        <v>767</v>
      </c>
      <c r="R79" s="25" t="s">
        <v>590</v>
      </c>
      <c r="S79" s="25">
        <v>2392568100</v>
      </c>
      <c r="T79" s="25" t="s">
        <v>1366</v>
      </c>
      <c r="U79" s="181">
        <v>2021</v>
      </c>
      <c r="W79" s="25"/>
      <c r="X79" s="25"/>
      <c r="Y79" s="25"/>
    </row>
    <row r="80" spans="1:28" ht="30" customHeight="1" x14ac:dyDescent="0.2">
      <c r="A80">
        <v>77</v>
      </c>
      <c r="B80" s="37">
        <v>61377800</v>
      </c>
      <c r="C80" s="25" t="s">
        <v>261</v>
      </c>
      <c r="D80" s="25" t="s">
        <v>136</v>
      </c>
      <c r="E80" s="25" t="s">
        <v>548</v>
      </c>
      <c r="F80" s="25" t="s">
        <v>548</v>
      </c>
      <c r="G80" s="25">
        <v>7200</v>
      </c>
      <c r="H80" s="25" t="s">
        <v>82</v>
      </c>
      <c r="I80" s="25" t="s">
        <v>976</v>
      </c>
      <c r="J80" s="25" t="s">
        <v>768</v>
      </c>
      <c r="K80" s="25">
        <v>2244460212</v>
      </c>
      <c r="L80" s="25" t="s">
        <v>1422</v>
      </c>
      <c r="M80" s="25" t="s">
        <v>1423</v>
      </c>
      <c r="N80" s="25" t="s">
        <v>1118</v>
      </c>
      <c r="O80" s="25">
        <v>2244460212</v>
      </c>
      <c r="P80" s="25" t="s">
        <v>1424</v>
      </c>
      <c r="Q80" s="25" t="s">
        <v>554</v>
      </c>
      <c r="R80" s="25" t="s">
        <v>590</v>
      </c>
      <c r="S80" s="25">
        <v>2244429277</v>
      </c>
      <c r="T80" s="25" t="s">
        <v>556</v>
      </c>
      <c r="U80" s="181">
        <v>2023</v>
      </c>
      <c r="W80" s="25"/>
      <c r="X80" s="25"/>
      <c r="Y80" s="25"/>
    </row>
    <row r="81" spans="1:25" ht="30" customHeight="1" x14ac:dyDescent="0.2">
      <c r="A81">
        <v>78</v>
      </c>
      <c r="B81" s="37">
        <v>61578100</v>
      </c>
      <c r="C81" s="25" t="s">
        <v>625</v>
      </c>
      <c r="D81" s="25" t="s">
        <v>136</v>
      </c>
      <c r="E81" s="25" t="s">
        <v>230</v>
      </c>
      <c r="F81" s="25" t="s">
        <v>262</v>
      </c>
      <c r="G81" s="25">
        <v>1846</v>
      </c>
      <c r="H81" s="25" t="s">
        <v>134</v>
      </c>
      <c r="I81" s="25" t="s">
        <v>83</v>
      </c>
      <c r="J81" s="25" t="s">
        <v>1564</v>
      </c>
      <c r="L81" s="25" t="s">
        <v>1565</v>
      </c>
      <c r="M81" s="25" t="s">
        <v>1566</v>
      </c>
      <c r="N81" s="25" t="s">
        <v>1118</v>
      </c>
      <c r="O81" s="25">
        <v>1163619924</v>
      </c>
      <c r="P81" s="25" t="s">
        <v>1013</v>
      </c>
      <c r="Q81" s="25" t="s">
        <v>1567</v>
      </c>
      <c r="R81" s="25" t="s">
        <v>1122</v>
      </c>
      <c r="S81" s="25">
        <v>1160332054</v>
      </c>
      <c r="T81" s="25" t="s">
        <v>1014</v>
      </c>
      <c r="U81" s="181">
        <v>2016</v>
      </c>
      <c r="W81" s="25"/>
      <c r="X81" s="25"/>
      <c r="Y81" s="25"/>
    </row>
    <row r="82" spans="1:25" ht="30" customHeight="1" x14ac:dyDescent="0.2">
      <c r="A82">
        <v>79</v>
      </c>
      <c r="B82" s="37">
        <v>61613900</v>
      </c>
      <c r="C82" s="25" t="s">
        <v>263</v>
      </c>
      <c r="D82" s="25" t="s">
        <v>136</v>
      </c>
      <c r="E82" s="25" t="s">
        <v>264</v>
      </c>
      <c r="F82" s="25" t="s">
        <v>264</v>
      </c>
      <c r="G82" s="25">
        <v>7000</v>
      </c>
      <c r="H82" s="25" t="s">
        <v>82</v>
      </c>
      <c r="I82" s="25" t="s">
        <v>83</v>
      </c>
      <c r="J82" s="25" t="s">
        <v>1303</v>
      </c>
      <c r="L82" s="25" t="s">
        <v>1002</v>
      </c>
      <c r="M82" s="25" t="s">
        <v>1304</v>
      </c>
      <c r="N82" s="25" t="s">
        <v>1118</v>
      </c>
      <c r="O82" s="25">
        <v>2494522521</v>
      </c>
      <c r="P82" s="25" t="s">
        <v>1305</v>
      </c>
      <c r="Q82" s="25" t="s">
        <v>1003</v>
      </c>
      <c r="R82" s="25" t="s">
        <v>1151</v>
      </c>
      <c r="S82" s="25">
        <v>2494632989</v>
      </c>
      <c r="T82" s="25" t="s">
        <v>1004</v>
      </c>
      <c r="U82" s="181">
        <v>2016</v>
      </c>
      <c r="W82" s="25"/>
      <c r="X82" s="25"/>
      <c r="Y82" s="25"/>
    </row>
    <row r="83" spans="1:25" ht="30" customHeight="1" x14ac:dyDescent="0.2">
      <c r="A83">
        <v>80</v>
      </c>
      <c r="B83" s="37">
        <v>62056100</v>
      </c>
      <c r="C83" s="25" t="s">
        <v>265</v>
      </c>
      <c r="D83" s="25" t="s">
        <v>136</v>
      </c>
      <c r="E83" s="25" t="s">
        <v>266</v>
      </c>
      <c r="F83" s="25" t="s">
        <v>267</v>
      </c>
      <c r="G83" s="25">
        <v>7607</v>
      </c>
      <c r="H83" s="25" t="s">
        <v>82</v>
      </c>
      <c r="I83" s="25" t="s">
        <v>83</v>
      </c>
      <c r="J83" s="25" t="s">
        <v>1159</v>
      </c>
      <c r="K83" s="25" t="s">
        <v>1160</v>
      </c>
      <c r="L83" s="25" t="s">
        <v>1005</v>
      </c>
      <c r="M83" s="25" t="s">
        <v>1006</v>
      </c>
      <c r="N83" s="25" t="s">
        <v>1118</v>
      </c>
      <c r="O83" s="25" t="s">
        <v>1161</v>
      </c>
      <c r="P83" s="25" t="s">
        <v>1005</v>
      </c>
      <c r="Q83" s="25" t="s">
        <v>1007</v>
      </c>
      <c r="R83" s="25" t="s">
        <v>1151</v>
      </c>
      <c r="S83" s="25">
        <v>2234393887</v>
      </c>
      <c r="T83" s="25" t="s">
        <v>1005</v>
      </c>
      <c r="U83" s="181">
        <v>2016</v>
      </c>
      <c r="W83" s="25"/>
      <c r="Y83" s="25"/>
    </row>
    <row r="84" spans="1:25" ht="30" customHeight="1" x14ac:dyDescent="0.2">
      <c r="A84">
        <v>81</v>
      </c>
      <c r="B84" s="37">
        <v>62111300</v>
      </c>
      <c r="C84" s="25" t="s">
        <v>268</v>
      </c>
      <c r="D84" s="25" t="s">
        <v>136</v>
      </c>
      <c r="E84" s="25" t="s">
        <v>195</v>
      </c>
      <c r="F84" s="25" t="s">
        <v>195</v>
      </c>
      <c r="G84" s="25">
        <v>1832</v>
      </c>
      <c r="H84" s="25" t="s">
        <v>134</v>
      </c>
      <c r="I84" s="25" t="s">
        <v>83</v>
      </c>
      <c r="J84" s="25" t="s">
        <v>1663</v>
      </c>
      <c r="K84" s="25">
        <v>1161589453</v>
      </c>
      <c r="L84" s="25" t="s">
        <v>769</v>
      </c>
      <c r="M84" s="25" t="s">
        <v>1664</v>
      </c>
      <c r="N84" s="25" t="s">
        <v>1118</v>
      </c>
      <c r="O84" s="25">
        <v>1144739714</v>
      </c>
      <c r="P84" s="25" t="s">
        <v>770</v>
      </c>
      <c r="Q84" s="25" t="s">
        <v>1665</v>
      </c>
      <c r="R84" s="25" t="s">
        <v>1122</v>
      </c>
      <c r="S84" s="25">
        <v>1140837109</v>
      </c>
      <c r="T84" s="25" t="s">
        <v>771</v>
      </c>
      <c r="U84" s="181">
        <v>2021</v>
      </c>
      <c r="W84" s="25"/>
      <c r="X84" s="25"/>
      <c r="Y84" s="25"/>
    </row>
    <row r="85" spans="1:25" ht="30" customHeight="1" x14ac:dyDescent="0.2">
      <c r="A85">
        <v>82</v>
      </c>
      <c r="B85" s="37">
        <v>62210300</v>
      </c>
      <c r="C85" s="25" t="s">
        <v>626</v>
      </c>
      <c r="D85" s="25" t="s">
        <v>136</v>
      </c>
      <c r="E85" s="25" t="s">
        <v>269</v>
      </c>
      <c r="F85" s="25" t="s">
        <v>269</v>
      </c>
      <c r="G85" s="25">
        <v>1900</v>
      </c>
      <c r="H85" s="25" t="s">
        <v>82</v>
      </c>
      <c r="I85" s="25" t="s">
        <v>83</v>
      </c>
      <c r="J85" s="25" t="s">
        <v>2272</v>
      </c>
      <c r="K85" s="25" t="s">
        <v>2273</v>
      </c>
      <c r="L85" s="25" t="s">
        <v>2274</v>
      </c>
      <c r="M85" s="25" t="s">
        <v>2275</v>
      </c>
      <c r="N85" s="25" t="s">
        <v>1118</v>
      </c>
      <c r="O85" s="25" t="s">
        <v>2276</v>
      </c>
      <c r="P85" s="25" t="s">
        <v>2277</v>
      </c>
      <c r="Q85" s="25" t="s">
        <v>2278</v>
      </c>
      <c r="R85" s="25" t="s">
        <v>1122</v>
      </c>
      <c r="S85" s="25" t="s">
        <v>2279</v>
      </c>
      <c r="T85" s="25" t="s">
        <v>2280</v>
      </c>
      <c r="U85" s="181">
        <v>2016</v>
      </c>
      <c r="W85" s="25"/>
      <c r="X85" s="25"/>
      <c r="Y85" s="25"/>
    </row>
    <row r="86" spans="1:25" ht="30" customHeight="1" x14ac:dyDescent="0.2">
      <c r="A86">
        <v>83</v>
      </c>
      <c r="B86" s="37">
        <v>62210301</v>
      </c>
      <c r="C86" s="25" t="s">
        <v>627</v>
      </c>
      <c r="D86" s="25" t="s">
        <v>136</v>
      </c>
      <c r="E86" s="25" t="s">
        <v>270</v>
      </c>
      <c r="F86" s="25" t="s">
        <v>270</v>
      </c>
      <c r="G86" s="25">
        <v>8001</v>
      </c>
      <c r="H86" s="25" t="s">
        <v>82</v>
      </c>
      <c r="I86" s="25" t="s">
        <v>83</v>
      </c>
      <c r="J86" s="25" t="s">
        <v>2227</v>
      </c>
      <c r="K86" s="25" t="s">
        <v>2228</v>
      </c>
      <c r="L86" s="25" t="s">
        <v>2229</v>
      </c>
      <c r="M86" s="25" t="s">
        <v>2230</v>
      </c>
      <c r="N86" s="25" t="s">
        <v>1118</v>
      </c>
      <c r="O86" s="25" t="s">
        <v>2231</v>
      </c>
      <c r="P86" s="25" t="s">
        <v>2232</v>
      </c>
      <c r="Q86" s="25" t="s">
        <v>2233</v>
      </c>
      <c r="R86" s="25" t="s">
        <v>1122</v>
      </c>
      <c r="S86" s="25" t="s">
        <v>2234</v>
      </c>
      <c r="T86" s="25" t="s">
        <v>2235</v>
      </c>
      <c r="U86" s="181">
        <v>2017</v>
      </c>
      <c r="W86" s="25"/>
      <c r="Y86" s="25"/>
    </row>
    <row r="87" spans="1:25" ht="30" customHeight="1" x14ac:dyDescent="0.2">
      <c r="A87">
        <v>84</v>
      </c>
      <c r="B87" s="37">
        <v>62210302</v>
      </c>
      <c r="C87" s="25" t="s">
        <v>628</v>
      </c>
      <c r="D87" s="25" t="s">
        <v>136</v>
      </c>
      <c r="E87" s="25" t="s">
        <v>271</v>
      </c>
      <c r="F87" s="25" t="s">
        <v>2251</v>
      </c>
      <c r="G87" s="25">
        <v>1765</v>
      </c>
      <c r="H87" s="25" t="s">
        <v>82</v>
      </c>
      <c r="I87" s="25" t="s">
        <v>83</v>
      </c>
      <c r="J87" s="25" t="s">
        <v>2252</v>
      </c>
      <c r="K87" s="25" t="s">
        <v>2253</v>
      </c>
      <c r="L87" s="25" t="s">
        <v>2254</v>
      </c>
      <c r="M87" s="25" t="s">
        <v>2255</v>
      </c>
      <c r="N87" s="25" t="s">
        <v>1118</v>
      </c>
      <c r="O87" s="25" t="s">
        <v>2256</v>
      </c>
      <c r="P87" s="25" t="s">
        <v>2248</v>
      </c>
      <c r="Q87" s="25" t="s">
        <v>2257</v>
      </c>
      <c r="R87" s="25" t="s">
        <v>1122</v>
      </c>
      <c r="S87" s="25" t="s">
        <v>2258</v>
      </c>
      <c r="T87" s="25" t="s">
        <v>2254</v>
      </c>
      <c r="U87" s="181">
        <v>2017</v>
      </c>
      <c r="W87" s="25"/>
      <c r="X87" s="25"/>
      <c r="Y87" s="25"/>
    </row>
    <row r="88" spans="1:25" ht="30" customHeight="1" x14ac:dyDescent="0.2">
      <c r="A88">
        <v>85</v>
      </c>
      <c r="B88" s="37">
        <v>62210303</v>
      </c>
      <c r="C88" s="118" t="s">
        <v>2460</v>
      </c>
      <c r="D88" s="25" t="s">
        <v>136</v>
      </c>
      <c r="E88" s="25" t="s">
        <v>269</v>
      </c>
      <c r="F88" s="25" t="s">
        <v>269</v>
      </c>
      <c r="G88" s="118">
        <v>1900</v>
      </c>
      <c r="H88" s="118" t="s">
        <v>82</v>
      </c>
      <c r="I88" s="118" t="s">
        <v>83</v>
      </c>
      <c r="J88" s="118" t="s">
        <v>2461</v>
      </c>
      <c r="K88" s="118" t="s">
        <v>2462</v>
      </c>
      <c r="L88" s="118" t="s">
        <v>2463</v>
      </c>
      <c r="M88" s="118" t="s">
        <v>2464</v>
      </c>
      <c r="N88" s="118" t="s">
        <v>1118</v>
      </c>
      <c r="O88" s="118" t="s">
        <v>2465</v>
      </c>
      <c r="P88" s="118" t="s">
        <v>2466</v>
      </c>
      <c r="Q88" s="118" t="s">
        <v>2467</v>
      </c>
      <c r="R88" s="118" t="s">
        <v>1122</v>
      </c>
      <c r="S88" s="131">
        <v>2215053144</v>
      </c>
      <c r="T88" s="118" t="s">
        <v>2463</v>
      </c>
      <c r="U88" s="181">
        <v>2017</v>
      </c>
      <c r="W88" s="25"/>
      <c r="X88" s="25"/>
      <c r="Y88" s="25"/>
    </row>
    <row r="89" spans="1:25" ht="30" customHeight="1" x14ac:dyDescent="0.2">
      <c r="A89">
        <v>86</v>
      </c>
      <c r="B89" s="37">
        <v>62210304</v>
      </c>
      <c r="C89" s="118" t="s">
        <v>629</v>
      </c>
      <c r="D89" s="25" t="s">
        <v>136</v>
      </c>
      <c r="E89" s="25" t="s">
        <v>272</v>
      </c>
      <c r="F89" s="25" t="s">
        <v>272</v>
      </c>
      <c r="G89" s="118">
        <v>1870</v>
      </c>
      <c r="H89" s="118" t="s">
        <v>82</v>
      </c>
      <c r="I89" s="118" t="s">
        <v>83</v>
      </c>
      <c r="J89" s="118" t="s">
        <v>2419</v>
      </c>
      <c r="K89" s="118"/>
      <c r="L89" s="118" t="s">
        <v>2420</v>
      </c>
      <c r="M89" s="118" t="s">
        <v>2421</v>
      </c>
      <c r="N89" s="118" t="s">
        <v>1118</v>
      </c>
      <c r="O89" s="131">
        <v>1169066606</v>
      </c>
      <c r="P89" s="118" t="s">
        <v>2422</v>
      </c>
      <c r="Q89" s="118" t="s">
        <v>2423</v>
      </c>
      <c r="R89" s="118" t="s">
        <v>1122</v>
      </c>
      <c r="S89" s="131">
        <v>1169066606</v>
      </c>
      <c r="T89" s="118" t="s">
        <v>2422</v>
      </c>
      <c r="U89" s="181">
        <v>2017</v>
      </c>
      <c r="W89" s="25"/>
      <c r="Y89" s="25"/>
    </row>
    <row r="90" spans="1:25" ht="41.25" x14ac:dyDescent="0.2">
      <c r="A90">
        <v>87</v>
      </c>
      <c r="B90" s="37">
        <v>62210305</v>
      </c>
      <c r="C90" s="118" t="s">
        <v>2636</v>
      </c>
      <c r="D90" s="25" t="s">
        <v>136</v>
      </c>
      <c r="E90" s="25" t="s">
        <v>273</v>
      </c>
      <c r="F90" s="25" t="s">
        <v>2450</v>
      </c>
      <c r="G90" s="118">
        <v>1888</v>
      </c>
      <c r="H90" s="118" t="s">
        <v>82</v>
      </c>
      <c r="I90" s="118" t="s">
        <v>83</v>
      </c>
      <c r="J90" s="118" t="s">
        <v>2451</v>
      </c>
      <c r="K90" s="131">
        <v>1154960771</v>
      </c>
      <c r="L90" s="118" t="s">
        <v>2452</v>
      </c>
      <c r="M90" s="118" t="s">
        <v>2453</v>
      </c>
      <c r="N90" s="118" t="s">
        <v>1118</v>
      </c>
      <c r="O90" s="131">
        <v>1154960771</v>
      </c>
      <c r="P90" s="118" t="s">
        <v>2454</v>
      </c>
      <c r="Q90" s="118" t="s">
        <v>2453</v>
      </c>
      <c r="R90" s="118" t="s">
        <v>1122</v>
      </c>
      <c r="S90" s="131">
        <v>1154960771</v>
      </c>
      <c r="T90" s="118" t="s">
        <v>2454</v>
      </c>
      <c r="U90" s="181">
        <v>2017</v>
      </c>
      <c r="W90" s="25"/>
      <c r="X90" s="25"/>
      <c r="Y90" s="25"/>
    </row>
    <row r="91" spans="1:25" ht="30" customHeight="1" x14ac:dyDescent="0.2">
      <c r="A91">
        <v>88</v>
      </c>
      <c r="B91" s="37">
        <v>62210306</v>
      </c>
      <c r="C91" s="25" t="s">
        <v>2637</v>
      </c>
      <c r="D91" s="25" t="s">
        <v>136</v>
      </c>
      <c r="E91" s="25" t="s">
        <v>271</v>
      </c>
      <c r="F91" s="25" t="s">
        <v>2244</v>
      </c>
      <c r="G91" s="25">
        <v>1759</v>
      </c>
      <c r="H91" s="25" t="s">
        <v>82</v>
      </c>
      <c r="I91" s="25" t="s">
        <v>83</v>
      </c>
      <c r="J91" s="25" t="s">
        <v>2245</v>
      </c>
      <c r="K91" s="25">
        <v>1149749268</v>
      </c>
      <c r="L91" s="25" t="s">
        <v>2246</v>
      </c>
      <c r="M91" s="25" t="s">
        <v>2247</v>
      </c>
      <c r="N91" s="25" t="s">
        <v>1121</v>
      </c>
      <c r="O91" s="25">
        <v>1141945042</v>
      </c>
      <c r="P91" s="25" t="s">
        <v>2248</v>
      </c>
      <c r="Q91" s="25" t="s">
        <v>2249</v>
      </c>
      <c r="R91" s="25" t="s">
        <v>1122</v>
      </c>
      <c r="S91" s="25">
        <v>1149749268</v>
      </c>
      <c r="T91" s="25" t="s">
        <v>2250</v>
      </c>
      <c r="U91" s="181">
        <v>2017</v>
      </c>
      <c r="W91" s="25"/>
      <c r="X91" s="25"/>
      <c r="Y91" s="25"/>
    </row>
    <row r="92" spans="1:25" ht="30" customHeight="1" x14ac:dyDescent="0.2">
      <c r="A92">
        <v>89</v>
      </c>
      <c r="B92" s="37">
        <v>62210307</v>
      </c>
      <c r="C92" s="118" t="s">
        <v>632</v>
      </c>
      <c r="D92" s="25" t="s">
        <v>136</v>
      </c>
      <c r="E92" s="25" t="s">
        <v>274</v>
      </c>
      <c r="F92" s="25" t="s">
        <v>2424</v>
      </c>
      <c r="G92" s="118">
        <v>1826</v>
      </c>
      <c r="H92" s="118" t="s">
        <v>82</v>
      </c>
      <c r="I92" s="118" t="s">
        <v>83</v>
      </c>
      <c r="J92" s="118" t="s">
        <v>2425</v>
      </c>
      <c r="K92" s="118" t="s">
        <v>2426</v>
      </c>
      <c r="L92" s="118" t="s">
        <v>2427</v>
      </c>
      <c r="M92" s="118" t="s">
        <v>2428</v>
      </c>
      <c r="N92" s="118" t="s">
        <v>1118</v>
      </c>
      <c r="O92" s="118" t="s">
        <v>2429</v>
      </c>
      <c r="P92" s="118" t="s">
        <v>2430</v>
      </c>
      <c r="Q92" s="118" t="s">
        <v>2431</v>
      </c>
      <c r="R92" s="118" t="s">
        <v>1122</v>
      </c>
      <c r="S92" s="118">
        <v>1137925059</v>
      </c>
      <c r="T92" s="118" t="s">
        <v>2427</v>
      </c>
      <c r="U92" s="181">
        <v>2017</v>
      </c>
      <c r="W92" s="25"/>
      <c r="X92" s="25"/>
      <c r="Y92" s="25"/>
    </row>
    <row r="93" spans="1:25" ht="30" customHeight="1" x14ac:dyDescent="0.2">
      <c r="A93">
        <v>90</v>
      </c>
      <c r="B93" s="37">
        <v>62210308</v>
      </c>
      <c r="C93" s="118" t="s">
        <v>633</v>
      </c>
      <c r="D93" s="25" t="s">
        <v>136</v>
      </c>
      <c r="E93" s="25" t="s">
        <v>275</v>
      </c>
      <c r="F93" s="25" t="s">
        <v>276</v>
      </c>
      <c r="G93" s="118">
        <v>7600</v>
      </c>
      <c r="H93" s="118" t="s">
        <v>82</v>
      </c>
      <c r="I93" s="118" t="s">
        <v>83</v>
      </c>
      <c r="J93" s="118" t="s">
        <v>2468</v>
      </c>
      <c r="K93" s="118">
        <v>2234991114</v>
      </c>
      <c r="L93" s="118" t="s">
        <v>2469</v>
      </c>
      <c r="M93" s="118" t="s">
        <v>2470</v>
      </c>
      <c r="N93" s="118" t="s">
        <v>1118</v>
      </c>
      <c r="O93" s="118">
        <v>2234991114</v>
      </c>
      <c r="P93" s="118" t="s">
        <v>2469</v>
      </c>
      <c r="Q93" s="118" t="s">
        <v>2471</v>
      </c>
      <c r="R93" s="118" t="s">
        <v>1151</v>
      </c>
      <c r="S93" s="118">
        <v>2234991114</v>
      </c>
      <c r="T93" s="118" t="s">
        <v>2472</v>
      </c>
      <c r="U93" s="181">
        <v>2017</v>
      </c>
      <c r="W93" s="25"/>
      <c r="X93" s="25"/>
      <c r="Y93" s="25"/>
    </row>
    <row r="94" spans="1:25" ht="30" customHeight="1" x14ac:dyDescent="0.2">
      <c r="A94">
        <v>91</v>
      </c>
      <c r="B94" s="37">
        <v>62210309</v>
      </c>
      <c r="C94" s="118" t="s">
        <v>634</v>
      </c>
      <c r="D94" s="25" t="s">
        <v>136</v>
      </c>
      <c r="E94" s="25" t="s">
        <v>253</v>
      </c>
      <c r="F94" s="25" t="s">
        <v>253</v>
      </c>
      <c r="G94" s="118">
        <v>1744</v>
      </c>
      <c r="H94" s="118" t="s">
        <v>82</v>
      </c>
      <c r="I94" s="118" t="s">
        <v>83</v>
      </c>
      <c r="J94" s="118" t="s">
        <v>2436</v>
      </c>
      <c r="K94" s="131">
        <v>1122353288</v>
      </c>
      <c r="L94" s="118" t="s">
        <v>2437</v>
      </c>
      <c r="M94" s="118" t="s">
        <v>2438</v>
      </c>
      <c r="N94" s="118" t="s">
        <v>1118</v>
      </c>
      <c r="O94" s="131">
        <v>1122353288</v>
      </c>
      <c r="P94" s="118" t="s">
        <v>2439</v>
      </c>
      <c r="Q94" s="118" t="s">
        <v>2440</v>
      </c>
      <c r="R94" s="118" t="s">
        <v>1122</v>
      </c>
      <c r="S94" s="131">
        <v>1150190651</v>
      </c>
      <c r="T94" s="118" t="s">
        <v>2441</v>
      </c>
      <c r="U94" s="181">
        <v>2017</v>
      </c>
      <c r="W94" s="25"/>
      <c r="X94" s="25"/>
      <c r="Y94" s="25"/>
    </row>
    <row r="95" spans="1:25" ht="30" customHeight="1" x14ac:dyDescent="0.2">
      <c r="A95">
        <v>92</v>
      </c>
      <c r="B95" s="37">
        <v>62210310</v>
      </c>
      <c r="C95" s="25" t="s">
        <v>635</v>
      </c>
      <c r="D95" s="25" t="s">
        <v>136</v>
      </c>
      <c r="E95" s="25" t="s">
        <v>277</v>
      </c>
      <c r="F95" s="25" t="s">
        <v>277</v>
      </c>
      <c r="G95" s="25">
        <v>1650</v>
      </c>
      <c r="H95" s="25" t="s">
        <v>82</v>
      </c>
      <c r="I95" s="25" t="s">
        <v>83</v>
      </c>
      <c r="J95" s="25" t="s">
        <v>2236</v>
      </c>
      <c r="K95" s="25" t="s">
        <v>2237</v>
      </c>
      <c r="L95" s="25" t="s">
        <v>2238</v>
      </c>
      <c r="M95" s="25" t="s">
        <v>2239</v>
      </c>
      <c r="N95" s="25" t="s">
        <v>1118</v>
      </c>
      <c r="O95" s="25" t="s">
        <v>2240</v>
      </c>
      <c r="P95" s="25" t="s">
        <v>2241</v>
      </c>
      <c r="Q95" s="25" t="s">
        <v>2242</v>
      </c>
      <c r="R95" s="25" t="s">
        <v>1122</v>
      </c>
      <c r="S95" s="25">
        <v>1138149188</v>
      </c>
      <c r="T95" s="25" t="s">
        <v>2243</v>
      </c>
      <c r="U95" s="181">
        <v>2017</v>
      </c>
      <c r="W95" s="25"/>
      <c r="X95" s="25"/>
      <c r="Y95" s="25"/>
    </row>
    <row r="96" spans="1:25" ht="30" customHeight="1" x14ac:dyDescent="0.2">
      <c r="A96">
        <v>93</v>
      </c>
      <c r="B96" s="37">
        <v>62210311</v>
      </c>
      <c r="C96" s="25" t="s">
        <v>2473</v>
      </c>
      <c r="D96" s="25" t="s">
        <v>136</v>
      </c>
      <c r="E96" s="25" t="s">
        <v>207</v>
      </c>
      <c r="F96" s="25" t="s">
        <v>278</v>
      </c>
      <c r="G96" s="25">
        <v>1706</v>
      </c>
      <c r="H96" s="25" t="s">
        <v>82</v>
      </c>
      <c r="I96" s="25" t="s">
        <v>83</v>
      </c>
      <c r="J96" s="25" t="s">
        <v>2474</v>
      </c>
      <c r="K96" s="25">
        <v>1122353288</v>
      </c>
      <c r="L96" s="25" t="s">
        <v>2433</v>
      </c>
      <c r="M96" s="25" t="s">
        <v>2475</v>
      </c>
      <c r="N96" s="25" t="s">
        <v>1118</v>
      </c>
      <c r="O96" s="25">
        <v>1122353288</v>
      </c>
      <c r="P96" s="25" t="s">
        <v>2433</v>
      </c>
      <c r="Q96" s="25" t="s">
        <v>2476</v>
      </c>
      <c r="R96" s="25" t="s">
        <v>1122</v>
      </c>
      <c r="S96" s="25">
        <v>1165431727</v>
      </c>
      <c r="T96" s="25" t="s">
        <v>2477</v>
      </c>
      <c r="U96" s="181">
        <v>2017</v>
      </c>
      <c r="W96" s="25"/>
      <c r="X96" s="25"/>
      <c r="Y96" s="25"/>
    </row>
    <row r="97" spans="1:28" ht="30" customHeight="1" x14ac:dyDescent="0.2">
      <c r="A97">
        <v>94</v>
      </c>
      <c r="B97" s="37">
        <v>62210312</v>
      </c>
      <c r="C97" s="118" t="s">
        <v>636</v>
      </c>
      <c r="D97" s="25" t="s">
        <v>136</v>
      </c>
      <c r="E97" s="25" t="s">
        <v>234</v>
      </c>
      <c r="F97" s="25" t="s">
        <v>279</v>
      </c>
      <c r="G97" s="118">
        <v>1657</v>
      </c>
      <c r="H97" s="118" t="s">
        <v>82</v>
      </c>
      <c r="I97" s="118" t="s">
        <v>83</v>
      </c>
      <c r="J97" s="118" t="s">
        <v>2432</v>
      </c>
      <c r="K97" s="131">
        <v>1122353288</v>
      </c>
      <c r="L97" s="118" t="s">
        <v>2433</v>
      </c>
      <c r="M97" s="118" t="s">
        <v>2434</v>
      </c>
      <c r="N97" s="118" t="s">
        <v>1118</v>
      </c>
      <c r="O97" s="131">
        <v>1122353288</v>
      </c>
      <c r="P97" s="118" t="s">
        <v>2433</v>
      </c>
      <c r="Q97" s="118" t="s">
        <v>2435</v>
      </c>
      <c r="R97" s="118" t="s">
        <v>590</v>
      </c>
      <c r="S97" s="131">
        <v>11000000000</v>
      </c>
      <c r="T97" s="118" t="s">
        <v>2433</v>
      </c>
      <c r="U97" s="181">
        <v>2017</v>
      </c>
      <c r="W97" s="25"/>
      <c r="X97" s="25"/>
      <c r="Y97" s="25"/>
    </row>
    <row r="98" spans="1:28" ht="30" customHeight="1" x14ac:dyDescent="0.2">
      <c r="A98">
        <v>95</v>
      </c>
      <c r="B98" s="37">
        <v>62230000</v>
      </c>
      <c r="C98" s="25" t="s">
        <v>280</v>
      </c>
      <c r="D98" s="25" t="s">
        <v>136</v>
      </c>
      <c r="E98" s="25" t="s">
        <v>281</v>
      </c>
      <c r="F98" s="25" t="s">
        <v>281</v>
      </c>
      <c r="G98" s="25">
        <v>2804</v>
      </c>
      <c r="H98" s="25" t="s">
        <v>82</v>
      </c>
      <c r="I98" s="25" t="s">
        <v>83</v>
      </c>
      <c r="J98" s="25" t="s">
        <v>1222</v>
      </c>
      <c r="L98" s="25" t="s">
        <v>1008</v>
      </c>
      <c r="M98" s="25" t="s">
        <v>1223</v>
      </c>
      <c r="N98" s="25" t="s">
        <v>1118</v>
      </c>
      <c r="O98" s="25">
        <v>3489324128</v>
      </c>
      <c r="P98" s="25" t="s">
        <v>1009</v>
      </c>
      <c r="Q98" s="25" t="s">
        <v>1223</v>
      </c>
      <c r="R98" s="25" t="s">
        <v>1119</v>
      </c>
      <c r="S98" s="25">
        <v>3489324128</v>
      </c>
      <c r="T98" s="25" t="s">
        <v>1009</v>
      </c>
      <c r="U98" s="181">
        <v>2016</v>
      </c>
      <c r="W98" s="25"/>
      <c r="X98" s="25"/>
      <c r="Y98" s="25"/>
    </row>
    <row r="99" spans="1:28" ht="30" customHeight="1" x14ac:dyDescent="0.2">
      <c r="A99">
        <v>96</v>
      </c>
      <c r="B99" s="37">
        <v>62238400</v>
      </c>
      <c r="C99" s="25" t="s">
        <v>282</v>
      </c>
      <c r="D99" s="25" t="s">
        <v>136</v>
      </c>
      <c r="E99" s="25" t="s">
        <v>283</v>
      </c>
      <c r="F99" s="25" t="s">
        <v>283</v>
      </c>
      <c r="G99" s="25">
        <v>7165</v>
      </c>
      <c r="H99" s="25" t="s">
        <v>82</v>
      </c>
      <c r="I99" s="25" t="s">
        <v>83</v>
      </c>
      <c r="J99" s="25" t="s">
        <v>1206</v>
      </c>
      <c r="K99" s="25" t="s">
        <v>1010</v>
      </c>
      <c r="L99" s="25" t="s">
        <v>1207</v>
      </c>
      <c r="M99" s="25" t="s">
        <v>1208</v>
      </c>
      <c r="N99" s="25" t="s">
        <v>1118</v>
      </c>
      <c r="O99" s="25">
        <v>2255527949</v>
      </c>
      <c r="P99" s="25" t="s">
        <v>1209</v>
      </c>
      <c r="Q99" s="25" t="s">
        <v>1210</v>
      </c>
      <c r="R99" s="25" t="s">
        <v>590</v>
      </c>
      <c r="S99" s="25" t="s">
        <v>1211</v>
      </c>
      <c r="T99" s="25" t="s">
        <v>1212</v>
      </c>
      <c r="U99" s="181">
        <v>2017</v>
      </c>
      <c r="W99" s="25"/>
      <c r="Y99" s="25"/>
    </row>
    <row r="100" spans="1:28" ht="30" customHeight="1" x14ac:dyDescent="0.2">
      <c r="A100">
        <v>97</v>
      </c>
      <c r="B100" s="37">
        <v>62242300</v>
      </c>
      <c r="C100" s="25" t="s">
        <v>284</v>
      </c>
      <c r="D100" s="25" t="s">
        <v>136</v>
      </c>
      <c r="E100" s="25" t="s">
        <v>272</v>
      </c>
      <c r="F100" s="25" t="s">
        <v>272</v>
      </c>
      <c r="G100" s="25">
        <v>1870</v>
      </c>
      <c r="H100" s="25" t="s">
        <v>82</v>
      </c>
      <c r="I100" s="25" t="s">
        <v>83</v>
      </c>
      <c r="J100" s="25" t="s">
        <v>772</v>
      </c>
      <c r="K100" s="25" t="s">
        <v>1431</v>
      </c>
      <c r="L100" s="25" t="s">
        <v>773</v>
      </c>
      <c r="M100" s="25" t="s">
        <v>1432</v>
      </c>
      <c r="N100" s="25" t="s">
        <v>1118</v>
      </c>
      <c r="O100" s="25" t="s">
        <v>1431</v>
      </c>
      <c r="P100" s="25" t="s">
        <v>773</v>
      </c>
      <c r="Q100" s="25" t="s">
        <v>1433</v>
      </c>
      <c r="R100" s="25" t="s">
        <v>1272</v>
      </c>
      <c r="S100" s="25" t="s">
        <v>1434</v>
      </c>
      <c r="T100" s="25" t="s">
        <v>774</v>
      </c>
      <c r="U100" s="181">
        <v>2019</v>
      </c>
      <c r="W100" s="25"/>
      <c r="X100" s="25"/>
      <c r="Y100" s="25"/>
    </row>
    <row r="101" spans="1:28" ht="30" customHeight="1" x14ac:dyDescent="0.2">
      <c r="A101">
        <v>98</v>
      </c>
      <c r="B101" s="37">
        <v>62315000</v>
      </c>
      <c r="C101" s="25" t="s">
        <v>285</v>
      </c>
      <c r="D101" s="25" t="s">
        <v>136</v>
      </c>
      <c r="E101" s="25" t="s">
        <v>286</v>
      </c>
      <c r="F101" s="25" t="s">
        <v>287</v>
      </c>
      <c r="G101" s="25">
        <v>6064</v>
      </c>
      <c r="H101" s="25" t="s">
        <v>82</v>
      </c>
      <c r="I101" s="25" t="s">
        <v>976</v>
      </c>
      <c r="J101" s="25" t="s">
        <v>1273</v>
      </c>
      <c r="K101" s="25" t="s">
        <v>1274</v>
      </c>
      <c r="L101" s="25" t="s">
        <v>775</v>
      </c>
      <c r="M101" s="25" t="s">
        <v>1275</v>
      </c>
      <c r="N101" s="25" t="s">
        <v>1118</v>
      </c>
      <c r="O101" s="25">
        <v>3388507324</v>
      </c>
      <c r="P101" s="25" t="s">
        <v>775</v>
      </c>
      <c r="Q101" s="25" t="s">
        <v>1275</v>
      </c>
      <c r="R101" s="25" t="s">
        <v>1119</v>
      </c>
      <c r="S101" s="25">
        <v>3388507324</v>
      </c>
      <c r="T101" s="25" t="s">
        <v>775</v>
      </c>
      <c r="U101" s="181">
        <v>2017</v>
      </c>
      <c r="W101" s="25"/>
      <c r="Y101" s="25"/>
    </row>
    <row r="102" spans="1:28" ht="30" customHeight="1" x14ac:dyDescent="0.2">
      <c r="A102">
        <v>99</v>
      </c>
      <c r="B102" s="37">
        <v>62318700</v>
      </c>
      <c r="C102" s="25" t="s">
        <v>288</v>
      </c>
      <c r="D102" s="25" t="s">
        <v>136</v>
      </c>
      <c r="E102" s="25" t="s">
        <v>466</v>
      </c>
      <c r="F102" s="25" t="s">
        <v>289</v>
      </c>
      <c r="G102" s="25">
        <v>6030</v>
      </c>
      <c r="H102" s="25" t="s">
        <v>82</v>
      </c>
      <c r="I102" s="25" t="s">
        <v>976</v>
      </c>
      <c r="J102" s="25" t="s">
        <v>1179</v>
      </c>
      <c r="K102" s="25" t="s">
        <v>1180</v>
      </c>
      <c r="L102" s="25" t="s">
        <v>776</v>
      </c>
      <c r="M102" s="25" t="s">
        <v>777</v>
      </c>
      <c r="N102" s="25" t="s">
        <v>1118</v>
      </c>
      <c r="O102" s="25">
        <v>2364605432</v>
      </c>
      <c r="P102" s="25" t="s">
        <v>778</v>
      </c>
      <c r="Q102" s="25" t="s">
        <v>777</v>
      </c>
      <c r="R102" s="25" t="s">
        <v>1181</v>
      </c>
      <c r="S102" s="25">
        <v>2364672633</v>
      </c>
      <c r="T102" s="25" t="s">
        <v>1182</v>
      </c>
      <c r="U102" s="181">
        <v>2021</v>
      </c>
      <c r="W102" s="25"/>
      <c r="Y102" s="25"/>
    </row>
    <row r="103" spans="1:28" ht="30" customHeight="1" x14ac:dyDescent="0.2">
      <c r="A103">
        <v>100</v>
      </c>
      <c r="B103" s="37">
        <v>62319200</v>
      </c>
      <c r="C103" s="25" t="s">
        <v>1100</v>
      </c>
      <c r="D103" s="25" t="s">
        <v>136</v>
      </c>
      <c r="E103" s="25" t="s">
        <v>2509</v>
      </c>
      <c r="F103" s="25" t="s">
        <v>269</v>
      </c>
      <c r="G103" s="25">
        <v>1900</v>
      </c>
      <c r="H103" s="25" t="s">
        <v>82</v>
      </c>
      <c r="I103" s="25" t="s">
        <v>976</v>
      </c>
      <c r="J103" s="25" t="s">
        <v>1283</v>
      </c>
      <c r="K103" s="25" t="s">
        <v>1284</v>
      </c>
      <c r="L103" s="25" t="s">
        <v>1285</v>
      </c>
      <c r="M103" s="25" t="s">
        <v>1286</v>
      </c>
      <c r="N103" s="25" t="s">
        <v>1118</v>
      </c>
      <c r="O103" s="25" t="s">
        <v>1287</v>
      </c>
      <c r="P103" s="25" t="s">
        <v>1288</v>
      </c>
      <c r="Q103" s="25" t="s">
        <v>1289</v>
      </c>
      <c r="R103" s="25" t="s">
        <v>1119</v>
      </c>
      <c r="S103" s="25" t="s">
        <v>1287</v>
      </c>
      <c r="T103" s="25" t="s">
        <v>1288</v>
      </c>
      <c r="U103" s="181">
        <v>2023</v>
      </c>
      <c r="W103" s="25"/>
      <c r="X103" s="25"/>
      <c r="Y103" s="25"/>
      <c r="Z103" s="25"/>
      <c r="AB103" s="25"/>
    </row>
    <row r="104" spans="1:28" ht="30" customHeight="1" x14ac:dyDescent="0.2">
      <c r="A104">
        <v>101</v>
      </c>
      <c r="B104" s="37">
        <v>62326400</v>
      </c>
      <c r="C104" s="25" t="s">
        <v>290</v>
      </c>
      <c r="D104" s="25" t="s">
        <v>136</v>
      </c>
      <c r="E104" s="25" t="s">
        <v>291</v>
      </c>
      <c r="F104" s="25" t="s">
        <v>291</v>
      </c>
      <c r="G104" s="25">
        <v>7116</v>
      </c>
      <c r="H104" s="25" t="s">
        <v>82</v>
      </c>
      <c r="I104" s="25" t="s">
        <v>976</v>
      </c>
      <c r="J104" s="25" t="s">
        <v>779</v>
      </c>
      <c r="K104" s="25" t="s">
        <v>1229</v>
      </c>
      <c r="L104" s="25" t="s">
        <v>780</v>
      </c>
      <c r="M104" s="25" t="s">
        <v>781</v>
      </c>
      <c r="N104" s="25" t="s">
        <v>1118</v>
      </c>
      <c r="O104" s="25">
        <v>2241551990</v>
      </c>
      <c r="P104" s="25" t="s">
        <v>782</v>
      </c>
      <c r="Q104" s="25" t="s">
        <v>1230</v>
      </c>
      <c r="R104" s="25" t="s">
        <v>590</v>
      </c>
      <c r="S104" s="25">
        <v>2241466621</v>
      </c>
      <c r="T104" s="25" t="s">
        <v>1231</v>
      </c>
      <c r="U104" s="181">
        <v>2021</v>
      </c>
    </row>
    <row r="105" spans="1:28" ht="30" customHeight="1" x14ac:dyDescent="0.2">
      <c r="A105">
        <v>102</v>
      </c>
      <c r="B105" s="37">
        <v>62327300</v>
      </c>
      <c r="C105" s="25" t="s">
        <v>2799</v>
      </c>
      <c r="D105" s="25" t="s">
        <v>136</v>
      </c>
      <c r="E105" s="25" t="s">
        <v>2800</v>
      </c>
      <c r="F105" s="25" t="s">
        <v>2801</v>
      </c>
      <c r="G105" s="25">
        <v>1862</v>
      </c>
      <c r="H105" s="25" t="s">
        <v>82</v>
      </c>
      <c r="I105" s="25" t="s">
        <v>83</v>
      </c>
      <c r="J105" s="25" t="s">
        <v>2802</v>
      </c>
      <c r="W105" s="25"/>
      <c r="X105" s="25"/>
      <c r="Y105" s="25"/>
    </row>
    <row r="106" spans="1:28" ht="30" customHeight="1" x14ac:dyDescent="0.2">
      <c r="A106">
        <v>103</v>
      </c>
      <c r="B106" s="37">
        <v>62327600</v>
      </c>
      <c r="C106" s="25" t="s">
        <v>475</v>
      </c>
      <c r="D106" s="25" t="s">
        <v>136</v>
      </c>
      <c r="E106" s="25" t="s">
        <v>509</v>
      </c>
      <c r="F106" s="25" t="s">
        <v>505</v>
      </c>
      <c r="G106" s="25">
        <v>7245</v>
      </c>
      <c r="H106" s="25" t="s">
        <v>82</v>
      </c>
      <c r="I106" s="25" t="s">
        <v>976</v>
      </c>
      <c r="J106" s="25" t="s">
        <v>783</v>
      </c>
      <c r="K106" s="25" t="s">
        <v>784</v>
      </c>
      <c r="L106" s="25" t="s">
        <v>785</v>
      </c>
      <c r="M106" s="25" t="s">
        <v>786</v>
      </c>
      <c r="N106" s="25" t="s">
        <v>155</v>
      </c>
      <c r="O106" s="25" t="s">
        <v>787</v>
      </c>
      <c r="P106" s="25" t="s">
        <v>788</v>
      </c>
      <c r="Q106" s="25" t="s">
        <v>786</v>
      </c>
      <c r="R106" s="25" t="s">
        <v>155</v>
      </c>
      <c r="S106" s="25" t="s">
        <v>787</v>
      </c>
      <c r="T106" s="25" t="s">
        <v>788</v>
      </c>
      <c r="U106" s="181">
        <v>2022</v>
      </c>
      <c r="W106" s="25"/>
      <c r="X106" s="25"/>
      <c r="Y106" s="25"/>
    </row>
    <row r="107" spans="1:28" ht="30" customHeight="1" x14ac:dyDescent="0.2">
      <c r="A107">
        <v>104</v>
      </c>
      <c r="B107" s="37">
        <v>62341500</v>
      </c>
      <c r="C107" s="25" t="s">
        <v>293</v>
      </c>
      <c r="D107" s="25" t="s">
        <v>136</v>
      </c>
      <c r="E107" s="25" t="s">
        <v>269</v>
      </c>
      <c r="F107" s="25" t="s">
        <v>269</v>
      </c>
      <c r="G107" s="25">
        <v>1900</v>
      </c>
      <c r="H107" s="25" t="s">
        <v>82</v>
      </c>
      <c r="I107" s="25" t="s">
        <v>83</v>
      </c>
      <c r="J107" s="25" t="s">
        <v>1154</v>
      </c>
      <c r="K107" s="25" t="s">
        <v>1155</v>
      </c>
      <c r="L107" s="25" t="s">
        <v>1156</v>
      </c>
      <c r="M107" s="25" t="s">
        <v>1157</v>
      </c>
      <c r="N107" s="25" t="s">
        <v>1118</v>
      </c>
      <c r="O107" s="25">
        <v>2923458449</v>
      </c>
      <c r="P107" s="25" t="s">
        <v>1158</v>
      </c>
      <c r="Q107" s="25" t="s">
        <v>1157</v>
      </c>
      <c r="R107" s="25" t="s">
        <v>1119</v>
      </c>
      <c r="S107" s="25">
        <v>2923458449</v>
      </c>
      <c r="T107" s="25" t="s">
        <v>1158</v>
      </c>
      <c r="U107" s="181">
        <v>2018</v>
      </c>
      <c r="W107" s="25"/>
      <c r="X107" s="25"/>
      <c r="Y107" s="25"/>
    </row>
    <row r="108" spans="1:28" ht="30" customHeight="1" x14ac:dyDescent="0.2">
      <c r="A108">
        <v>105</v>
      </c>
      <c r="B108" s="37">
        <v>62385500</v>
      </c>
      <c r="C108" s="25" t="s">
        <v>537</v>
      </c>
      <c r="D108" s="25" t="s">
        <v>136</v>
      </c>
      <c r="E108" s="25" t="s">
        <v>275</v>
      </c>
      <c r="F108" s="25" t="s">
        <v>276</v>
      </c>
      <c r="G108" s="25">
        <v>7600</v>
      </c>
      <c r="H108" s="25" t="s">
        <v>134</v>
      </c>
      <c r="I108" s="25" t="s">
        <v>83</v>
      </c>
      <c r="J108" s="25" t="s">
        <v>979</v>
      </c>
      <c r="K108" s="25">
        <v>2236638442</v>
      </c>
      <c r="L108" s="25" t="s">
        <v>1635</v>
      </c>
      <c r="M108" s="25" t="s">
        <v>1636</v>
      </c>
      <c r="N108" s="25" t="s">
        <v>1118</v>
      </c>
      <c r="O108" s="25" t="s">
        <v>1637</v>
      </c>
      <c r="P108" s="25" t="s">
        <v>1635</v>
      </c>
      <c r="Q108" s="25" t="s">
        <v>1638</v>
      </c>
      <c r="R108" s="25" t="s">
        <v>1122</v>
      </c>
      <c r="S108" s="25">
        <v>2235227308</v>
      </c>
      <c r="T108" s="25" t="s">
        <v>980</v>
      </c>
      <c r="U108" s="181">
        <v>2022</v>
      </c>
      <c r="W108" s="25"/>
      <c r="Y108" s="25"/>
    </row>
    <row r="109" spans="1:28" ht="30" customHeight="1" x14ac:dyDescent="0.2">
      <c r="A109">
        <v>106</v>
      </c>
      <c r="B109" s="37">
        <v>62420800</v>
      </c>
      <c r="C109" s="25" t="s">
        <v>637</v>
      </c>
      <c r="D109" s="25" t="s">
        <v>136</v>
      </c>
      <c r="E109" s="25" t="s">
        <v>218</v>
      </c>
      <c r="F109" s="25" t="s">
        <v>219</v>
      </c>
      <c r="G109" s="25">
        <v>2914</v>
      </c>
      <c r="H109" s="25" t="s">
        <v>82</v>
      </c>
      <c r="I109" s="25" t="s">
        <v>976</v>
      </c>
      <c r="J109" s="25" t="s">
        <v>444</v>
      </c>
      <c r="K109" s="25" t="s">
        <v>1765</v>
      </c>
      <c r="L109" s="25" t="s">
        <v>446</v>
      </c>
      <c r="M109" s="25" t="s">
        <v>447</v>
      </c>
      <c r="N109" s="25" t="s">
        <v>1118</v>
      </c>
      <c r="O109" s="25" t="s">
        <v>1766</v>
      </c>
      <c r="P109" s="25" t="s">
        <v>448</v>
      </c>
      <c r="Q109" s="25" t="s">
        <v>449</v>
      </c>
      <c r="R109" s="25" t="s">
        <v>1151</v>
      </c>
      <c r="S109" s="25" t="s">
        <v>1767</v>
      </c>
      <c r="T109" s="25" t="s">
        <v>1768</v>
      </c>
      <c r="U109" s="181">
        <v>2016</v>
      </c>
      <c r="W109" s="25"/>
      <c r="X109" s="25"/>
      <c r="Y109" s="25"/>
    </row>
    <row r="110" spans="1:28" ht="30" customHeight="1" x14ac:dyDescent="0.2">
      <c r="A110">
        <v>107</v>
      </c>
      <c r="B110" s="37">
        <v>62424000</v>
      </c>
      <c r="C110" s="25" t="s">
        <v>429</v>
      </c>
      <c r="D110" s="25" t="s">
        <v>136</v>
      </c>
      <c r="E110" s="25" t="s">
        <v>260</v>
      </c>
      <c r="F110" s="25" t="s">
        <v>260</v>
      </c>
      <c r="G110" s="25">
        <v>6409</v>
      </c>
      <c r="H110" s="25" t="s">
        <v>82</v>
      </c>
      <c r="I110" s="25" t="s">
        <v>976</v>
      </c>
      <c r="J110" s="25" t="s">
        <v>1200</v>
      </c>
      <c r="K110" s="25">
        <v>2392405680</v>
      </c>
      <c r="L110" s="25" t="s">
        <v>789</v>
      </c>
      <c r="M110" s="25" t="s">
        <v>790</v>
      </c>
      <c r="N110" s="25" t="s">
        <v>1118</v>
      </c>
      <c r="O110" s="25">
        <v>2392405680</v>
      </c>
      <c r="P110" s="25" t="s">
        <v>791</v>
      </c>
      <c r="Q110" s="25" t="s">
        <v>790</v>
      </c>
      <c r="R110" s="25" t="s">
        <v>1119</v>
      </c>
      <c r="S110" s="25">
        <v>2392405680</v>
      </c>
      <c r="T110" s="25" t="s">
        <v>791</v>
      </c>
      <c r="U110" s="181">
        <v>2021</v>
      </c>
      <c r="W110" s="25"/>
      <c r="X110" s="25"/>
      <c r="Y110" s="25"/>
    </row>
    <row r="111" spans="1:28" ht="30" customHeight="1" x14ac:dyDescent="0.2">
      <c r="A111">
        <v>108</v>
      </c>
      <c r="B111" s="37">
        <v>100011800</v>
      </c>
      <c r="C111" s="25" t="s">
        <v>1096</v>
      </c>
      <c r="D111" s="25" t="s">
        <v>138</v>
      </c>
      <c r="E111" s="25" t="s">
        <v>2510</v>
      </c>
      <c r="F111" s="25" t="s">
        <v>1808</v>
      </c>
      <c r="G111" s="25">
        <v>5260</v>
      </c>
      <c r="H111" s="25" t="s">
        <v>82</v>
      </c>
      <c r="I111" s="25" t="s">
        <v>83</v>
      </c>
      <c r="J111" s="25" t="s">
        <v>1809</v>
      </c>
      <c r="K111" s="25">
        <v>3832688376</v>
      </c>
      <c r="L111" s="25" t="s">
        <v>1810</v>
      </c>
      <c r="M111" s="25" t="s">
        <v>1811</v>
      </c>
      <c r="N111" s="25" t="s">
        <v>1121</v>
      </c>
      <c r="O111" s="25">
        <v>3832439532</v>
      </c>
      <c r="P111" s="25" t="s">
        <v>1812</v>
      </c>
      <c r="Q111" s="25" t="s">
        <v>1813</v>
      </c>
      <c r="R111" s="25" t="s">
        <v>1122</v>
      </c>
      <c r="S111" s="25">
        <v>3832404222</v>
      </c>
      <c r="T111" s="25" t="s">
        <v>1814</v>
      </c>
      <c r="U111" s="181">
        <v>2023</v>
      </c>
      <c r="W111" s="25"/>
      <c r="X111" s="25"/>
      <c r="Y111" s="25"/>
    </row>
    <row r="112" spans="1:28" ht="30" customHeight="1" x14ac:dyDescent="0.2">
      <c r="A112">
        <v>109</v>
      </c>
      <c r="B112" s="37">
        <v>100024500</v>
      </c>
      <c r="C112" s="25" t="s">
        <v>638</v>
      </c>
      <c r="D112" s="118" t="s">
        <v>138</v>
      </c>
      <c r="E112" s="25" t="s">
        <v>2511</v>
      </c>
      <c r="F112" s="25" t="s">
        <v>2478</v>
      </c>
      <c r="G112" s="118">
        <v>4740</v>
      </c>
      <c r="H112" s="118" t="s">
        <v>82</v>
      </c>
      <c r="I112" s="118" t="s">
        <v>976</v>
      </c>
      <c r="J112" s="118" t="s">
        <v>2479</v>
      </c>
      <c r="K112" s="131">
        <v>3835400317</v>
      </c>
      <c r="L112" s="118" t="s">
        <v>2480</v>
      </c>
      <c r="M112" s="118" t="s">
        <v>2481</v>
      </c>
      <c r="N112" s="118" t="s">
        <v>1121</v>
      </c>
      <c r="O112" s="131">
        <v>3835400317</v>
      </c>
      <c r="P112" s="118" t="s">
        <v>2482</v>
      </c>
      <c r="Q112" s="118" t="s">
        <v>2483</v>
      </c>
      <c r="R112" s="118" t="s">
        <v>590</v>
      </c>
      <c r="S112" s="131">
        <v>3835528905</v>
      </c>
      <c r="T112" s="118" t="s">
        <v>2484</v>
      </c>
      <c r="U112" s="181">
        <v>2016</v>
      </c>
      <c r="W112" s="25"/>
      <c r="X112" s="25"/>
      <c r="Y112" s="25"/>
    </row>
    <row r="113" spans="1:28" ht="30" customHeight="1" x14ac:dyDescent="0.2">
      <c r="A113">
        <v>110</v>
      </c>
      <c r="B113" s="37">
        <v>100033700</v>
      </c>
      <c r="C113" s="25" t="s">
        <v>1094</v>
      </c>
      <c r="D113" s="25" t="s">
        <v>138</v>
      </c>
      <c r="E113" s="25" t="s">
        <v>2596</v>
      </c>
      <c r="F113" s="25" t="s">
        <v>2596</v>
      </c>
      <c r="G113" s="25">
        <v>4750</v>
      </c>
      <c r="H113" s="25" t="s">
        <v>82</v>
      </c>
      <c r="I113" s="25" t="s">
        <v>976</v>
      </c>
      <c r="J113" s="25" t="s">
        <v>2597</v>
      </c>
      <c r="K113" s="25" t="s">
        <v>2598</v>
      </c>
      <c r="L113" s="25" t="s">
        <v>2599</v>
      </c>
      <c r="M113" s="25" t="s">
        <v>2600</v>
      </c>
      <c r="N113" s="25" t="s">
        <v>1121</v>
      </c>
      <c r="O113" s="25" t="s">
        <v>2601</v>
      </c>
      <c r="P113" s="25" t="s">
        <v>2602</v>
      </c>
      <c r="Q113" s="25" t="s">
        <v>2603</v>
      </c>
      <c r="R113" s="25" t="s">
        <v>1122</v>
      </c>
      <c r="S113" s="25" t="s">
        <v>2604</v>
      </c>
      <c r="T113" s="25" t="s">
        <v>2605</v>
      </c>
      <c r="U113" s="179">
        <v>2023</v>
      </c>
      <c r="W113" s="25"/>
      <c r="X113" s="25"/>
      <c r="Y113" s="25"/>
    </row>
    <row r="114" spans="1:28" ht="30" customHeight="1" x14ac:dyDescent="0.2">
      <c r="A114">
        <v>111</v>
      </c>
      <c r="B114" s="37">
        <v>100042200</v>
      </c>
      <c r="C114" s="25" t="s">
        <v>639</v>
      </c>
      <c r="D114" s="25" t="s">
        <v>138</v>
      </c>
      <c r="E114" s="25" t="s">
        <v>294</v>
      </c>
      <c r="F114" s="25" t="s">
        <v>295</v>
      </c>
      <c r="G114" s="25">
        <v>4728</v>
      </c>
      <c r="H114" s="25" t="s">
        <v>82</v>
      </c>
      <c r="I114" s="25" t="s">
        <v>83</v>
      </c>
      <c r="J114" s="25" t="s">
        <v>2226</v>
      </c>
      <c r="K114" s="25">
        <v>3834394621</v>
      </c>
      <c r="L114" s="25" t="s">
        <v>2214</v>
      </c>
      <c r="M114" s="25" t="s">
        <v>2224</v>
      </c>
      <c r="N114" s="25" t="s">
        <v>1121</v>
      </c>
      <c r="O114" s="25">
        <v>3834324064</v>
      </c>
      <c r="P114" s="25" t="s">
        <v>2216</v>
      </c>
      <c r="Q114" s="25" t="s">
        <v>2217</v>
      </c>
      <c r="R114" s="25" t="s">
        <v>1181</v>
      </c>
      <c r="S114" s="25">
        <v>3834394621</v>
      </c>
      <c r="T114" s="25" t="s">
        <v>2218</v>
      </c>
      <c r="U114" s="181">
        <v>2017</v>
      </c>
      <c r="W114" s="25"/>
      <c r="X114" s="25"/>
      <c r="Y114" s="25"/>
    </row>
    <row r="115" spans="1:28" ht="30" customHeight="1" x14ac:dyDescent="0.2">
      <c r="A115">
        <v>112</v>
      </c>
      <c r="B115" s="37">
        <v>100042201</v>
      </c>
      <c r="C115" s="25" t="s">
        <v>640</v>
      </c>
      <c r="D115" s="25" t="s">
        <v>138</v>
      </c>
      <c r="E115" s="25" t="s">
        <v>294</v>
      </c>
      <c r="F115" s="25" t="s">
        <v>2212</v>
      </c>
      <c r="G115" s="25">
        <v>4726</v>
      </c>
      <c r="H115" s="25" t="s">
        <v>82</v>
      </c>
      <c r="I115" s="25" t="s">
        <v>83</v>
      </c>
      <c r="J115" s="25" t="s">
        <v>2213</v>
      </c>
      <c r="K115" s="25">
        <v>3834394621</v>
      </c>
      <c r="L115" s="25" t="s">
        <v>2214</v>
      </c>
      <c r="M115" s="25" t="s">
        <v>2215</v>
      </c>
      <c r="N115" s="25" t="s">
        <v>1121</v>
      </c>
      <c r="O115" s="25">
        <v>3834324064</v>
      </c>
      <c r="P115" s="25" t="s">
        <v>2216</v>
      </c>
      <c r="Q115" s="25" t="s">
        <v>2217</v>
      </c>
      <c r="R115" s="25" t="s">
        <v>1181</v>
      </c>
      <c r="S115" s="25">
        <v>3834394621</v>
      </c>
      <c r="T115" s="25" t="s">
        <v>2218</v>
      </c>
      <c r="U115" s="181">
        <v>2017</v>
      </c>
      <c r="W115" s="25"/>
      <c r="X115" s="25"/>
      <c r="Y115" s="25"/>
    </row>
    <row r="116" spans="1:28" ht="30" customHeight="1" x14ac:dyDescent="0.2">
      <c r="A116">
        <v>113</v>
      </c>
      <c r="B116" s="37">
        <v>100042202</v>
      </c>
      <c r="C116" s="25" t="s">
        <v>1095</v>
      </c>
      <c r="D116" s="25" t="s">
        <v>138</v>
      </c>
      <c r="E116" s="25" t="s">
        <v>294</v>
      </c>
      <c r="F116" s="25" t="s">
        <v>2744</v>
      </c>
      <c r="G116" s="25">
        <v>4724</v>
      </c>
      <c r="H116" s="25" t="s">
        <v>82</v>
      </c>
      <c r="I116" s="25" t="s">
        <v>83</v>
      </c>
      <c r="J116" s="25" t="s">
        <v>2223</v>
      </c>
      <c r="K116" s="25">
        <v>3834394621</v>
      </c>
      <c r="L116" s="25" t="s">
        <v>2214</v>
      </c>
      <c r="M116" s="25" t="s">
        <v>2224</v>
      </c>
      <c r="N116" s="25" t="s">
        <v>1121</v>
      </c>
      <c r="O116" s="25">
        <v>3834324064</v>
      </c>
      <c r="P116" s="25" t="s">
        <v>2216</v>
      </c>
      <c r="Q116" s="25" t="s">
        <v>2225</v>
      </c>
      <c r="R116" s="25" t="s">
        <v>1181</v>
      </c>
      <c r="S116" s="25">
        <v>3834394621</v>
      </c>
      <c r="T116" s="25" t="s">
        <v>2218</v>
      </c>
      <c r="U116" s="181">
        <v>2023</v>
      </c>
      <c r="W116" s="25"/>
      <c r="X116" s="25"/>
      <c r="Y116" s="25"/>
    </row>
    <row r="117" spans="1:28" ht="30" customHeight="1" x14ac:dyDescent="0.2">
      <c r="A117">
        <v>114</v>
      </c>
      <c r="B117" s="37">
        <v>100062700</v>
      </c>
      <c r="C117" s="25" t="s">
        <v>296</v>
      </c>
      <c r="D117" s="25" t="s">
        <v>138</v>
      </c>
      <c r="E117" s="25" t="s">
        <v>974</v>
      </c>
      <c r="F117" s="25" t="s">
        <v>561</v>
      </c>
      <c r="G117" s="25">
        <v>5321</v>
      </c>
      <c r="H117" s="25" t="s">
        <v>82</v>
      </c>
      <c r="I117" s="25" t="s">
        <v>83</v>
      </c>
      <c r="J117" s="25" t="s">
        <v>2455</v>
      </c>
      <c r="K117" s="25" t="s">
        <v>149</v>
      </c>
      <c r="L117" s="25" t="s">
        <v>2456</v>
      </c>
      <c r="M117" s="25" t="s">
        <v>2457</v>
      </c>
      <c r="N117" s="25" t="s">
        <v>1121</v>
      </c>
      <c r="O117" s="25">
        <v>3834511426</v>
      </c>
      <c r="P117" s="25" t="s">
        <v>2456</v>
      </c>
      <c r="Q117" s="25" t="s">
        <v>2458</v>
      </c>
      <c r="R117" s="25" t="s">
        <v>1151</v>
      </c>
      <c r="S117" s="25">
        <v>3835400528</v>
      </c>
      <c r="T117" s="25" t="s">
        <v>2459</v>
      </c>
      <c r="U117" s="181">
        <v>2019</v>
      </c>
      <c r="W117" s="25"/>
      <c r="Y117" s="25"/>
    </row>
    <row r="118" spans="1:28" ht="30" customHeight="1" x14ac:dyDescent="0.2">
      <c r="A118">
        <v>115</v>
      </c>
      <c r="B118" s="37">
        <v>100073500</v>
      </c>
      <c r="C118" s="25" t="s">
        <v>297</v>
      </c>
      <c r="D118" s="25" t="s">
        <v>138</v>
      </c>
      <c r="E118" s="25" t="s">
        <v>2512</v>
      </c>
      <c r="F118" s="25" t="s">
        <v>252</v>
      </c>
      <c r="G118" s="25">
        <v>4707</v>
      </c>
      <c r="H118" s="25" t="s">
        <v>82</v>
      </c>
      <c r="I118" s="25" t="s">
        <v>83</v>
      </c>
      <c r="J118" s="25" t="s">
        <v>2485</v>
      </c>
      <c r="K118" s="25">
        <v>3836017031</v>
      </c>
      <c r="L118" s="25" t="s">
        <v>2486</v>
      </c>
      <c r="M118" s="25" t="s">
        <v>2487</v>
      </c>
      <c r="N118" s="25" t="s">
        <v>1121</v>
      </c>
      <c r="O118" s="25">
        <v>3834613723</v>
      </c>
      <c r="P118" s="25" t="s">
        <v>2488</v>
      </c>
      <c r="Q118" s="25" t="s">
        <v>2489</v>
      </c>
      <c r="R118" s="25" t="s">
        <v>1122</v>
      </c>
      <c r="S118" s="25">
        <v>3834396021</v>
      </c>
      <c r="T118" s="25" t="s">
        <v>2490</v>
      </c>
      <c r="U118" s="181">
        <v>2019</v>
      </c>
      <c r="W118" s="25"/>
      <c r="X118" s="25"/>
      <c r="Y118" s="25"/>
      <c r="Z118" s="25"/>
      <c r="AB118" s="25"/>
    </row>
    <row r="119" spans="1:28" ht="30" customHeight="1" x14ac:dyDescent="0.2">
      <c r="A119">
        <v>116</v>
      </c>
      <c r="B119" s="37">
        <v>100089900</v>
      </c>
      <c r="C119" s="25" t="s">
        <v>641</v>
      </c>
      <c r="D119" s="25" t="s">
        <v>138</v>
      </c>
      <c r="E119" s="25" t="s">
        <v>152</v>
      </c>
      <c r="F119" s="25" t="s">
        <v>1586</v>
      </c>
      <c r="G119" s="25">
        <v>4700</v>
      </c>
      <c r="H119" s="25" t="s">
        <v>82</v>
      </c>
      <c r="I119" s="25" t="s">
        <v>83</v>
      </c>
      <c r="J119" s="25" t="s">
        <v>1754</v>
      </c>
      <c r="L119" s="25" t="s">
        <v>1755</v>
      </c>
      <c r="M119" s="25" t="s">
        <v>1756</v>
      </c>
      <c r="N119" s="25" t="s">
        <v>1121</v>
      </c>
      <c r="O119" s="25">
        <v>3834536210</v>
      </c>
      <c r="P119" s="25" t="s">
        <v>1757</v>
      </c>
      <c r="Q119" s="25" t="s">
        <v>1756</v>
      </c>
      <c r="R119" s="25" t="s">
        <v>1121</v>
      </c>
      <c r="S119" s="25">
        <v>3834536210</v>
      </c>
      <c r="T119" s="25" t="s">
        <v>1757</v>
      </c>
      <c r="U119" s="181">
        <v>2016</v>
      </c>
      <c r="W119" s="25"/>
      <c r="X119" s="25"/>
      <c r="Y119" s="25"/>
    </row>
    <row r="120" spans="1:28" ht="30" customHeight="1" x14ac:dyDescent="0.2">
      <c r="A120">
        <v>117</v>
      </c>
      <c r="B120" s="37">
        <v>140068803</v>
      </c>
      <c r="C120" s="25" t="s">
        <v>154</v>
      </c>
      <c r="D120" s="25" t="s">
        <v>109</v>
      </c>
      <c r="E120" s="25" t="s">
        <v>302</v>
      </c>
      <c r="F120" s="25" t="s">
        <v>1115</v>
      </c>
      <c r="G120" s="25">
        <v>2589</v>
      </c>
      <c r="H120" s="25" t="s">
        <v>82</v>
      </c>
      <c r="I120" s="25" t="s">
        <v>83</v>
      </c>
      <c r="J120" s="25" t="s">
        <v>1116</v>
      </c>
      <c r="K120" s="25">
        <v>3467446980</v>
      </c>
      <c r="L120" s="25" t="s">
        <v>1068</v>
      </c>
      <c r="M120" s="25" t="s">
        <v>1117</v>
      </c>
      <c r="N120" s="25" t="s">
        <v>1118</v>
      </c>
      <c r="O120" s="25">
        <v>3472507218</v>
      </c>
      <c r="P120" s="25" t="s">
        <v>1069</v>
      </c>
      <c r="Q120" s="25" t="s">
        <v>1117</v>
      </c>
      <c r="R120" s="25" t="s">
        <v>1119</v>
      </c>
      <c r="S120" s="25">
        <v>3472507218</v>
      </c>
      <c r="T120" s="25" t="s">
        <v>1069</v>
      </c>
      <c r="U120" s="181">
        <v>2019</v>
      </c>
      <c r="W120" s="25"/>
      <c r="X120" s="25"/>
      <c r="Y120" s="25"/>
    </row>
    <row r="121" spans="1:28" ht="30" customHeight="1" x14ac:dyDescent="0.2">
      <c r="A121">
        <v>118</v>
      </c>
      <c r="B121" s="37">
        <v>140233600</v>
      </c>
      <c r="C121" s="25" t="s">
        <v>298</v>
      </c>
      <c r="D121" s="25" t="s">
        <v>109</v>
      </c>
      <c r="E121" s="25" t="s">
        <v>110</v>
      </c>
      <c r="F121" s="25" t="s">
        <v>531</v>
      </c>
      <c r="G121" s="25">
        <v>5900</v>
      </c>
      <c r="H121" s="25" t="s">
        <v>134</v>
      </c>
      <c r="I121" s="25" t="s">
        <v>976</v>
      </c>
      <c r="J121" s="25" t="s">
        <v>710</v>
      </c>
      <c r="K121" s="25" t="s">
        <v>1666</v>
      </c>
      <c r="L121" s="25" t="s">
        <v>1667</v>
      </c>
      <c r="M121" s="25" t="s">
        <v>1668</v>
      </c>
      <c r="N121" s="25" t="s">
        <v>1118</v>
      </c>
      <c r="O121" s="25" t="s">
        <v>1669</v>
      </c>
      <c r="P121" s="25" t="s">
        <v>711</v>
      </c>
      <c r="Q121" s="25" t="s">
        <v>1670</v>
      </c>
      <c r="R121" s="25" t="s">
        <v>590</v>
      </c>
      <c r="S121" s="25" t="s">
        <v>1671</v>
      </c>
      <c r="T121" s="25" t="s">
        <v>712</v>
      </c>
      <c r="U121" s="181">
        <v>2020</v>
      </c>
      <c r="W121" s="25"/>
      <c r="Y121" s="25"/>
    </row>
    <row r="122" spans="1:28" ht="30" customHeight="1" x14ac:dyDescent="0.2">
      <c r="A122">
        <v>119</v>
      </c>
      <c r="B122" s="37">
        <v>140240300</v>
      </c>
      <c r="C122" s="25" t="s">
        <v>476</v>
      </c>
      <c r="D122" s="37" t="s">
        <v>109</v>
      </c>
      <c r="E122" s="25" t="s">
        <v>305</v>
      </c>
      <c r="F122" s="37" t="s">
        <v>532</v>
      </c>
      <c r="G122" s="25">
        <v>5152</v>
      </c>
      <c r="H122" s="25" t="s">
        <v>82</v>
      </c>
      <c r="I122" s="25" t="s">
        <v>83</v>
      </c>
      <c r="J122" t="s">
        <v>1879</v>
      </c>
      <c r="K122" t="s">
        <v>1880</v>
      </c>
      <c r="L122" t="s">
        <v>1881</v>
      </c>
      <c r="M122" t="s">
        <v>1882</v>
      </c>
      <c r="N122" t="s">
        <v>1118</v>
      </c>
      <c r="O122">
        <v>3512436173</v>
      </c>
      <c r="P122" t="s">
        <v>1883</v>
      </c>
      <c r="Q122" t="s">
        <v>1884</v>
      </c>
      <c r="R122" t="s">
        <v>1122</v>
      </c>
      <c r="S122">
        <v>3541657936</v>
      </c>
      <c r="T122" t="s">
        <v>1885</v>
      </c>
      <c r="U122" s="181">
        <v>2022</v>
      </c>
      <c r="W122" s="25"/>
      <c r="Y122" s="25"/>
    </row>
    <row r="123" spans="1:28" ht="30" customHeight="1" x14ac:dyDescent="0.2">
      <c r="A123">
        <v>120</v>
      </c>
      <c r="B123" s="37">
        <v>140253500</v>
      </c>
      <c r="C123" s="25" t="s">
        <v>642</v>
      </c>
      <c r="D123" s="25" t="s">
        <v>109</v>
      </c>
      <c r="E123" s="25" t="s">
        <v>299</v>
      </c>
      <c r="F123" s="25" t="s">
        <v>156</v>
      </c>
      <c r="G123" s="25">
        <v>2550</v>
      </c>
      <c r="H123" s="25" t="s">
        <v>82</v>
      </c>
      <c r="I123" s="25" t="s">
        <v>83</v>
      </c>
      <c r="J123" s="25" t="s">
        <v>1390</v>
      </c>
      <c r="K123" s="25" t="s">
        <v>1391</v>
      </c>
      <c r="L123" s="25" t="s">
        <v>1070</v>
      </c>
      <c r="M123" s="25" t="s">
        <v>1392</v>
      </c>
      <c r="N123" s="25" t="s">
        <v>1118</v>
      </c>
      <c r="O123" s="25">
        <v>3464512550</v>
      </c>
      <c r="P123" s="25" t="s">
        <v>1071</v>
      </c>
      <c r="Q123" s="25" t="s">
        <v>1393</v>
      </c>
      <c r="R123" s="25" t="s">
        <v>1122</v>
      </c>
      <c r="S123" s="25">
        <v>3537589187</v>
      </c>
      <c r="T123" s="25" t="s">
        <v>1072</v>
      </c>
      <c r="U123" s="181">
        <v>2016</v>
      </c>
      <c r="W123" s="25"/>
      <c r="Y123" s="25"/>
    </row>
    <row r="124" spans="1:28" ht="30" customHeight="1" x14ac:dyDescent="0.2">
      <c r="A124">
        <v>121</v>
      </c>
      <c r="B124" s="37">
        <v>140253504</v>
      </c>
      <c r="C124" s="25" t="s">
        <v>2624</v>
      </c>
      <c r="D124" s="25" t="s">
        <v>109</v>
      </c>
      <c r="E124" s="25" t="s">
        <v>2625</v>
      </c>
      <c r="F124" s="25" t="s">
        <v>2626</v>
      </c>
      <c r="G124" s="37">
        <v>5133</v>
      </c>
      <c r="H124" s="25" t="s">
        <v>82</v>
      </c>
      <c r="I124" s="25" t="s">
        <v>83</v>
      </c>
      <c r="J124" s="25" t="s">
        <v>2627</v>
      </c>
      <c r="K124" s="25">
        <v>3574401702</v>
      </c>
      <c r="L124" s="25" t="s">
        <v>2628</v>
      </c>
      <c r="M124" s="25" t="s">
        <v>2629</v>
      </c>
      <c r="N124" s="25" t="s">
        <v>2630</v>
      </c>
      <c r="O124" s="25">
        <v>3574401702</v>
      </c>
      <c r="P124" s="25" t="s">
        <v>2631</v>
      </c>
      <c r="Q124" s="25" t="s">
        <v>2629</v>
      </c>
      <c r="R124" s="25" t="s">
        <v>1181</v>
      </c>
      <c r="S124" s="25">
        <v>3574401702</v>
      </c>
      <c r="T124" s="25" t="s">
        <v>2631</v>
      </c>
      <c r="U124" s="179">
        <v>2016</v>
      </c>
      <c r="W124" s="25"/>
      <c r="Y124" s="25"/>
    </row>
    <row r="125" spans="1:28" ht="30" customHeight="1" x14ac:dyDescent="0.2">
      <c r="A125">
        <v>122</v>
      </c>
      <c r="B125" s="37">
        <v>140261700</v>
      </c>
      <c r="C125" s="25" t="s">
        <v>643</v>
      </c>
      <c r="D125" s="25" t="s">
        <v>109</v>
      </c>
      <c r="E125" s="25" t="s">
        <v>302</v>
      </c>
      <c r="F125" s="25" t="s">
        <v>713</v>
      </c>
      <c r="G125" s="25">
        <v>5940</v>
      </c>
      <c r="H125" s="25" t="s">
        <v>134</v>
      </c>
      <c r="I125" s="25" t="s">
        <v>976</v>
      </c>
      <c r="J125" s="25" t="s">
        <v>1672</v>
      </c>
      <c r="K125" s="25" t="s">
        <v>1673</v>
      </c>
      <c r="L125" s="25" t="s">
        <v>714</v>
      </c>
      <c r="M125" s="25" t="s">
        <v>1674</v>
      </c>
      <c r="N125" s="25" t="s">
        <v>1118</v>
      </c>
      <c r="O125" s="25" t="s">
        <v>1675</v>
      </c>
      <c r="P125" s="25" t="s">
        <v>1676</v>
      </c>
      <c r="Q125" s="25" t="s">
        <v>1674</v>
      </c>
      <c r="R125" s="25" t="s">
        <v>1119</v>
      </c>
      <c r="S125" s="25" t="s">
        <v>1675</v>
      </c>
      <c r="T125" s="25" t="s">
        <v>1676</v>
      </c>
      <c r="U125" s="181">
        <v>2023</v>
      </c>
      <c r="W125" s="25"/>
      <c r="X125" s="25"/>
      <c r="Y125" s="25"/>
    </row>
    <row r="126" spans="1:28" ht="30" customHeight="1" x14ac:dyDescent="0.2">
      <c r="A126">
        <v>123</v>
      </c>
      <c r="B126" s="37">
        <v>140278801</v>
      </c>
      <c r="C126" s="25" t="s">
        <v>644</v>
      </c>
      <c r="D126" s="25" t="s">
        <v>109</v>
      </c>
      <c r="E126" s="25" t="s">
        <v>2662</v>
      </c>
      <c r="F126" s="25" t="s">
        <v>300</v>
      </c>
      <c r="G126" s="25">
        <v>5913</v>
      </c>
      <c r="H126" s="25" t="s">
        <v>82</v>
      </c>
      <c r="I126" s="25" t="s">
        <v>976</v>
      </c>
      <c r="J126" s="25" t="s">
        <v>2663</v>
      </c>
      <c r="K126" s="25">
        <v>3534839620</v>
      </c>
      <c r="L126" s="25" t="s">
        <v>2664</v>
      </c>
      <c r="M126" s="25" t="s">
        <v>2665</v>
      </c>
      <c r="N126" s="25" t="s">
        <v>1118</v>
      </c>
      <c r="O126" s="25">
        <v>3533431154</v>
      </c>
      <c r="P126" s="25" t="s">
        <v>2666</v>
      </c>
      <c r="Q126" s="25" t="s">
        <v>2667</v>
      </c>
      <c r="R126" s="25" t="s">
        <v>1122</v>
      </c>
      <c r="S126" s="25">
        <v>3534250336</v>
      </c>
      <c r="T126" s="25" t="s">
        <v>2668</v>
      </c>
      <c r="U126" s="181">
        <v>2016</v>
      </c>
      <c r="W126" s="25"/>
      <c r="X126" s="25"/>
      <c r="Y126" s="25"/>
      <c r="Z126" s="25"/>
      <c r="AB126" s="25"/>
    </row>
    <row r="127" spans="1:28" ht="30" customHeight="1" x14ac:dyDescent="0.2">
      <c r="A127">
        <v>124</v>
      </c>
      <c r="B127" s="37">
        <v>140312400</v>
      </c>
      <c r="C127" s="25" t="s">
        <v>477</v>
      </c>
      <c r="D127" s="25" t="s">
        <v>109</v>
      </c>
      <c r="E127" s="25" t="s">
        <v>435</v>
      </c>
      <c r="F127" s="25" t="s">
        <v>1739</v>
      </c>
      <c r="G127" s="25">
        <v>2677</v>
      </c>
      <c r="H127" s="25" t="s">
        <v>82</v>
      </c>
      <c r="I127" s="25" t="s">
        <v>976</v>
      </c>
      <c r="J127" s="25" t="s">
        <v>1740</v>
      </c>
      <c r="K127" s="25" t="s">
        <v>1741</v>
      </c>
      <c r="L127" s="25" t="s">
        <v>1742</v>
      </c>
      <c r="M127" s="25" t="s">
        <v>1743</v>
      </c>
      <c r="N127" s="25" t="s">
        <v>1118</v>
      </c>
      <c r="O127" s="25" t="s">
        <v>1744</v>
      </c>
      <c r="P127" s="25" t="s">
        <v>1745</v>
      </c>
      <c r="Q127" s="25" t="s">
        <v>1746</v>
      </c>
      <c r="R127" s="25" t="s">
        <v>1121</v>
      </c>
      <c r="S127" s="25" t="s">
        <v>1744</v>
      </c>
      <c r="T127" s="25" t="s">
        <v>1745</v>
      </c>
      <c r="U127" s="181">
        <v>2021</v>
      </c>
      <c r="W127" s="25"/>
      <c r="X127" s="25"/>
      <c r="Y127" s="25"/>
    </row>
    <row r="128" spans="1:28" ht="30" customHeight="1" x14ac:dyDescent="0.2">
      <c r="A128">
        <v>125</v>
      </c>
      <c r="B128" s="37">
        <v>140319700</v>
      </c>
      <c r="C128" s="25" t="s">
        <v>478</v>
      </c>
      <c r="D128" s="25" t="s">
        <v>109</v>
      </c>
      <c r="E128" s="25" t="s">
        <v>302</v>
      </c>
      <c r="F128" s="25" t="s">
        <v>533</v>
      </c>
      <c r="G128" s="25">
        <v>2400</v>
      </c>
      <c r="H128" s="25" t="s">
        <v>134</v>
      </c>
      <c r="I128" s="25" t="s">
        <v>976</v>
      </c>
      <c r="J128" s="25" t="s">
        <v>2564</v>
      </c>
      <c r="K128" s="25" t="s">
        <v>2565</v>
      </c>
      <c r="L128" s="25" t="s">
        <v>2566</v>
      </c>
      <c r="M128" s="25" t="s">
        <v>2567</v>
      </c>
      <c r="N128" s="25" t="s">
        <v>1118</v>
      </c>
      <c r="O128" s="25" t="s">
        <v>2568</v>
      </c>
      <c r="P128" s="25" t="s">
        <v>2566</v>
      </c>
      <c r="Q128" s="25" t="s">
        <v>2569</v>
      </c>
      <c r="R128" s="25" t="s">
        <v>1122</v>
      </c>
      <c r="S128" s="25" t="s">
        <v>2570</v>
      </c>
      <c r="T128" s="25" t="s">
        <v>2571</v>
      </c>
      <c r="U128" s="181">
        <v>2022</v>
      </c>
      <c r="W128" s="25"/>
      <c r="X128" s="25"/>
      <c r="Y128" s="25"/>
    </row>
    <row r="129" spans="1:28" ht="30" customHeight="1" x14ac:dyDescent="0.2">
      <c r="A129">
        <v>126</v>
      </c>
      <c r="B129" s="37">
        <v>140319900</v>
      </c>
      <c r="C129" s="25" t="s">
        <v>157</v>
      </c>
      <c r="D129" s="25" t="s">
        <v>109</v>
      </c>
      <c r="E129" s="25" t="s">
        <v>177</v>
      </c>
      <c r="F129" s="25" t="s">
        <v>177</v>
      </c>
      <c r="G129" s="25">
        <v>5280</v>
      </c>
      <c r="H129" s="25" t="s">
        <v>82</v>
      </c>
      <c r="I129" s="25" t="s">
        <v>976</v>
      </c>
      <c r="J129" s="25" t="s">
        <v>2632</v>
      </c>
      <c r="K129" s="25">
        <v>359426774</v>
      </c>
      <c r="L129" s="25" t="s">
        <v>2633</v>
      </c>
      <c r="M129" s="25" t="s">
        <v>2634</v>
      </c>
      <c r="N129" s="25" t="s">
        <v>1118</v>
      </c>
      <c r="O129" s="25">
        <v>3875030360</v>
      </c>
      <c r="P129" s="25" t="s">
        <v>2635</v>
      </c>
      <c r="Q129" s="25" t="s">
        <v>2634</v>
      </c>
      <c r="R129" s="25" t="s">
        <v>1119</v>
      </c>
      <c r="S129" s="25">
        <v>3875030360</v>
      </c>
      <c r="T129" s="25" t="s">
        <v>2635</v>
      </c>
      <c r="U129" s="179">
        <v>2021</v>
      </c>
      <c r="W129" s="25"/>
      <c r="Y129" s="25"/>
    </row>
    <row r="130" spans="1:28" ht="30" customHeight="1" x14ac:dyDescent="0.2">
      <c r="A130">
        <v>127</v>
      </c>
      <c r="B130" s="37">
        <v>140322200</v>
      </c>
      <c r="C130" s="25" t="s">
        <v>301</v>
      </c>
      <c r="D130" s="25" t="s">
        <v>109</v>
      </c>
      <c r="E130" s="25" t="s">
        <v>302</v>
      </c>
      <c r="F130" s="25" t="s">
        <v>2554</v>
      </c>
      <c r="G130" s="25">
        <v>2419</v>
      </c>
      <c r="H130" s="25" t="s">
        <v>134</v>
      </c>
      <c r="I130" s="25" t="s">
        <v>976</v>
      </c>
      <c r="J130" s="25" t="s">
        <v>2555</v>
      </c>
      <c r="K130" s="25" t="s">
        <v>2556</v>
      </c>
      <c r="L130" s="25" t="s">
        <v>2557</v>
      </c>
      <c r="M130" s="25" t="s">
        <v>2558</v>
      </c>
      <c r="N130" s="25" t="s">
        <v>1118</v>
      </c>
      <c r="O130" s="25" t="s">
        <v>2559</v>
      </c>
      <c r="P130" s="25" t="s">
        <v>2560</v>
      </c>
      <c r="Q130" s="25" t="s">
        <v>2561</v>
      </c>
      <c r="R130" s="25" t="s">
        <v>1122</v>
      </c>
      <c r="S130" s="25" t="s">
        <v>2562</v>
      </c>
      <c r="T130" s="25" t="s">
        <v>2563</v>
      </c>
      <c r="U130" s="181">
        <v>2021</v>
      </c>
      <c r="W130" s="25"/>
      <c r="X130" s="25"/>
      <c r="Y130" s="25"/>
    </row>
    <row r="131" spans="1:28" ht="30" customHeight="1" x14ac:dyDescent="0.2">
      <c r="A131">
        <v>128</v>
      </c>
      <c r="B131" s="37">
        <v>140333900</v>
      </c>
      <c r="C131" s="25" t="s">
        <v>161</v>
      </c>
      <c r="D131" s="25" t="s">
        <v>109</v>
      </c>
      <c r="E131" s="25" t="s">
        <v>152</v>
      </c>
      <c r="F131" s="25" t="s">
        <v>109</v>
      </c>
      <c r="G131" s="25">
        <v>5000</v>
      </c>
      <c r="H131" s="25" t="s">
        <v>134</v>
      </c>
      <c r="I131" s="25" t="s">
        <v>83</v>
      </c>
      <c r="J131" s="25" t="s">
        <v>715</v>
      </c>
      <c r="K131" s="25" t="s">
        <v>1656</v>
      </c>
      <c r="L131" s="25" t="s">
        <v>1657</v>
      </c>
      <c r="M131" s="25" t="s">
        <v>1658</v>
      </c>
      <c r="N131" s="25" t="s">
        <v>1118</v>
      </c>
      <c r="O131" s="25" t="s">
        <v>716</v>
      </c>
      <c r="P131" s="25" t="s">
        <v>1659</v>
      </c>
      <c r="Q131" s="25" t="s">
        <v>1660</v>
      </c>
      <c r="R131" s="25" t="s">
        <v>1122</v>
      </c>
      <c r="S131" s="25" t="s">
        <v>1661</v>
      </c>
      <c r="T131" s="25" t="s">
        <v>1662</v>
      </c>
      <c r="U131" s="181">
        <v>2020</v>
      </c>
      <c r="W131" s="25"/>
      <c r="X131" s="25"/>
      <c r="Y131" s="25"/>
    </row>
    <row r="132" spans="1:28" ht="30" customHeight="1" x14ac:dyDescent="0.2">
      <c r="A132">
        <v>129</v>
      </c>
      <c r="B132" s="37">
        <v>140337300</v>
      </c>
      <c r="C132" s="25" t="s">
        <v>159</v>
      </c>
      <c r="D132" s="37" t="s">
        <v>109</v>
      </c>
      <c r="E132" s="25" t="s">
        <v>110</v>
      </c>
      <c r="F132" s="37" t="s">
        <v>111</v>
      </c>
      <c r="G132" s="25">
        <v>5900</v>
      </c>
      <c r="H132" s="25" t="s">
        <v>82</v>
      </c>
      <c r="I132" s="25" t="s">
        <v>83</v>
      </c>
      <c r="J132" t="s">
        <v>1871</v>
      </c>
      <c r="K132" t="s">
        <v>1872</v>
      </c>
      <c r="L132" t="s">
        <v>1873</v>
      </c>
      <c r="M132" t="s">
        <v>1874</v>
      </c>
      <c r="N132" t="s">
        <v>1118</v>
      </c>
      <c r="O132" t="s">
        <v>1875</v>
      </c>
      <c r="P132" t="s">
        <v>1873</v>
      </c>
      <c r="Q132" t="s">
        <v>1876</v>
      </c>
      <c r="R132" t="s">
        <v>1122</v>
      </c>
      <c r="S132" t="s">
        <v>1877</v>
      </c>
      <c r="T132" t="s">
        <v>1878</v>
      </c>
      <c r="U132" s="181">
        <v>2020</v>
      </c>
      <c r="W132" s="25"/>
      <c r="X132" s="25"/>
      <c r="Y132" s="25"/>
    </row>
    <row r="133" spans="1:28" ht="30" customHeight="1" x14ac:dyDescent="0.2">
      <c r="A133">
        <v>130</v>
      </c>
      <c r="B133" s="37">
        <v>140359300</v>
      </c>
      <c r="C133" s="25" t="s">
        <v>645</v>
      </c>
      <c r="D133" s="25" t="s">
        <v>109</v>
      </c>
      <c r="E133" s="25" t="s">
        <v>303</v>
      </c>
      <c r="F133" s="25" t="s">
        <v>1803</v>
      </c>
      <c r="G133" s="25">
        <v>5870</v>
      </c>
      <c r="H133" s="25" t="s">
        <v>82</v>
      </c>
      <c r="I133" s="25" t="s">
        <v>83</v>
      </c>
      <c r="J133" s="25" t="s">
        <v>1804</v>
      </c>
      <c r="K133" s="25" t="s">
        <v>1805</v>
      </c>
      <c r="L133" s="25" t="s">
        <v>1806</v>
      </c>
      <c r="M133" s="25" t="s">
        <v>1807</v>
      </c>
      <c r="N133" s="25" t="s">
        <v>1118</v>
      </c>
      <c r="O133" s="25">
        <v>3544631390</v>
      </c>
      <c r="P133" s="25" t="s">
        <v>1806</v>
      </c>
      <c r="Q133" s="25" t="s">
        <v>1807</v>
      </c>
      <c r="R133" s="25" t="s">
        <v>1119</v>
      </c>
      <c r="S133" s="25">
        <v>3544631390</v>
      </c>
      <c r="T133" s="25" t="s">
        <v>1806</v>
      </c>
      <c r="U133" s="181">
        <v>2016</v>
      </c>
      <c r="W133" s="25"/>
      <c r="Y133" s="25"/>
    </row>
    <row r="134" spans="1:28" ht="30" customHeight="1" x14ac:dyDescent="0.2">
      <c r="A134">
        <v>131</v>
      </c>
      <c r="B134" s="37">
        <v>140443800</v>
      </c>
      <c r="C134" s="25" t="s">
        <v>646</v>
      </c>
      <c r="D134" s="25" t="s">
        <v>109</v>
      </c>
      <c r="E134" s="25" t="s">
        <v>152</v>
      </c>
      <c r="F134" s="25" t="s">
        <v>109</v>
      </c>
      <c r="G134" s="25">
        <v>5000</v>
      </c>
      <c r="H134" s="25" t="s">
        <v>134</v>
      </c>
      <c r="I134" s="25" t="s">
        <v>83</v>
      </c>
      <c r="J134" s="25" t="s">
        <v>717</v>
      </c>
      <c r="K134" s="25">
        <v>3517516762</v>
      </c>
      <c r="L134" s="25" t="s">
        <v>718</v>
      </c>
      <c r="M134" s="25" t="s">
        <v>1487</v>
      </c>
      <c r="N134" s="25" t="s">
        <v>1118</v>
      </c>
      <c r="O134" s="25">
        <v>3517516762</v>
      </c>
      <c r="P134" s="25" t="s">
        <v>719</v>
      </c>
      <c r="Q134" s="25" t="s">
        <v>720</v>
      </c>
      <c r="R134" s="25" t="s">
        <v>1122</v>
      </c>
      <c r="S134" s="25">
        <v>3515376550</v>
      </c>
      <c r="T134" s="25" t="s">
        <v>721</v>
      </c>
      <c r="U134" s="181">
        <v>2016</v>
      </c>
      <c r="W134" s="25"/>
      <c r="X134" s="25"/>
      <c r="Y134" s="25"/>
    </row>
    <row r="135" spans="1:28" ht="30" customHeight="1" x14ac:dyDescent="0.2">
      <c r="A135">
        <v>132</v>
      </c>
      <c r="B135" s="37">
        <v>140463300</v>
      </c>
      <c r="C135" s="25" t="s">
        <v>568</v>
      </c>
      <c r="D135" s="25" t="s">
        <v>109</v>
      </c>
      <c r="E135" s="25" t="s">
        <v>304</v>
      </c>
      <c r="F135" s="25" t="s">
        <v>162</v>
      </c>
      <c r="G135" s="25">
        <v>5800</v>
      </c>
      <c r="H135" s="25" t="s">
        <v>134</v>
      </c>
      <c r="I135" s="25" t="s">
        <v>83</v>
      </c>
      <c r="J135" s="25" t="s">
        <v>569</v>
      </c>
      <c r="K135" s="25" t="s">
        <v>570</v>
      </c>
      <c r="L135" s="25" t="s">
        <v>571</v>
      </c>
      <c r="M135" s="25" t="s">
        <v>1593</v>
      </c>
      <c r="N135" s="25" t="s">
        <v>1118</v>
      </c>
      <c r="O135" s="25" t="s">
        <v>572</v>
      </c>
      <c r="P135" s="25" t="s">
        <v>573</v>
      </c>
      <c r="Q135" s="25" t="s">
        <v>1593</v>
      </c>
      <c r="R135" s="25" t="s">
        <v>1119</v>
      </c>
      <c r="S135" s="25" t="s">
        <v>572</v>
      </c>
      <c r="T135" s="25" t="s">
        <v>573</v>
      </c>
      <c r="U135" s="181">
        <v>2016</v>
      </c>
      <c r="W135" s="25"/>
      <c r="X135" s="25"/>
      <c r="Y135" s="25"/>
      <c r="Z135" s="25"/>
      <c r="AB135" s="25"/>
    </row>
    <row r="136" spans="1:28" ht="30" customHeight="1" x14ac:dyDescent="0.2">
      <c r="A136">
        <v>133</v>
      </c>
      <c r="B136" s="37">
        <v>140488900</v>
      </c>
      <c r="C136" s="37" t="s">
        <v>647</v>
      </c>
      <c r="D136" s="37" t="s">
        <v>109</v>
      </c>
      <c r="E136" s="37" t="s">
        <v>2752</v>
      </c>
      <c r="F136" s="37" t="s">
        <v>163</v>
      </c>
      <c r="G136" s="25">
        <v>5963</v>
      </c>
      <c r="H136" s="25" t="s">
        <v>134</v>
      </c>
      <c r="I136" s="25" t="s">
        <v>83</v>
      </c>
      <c r="J136" s="37" t="s">
        <v>2753</v>
      </c>
      <c r="K136" s="37" t="s">
        <v>2754</v>
      </c>
      <c r="L136" s="37" t="s">
        <v>2755</v>
      </c>
      <c r="M136" s="37" t="s">
        <v>2756</v>
      </c>
      <c r="N136" s="37" t="s">
        <v>1118</v>
      </c>
      <c r="O136" s="37">
        <v>3573499403</v>
      </c>
      <c r="P136" s="37" t="s">
        <v>2757</v>
      </c>
      <c r="Q136" s="37" t="s">
        <v>2758</v>
      </c>
      <c r="R136" s="37" t="s">
        <v>1122</v>
      </c>
      <c r="S136" s="37">
        <v>3573469134</v>
      </c>
      <c r="T136" s="37" t="s">
        <v>2759</v>
      </c>
      <c r="U136" s="181">
        <v>2016</v>
      </c>
      <c r="W136" s="25"/>
      <c r="X136" s="25"/>
      <c r="Y136" s="25"/>
    </row>
    <row r="137" spans="1:28" ht="30" customHeight="1" x14ac:dyDescent="0.2">
      <c r="A137">
        <v>134</v>
      </c>
      <c r="B137" s="37">
        <v>140510100</v>
      </c>
      <c r="C137" s="25" t="s">
        <v>648</v>
      </c>
      <c r="D137" s="25" t="s">
        <v>109</v>
      </c>
      <c r="E137" s="25" t="s">
        <v>152</v>
      </c>
      <c r="F137" s="25" t="s">
        <v>109</v>
      </c>
      <c r="G137" s="25">
        <v>5000</v>
      </c>
      <c r="H137" s="25" t="s">
        <v>134</v>
      </c>
      <c r="I137" s="25" t="s">
        <v>83</v>
      </c>
      <c r="J137" s="25" t="s">
        <v>2088</v>
      </c>
      <c r="K137" s="25">
        <v>3514297276</v>
      </c>
      <c r="L137" s="25" t="s">
        <v>2089</v>
      </c>
      <c r="M137" s="25" t="s">
        <v>2090</v>
      </c>
      <c r="N137" s="25" t="s">
        <v>1118</v>
      </c>
      <c r="O137" s="25">
        <v>3516430818</v>
      </c>
      <c r="P137" s="25" t="s">
        <v>2091</v>
      </c>
      <c r="Q137" s="25" t="s">
        <v>2092</v>
      </c>
      <c r="R137" s="25" t="s">
        <v>1122</v>
      </c>
      <c r="S137" s="25">
        <v>3512111833</v>
      </c>
      <c r="T137" s="25" t="s">
        <v>2093</v>
      </c>
      <c r="U137" s="181">
        <v>2018</v>
      </c>
      <c r="W137" s="25"/>
      <c r="X137" s="25"/>
      <c r="Y137" s="25"/>
    </row>
    <row r="138" spans="1:28" ht="30" customHeight="1" x14ac:dyDescent="0.2">
      <c r="A138">
        <v>135</v>
      </c>
      <c r="B138" s="37">
        <v>140510101</v>
      </c>
      <c r="C138" s="25" t="s">
        <v>164</v>
      </c>
      <c r="D138" s="25" t="s">
        <v>109</v>
      </c>
      <c r="E138" s="25" t="s">
        <v>305</v>
      </c>
      <c r="F138" s="25" t="s">
        <v>2167</v>
      </c>
      <c r="G138" s="25">
        <v>5166</v>
      </c>
      <c r="H138" s="25" t="s">
        <v>134</v>
      </c>
      <c r="I138" s="25" t="s">
        <v>83</v>
      </c>
      <c r="J138" s="25" t="s">
        <v>2168</v>
      </c>
      <c r="K138" s="25" t="s">
        <v>2169</v>
      </c>
      <c r="L138" s="25" t="s">
        <v>2170</v>
      </c>
      <c r="M138" s="25" t="s">
        <v>2171</v>
      </c>
      <c r="N138" s="25" t="s">
        <v>1118</v>
      </c>
      <c r="O138" s="25">
        <v>3514297276</v>
      </c>
      <c r="P138" s="25" t="s">
        <v>2089</v>
      </c>
      <c r="Q138" s="25" t="s">
        <v>2172</v>
      </c>
      <c r="R138" s="25" t="s">
        <v>1122</v>
      </c>
      <c r="S138" s="25">
        <v>3541458120</v>
      </c>
      <c r="T138" s="25" t="s">
        <v>2170</v>
      </c>
      <c r="U138" s="181">
        <v>2018</v>
      </c>
      <c r="W138" s="25"/>
      <c r="X138" s="25"/>
      <c r="Y138" s="25"/>
    </row>
    <row r="139" spans="1:28" ht="30" customHeight="1" x14ac:dyDescent="0.2">
      <c r="A139">
        <v>136</v>
      </c>
      <c r="B139" s="37">
        <v>140510102</v>
      </c>
      <c r="C139" s="25" t="s">
        <v>178</v>
      </c>
      <c r="D139" s="25" t="s">
        <v>109</v>
      </c>
      <c r="E139" s="25" t="s">
        <v>239</v>
      </c>
      <c r="F139" s="25" t="s">
        <v>2743</v>
      </c>
      <c r="G139" s="25">
        <v>5220</v>
      </c>
      <c r="H139" s="25" t="s">
        <v>134</v>
      </c>
      <c r="I139" s="25" t="s">
        <v>83</v>
      </c>
      <c r="J139" s="25" t="s">
        <v>2173</v>
      </c>
      <c r="K139" s="25" t="s">
        <v>2174</v>
      </c>
      <c r="L139" s="25" t="s">
        <v>2175</v>
      </c>
      <c r="M139" s="25" t="s">
        <v>2176</v>
      </c>
      <c r="N139" s="25" t="s">
        <v>1118</v>
      </c>
      <c r="O139" s="25" t="s">
        <v>2158</v>
      </c>
      <c r="P139" s="25" t="s">
        <v>2089</v>
      </c>
      <c r="Q139" s="25" t="s">
        <v>2177</v>
      </c>
      <c r="R139" s="25" t="s">
        <v>1122</v>
      </c>
      <c r="S139" s="25" t="s">
        <v>2174</v>
      </c>
      <c r="T139" s="25" t="s">
        <v>2175</v>
      </c>
      <c r="U139" s="181">
        <v>2018</v>
      </c>
      <c r="W139" s="25"/>
      <c r="X139" s="25"/>
      <c r="Y139" s="25"/>
    </row>
    <row r="140" spans="1:28" ht="30" customHeight="1" x14ac:dyDescent="0.2">
      <c r="A140">
        <v>137</v>
      </c>
      <c r="B140" s="37">
        <v>140510103</v>
      </c>
      <c r="C140" s="25" t="s">
        <v>180</v>
      </c>
      <c r="D140" s="25" t="s">
        <v>109</v>
      </c>
      <c r="E140" s="25" t="s">
        <v>2619</v>
      </c>
      <c r="F140" s="25" t="s">
        <v>2620</v>
      </c>
      <c r="G140" s="25">
        <v>5980</v>
      </c>
      <c r="H140" s="25" t="s">
        <v>134</v>
      </c>
      <c r="I140" s="25" t="s">
        <v>83</v>
      </c>
      <c r="J140" s="25" t="s">
        <v>2621</v>
      </c>
      <c r="K140" s="25">
        <v>3532408119</v>
      </c>
      <c r="L140" s="25" t="s">
        <v>2622</v>
      </c>
      <c r="M140" s="25" t="s">
        <v>2171</v>
      </c>
      <c r="N140" s="25" t="s">
        <v>1118</v>
      </c>
      <c r="O140" s="25">
        <v>3516430818</v>
      </c>
      <c r="P140" s="25" t="s">
        <v>2089</v>
      </c>
      <c r="Q140" s="25" t="s">
        <v>2623</v>
      </c>
      <c r="R140" s="25" t="s">
        <v>1122</v>
      </c>
      <c r="S140" s="25">
        <v>3532408119</v>
      </c>
      <c r="T140" s="25" t="s">
        <v>2622</v>
      </c>
      <c r="U140" s="179">
        <v>2018</v>
      </c>
      <c r="W140" s="25"/>
      <c r="Y140" s="25"/>
    </row>
    <row r="141" spans="1:28" ht="30" customHeight="1" x14ac:dyDescent="0.2">
      <c r="A141">
        <v>138</v>
      </c>
      <c r="B141" s="37">
        <v>140510104</v>
      </c>
      <c r="C141" s="25" t="s">
        <v>179</v>
      </c>
      <c r="D141" s="37" t="s">
        <v>109</v>
      </c>
      <c r="E141" s="25" t="s">
        <v>177</v>
      </c>
      <c r="F141" s="37" t="s">
        <v>2496</v>
      </c>
      <c r="G141" s="25">
        <v>5280</v>
      </c>
      <c r="H141" s="25" t="s">
        <v>134</v>
      </c>
      <c r="I141" s="25" t="s">
        <v>83</v>
      </c>
      <c r="J141" t="s">
        <v>2497</v>
      </c>
      <c r="K141">
        <v>3549421531</v>
      </c>
      <c r="L141" t="s">
        <v>2498</v>
      </c>
      <c r="M141" t="s">
        <v>2499</v>
      </c>
      <c r="N141" t="s">
        <v>803</v>
      </c>
      <c r="O141">
        <v>3549418758</v>
      </c>
      <c r="P141" t="s">
        <v>2500</v>
      </c>
      <c r="Q141" t="s">
        <v>2501</v>
      </c>
      <c r="R141" t="s">
        <v>1119</v>
      </c>
      <c r="S141">
        <v>3516430818</v>
      </c>
      <c r="T141" t="s">
        <v>2502</v>
      </c>
      <c r="U141" s="181">
        <v>2018</v>
      </c>
      <c r="W141" s="25"/>
      <c r="Y141" s="25"/>
    </row>
    <row r="142" spans="1:28" ht="30" customHeight="1" x14ac:dyDescent="0.2">
      <c r="A142">
        <v>139</v>
      </c>
      <c r="B142" s="37">
        <v>140510105</v>
      </c>
      <c r="C142" s="25" t="s">
        <v>179</v>
      </c>
      <c r="D142" s="25" t="s">
        <v>109</v>
      </c>
      <c r="E142" s="25" t="s">
        <v>2513</v>
      </c>
      <c r="F142" s="25" t="s">
        <v>156</v>
      </c>
      <c r="G142" s="25">
        <v>2580</v>
      </c>
      <c r="H142" s="25" t="s">
        <v>134</v>
      </c>
      <c r="I142" s="25" t="s">
        <v>83</v>
      </c>
      <c r="J142" s="25" t="s">
        <v>2112</v>
      </c>
      <c r="K142" s="25" t="s">
        <v>2113</v>
      </c>
      <c r="L142" s="25" t="s">
        <v>2114</v>
      </c>
      <c r="M142" s="25" t="s">
        <v>2115</v>
      </c>
      <c r="N142" s="25" t="s">
        <v>1118</v>
      </c>
      <c r="O142" s="25">
        <v>3514297273</v>
      </c>
      <c r="P142" s="25" t="s">
        <v>2116</v>
      </c>
      <c r="Q142" s="25" t="s">
        <v>2117</v>
      </c>
      <c r="R142" s="25" t="s">
        <v>1122</v>
      </c>
      <c r="S142" s="25" t="s">
        <v>2118</v>
      </c>
      <c r="T142" s="25" t="s">
        <v>2119</v>
      </c>
      <c r="U142" s="181">
        <v>2018</v>
      </c>
      <c r="W142" s="25"/>
      <c r="X142" s="25"/>
      <c r="Y142" s="25"/>
    </row>
    <row r="143" spans="1:28" ht="30" customHeight="1" x14ac:dyDescent="0.2">
      <c r="A143">
        <v>140</v>
      </c>
      <c r="B143" s="37">
        <v>140510106</v>
      </c>
      <c r="C143" s="25" t="s">
        <v>165</v>
      </c>
      <c r="D143" s="25" t="s">
        <v>109</v>
      </c>
      <c r="E143" s="25" t="s">
        <v>304</v>
      </c>
      <c r="F143" s="25" t="s">
        <v>304</v>
      </c>
      <c r="G143" s="25">
        <v>5800</v>
      </c>
      <c r="H143" s="25" t="s">
        <v>134</v>
      </c>
      <c r="I143" s="25" t="s">
        <v>976</v>
      </c>
      <c r="J143" s="25" t="s">
        <v>2548</v>
      </c>
      <c r="K143" s="25" t="s">
        <v>2549</v>
      </c>
      <c r="L143" s="25" t="s">
        <v>2550</v>
      </c>
      <c r="M143" s="25" t="s">
        <v>2176</v>
      </c>
      <c r="N143" s="25" t="s">
        <v>1118</v>
      </c>
      <c r="O143" s="25" t="s">
        <v>2551</v>
      </c>
      <c r="P143" s="25" t="s">
        <v>2089</v>
      </c>
      <c r="Q143" s="25" t="s">
        <v>2552</v>
      </c>
      <c r="R143" s="25" t="s">
        <v>1122</v>
      </c>
      <c r="S143" s="25">
        <v>3584209354</v>
      </c>
      <c r="T143" s="25" t="s">
        <v>2553</v>
      </c>
      <c r="U143" s="181">
        <v>2018</v>
      </c>
      <c r="W143" s="25"/>
      <c r="X143" s="25"/>
      <c r="Y143" s="25"/>
    </row>
    <row r="144" spans="1:28" ht="30" customHeight="1" x14ac:dyDescent="0.2">
      <c r="A144">
        <v>141</v>
      </c>
      <c r="B144" s="37">
        <v>140510107</v>
      </c>
      <c r="C144" s="25" t="s">
        <v>181</v>
      </c>
      <c r="D144" s="25" t="s">
        <v>109</v>
      </c>
      <c r="E144" s="25" t="s">
        <v>110</v>
      </c>
      <c r="F144" s="25" t="s">
        <v>531</v>
      </c>
      <c r="G144" s="25">
        <v>5900</v>
      </c>
      <c r="H144" s="25" t="s">
        <v>134</v>
      </c>
      <c r="I144" s="25" t="s">
        <v>83</v>
      </c>
      <c r="J144" s="25" t="s">
        <v>2120</v>
      </c>
      <c r="K144" s="25">
        <v>5900</v>
      </c>
      <c r="L144" s="25" t="s">
        <v>2121</v>
      </c>
      <c r="M144" s="25" t="s">
        <v>2122</v>
      </c>
      <c r="N144" s="25" t="s">
        <v>1118</v>
      </c>
      <c r="O144" s="25" t="s">
        <v>2123</v>
      </c>
      <c r="P144" s="25" t="s">
        <v>2089</v>
      </c>
      <c r="Q144" s="25" t="s">
        <v>2124</v>
      </c>
      <c r="R144" s="25" t="s">
        <v>1122</v>
      </c>
      <c r="S144" s="25" t="s">
        <v>2125</v>
      </c>
      <c r="T144" s="25" t="s">
        <v>2121</v>
      </c>
      <c r="U144" s="181">
        <v>2018</v>
      </c>
      <c r="W144" s="25"/>
      <c r="Y144" s="25"/>
    </row>
    <row r="145" spans="1:31" ht="30" customHeight="1" x14ac:dyDescent="0.2">
      <c r="A145">
        <v>142</v>
      </c>
      <c r="B145" s="37">
        <v>140510108</v>
      </c>
      <c r="C145" s="25" t="s">
        <v>564</v>
      </c>
      <c r="D145" s="25" t="s">
        <v>109</v>
      </c>
      <c r="E145" s="25" t="s">
        <v>2514</v>
      </c>
      <c r="F145" s="25" t="s">
        <v>2153</v>
      </c>
      <c r="G145" s="25">
        <v>5200</v>
      </c>
      <c r="H145" s="25" t="s">
        <v>134</v>
      </c>
      <c r="I145" s="25" t="s">
        <v>83</v>
      </c>
      <c r="J145" s="25" t="s">
        <v>2154</v>
      </c>
      <c r="K145" s="25" t="s">
        <v>2155</v>
      </c>
      <c r="L145" s="25" t="s">
        <v>2156</v>
      </c>
      <c r="M145" s="25" t="s">
        <v>2157</v>
      </c>
      <c r="N145" s="25" t="s">
        <v>1118</v>
      </c>
      <c r="O145" s="25" t="s">
        <v>2158</v>
      </c>
      <c r="P145" s="25" t="s">
        <v>2089</v>
      </c>
      <c r="Q145" s="25" t="s">
        <v>2159</v>
      </c>
      <c r="R145" s="25" t="s">
        <v>1122</v>
      </c>
      <c r="S145" s="25" t="s">
        <v>2160</v>
      </c>
      <c r="T145" s="25" t="s">
        <v>2161</v>
      </c>
      <c r="U145" s="181">
        <v>2018</v>
      </c>
      <c r="W145" s="25"/>
      <c r="Y145" s="25"/>
    </row>
    <row r="146" spans="1:31" ht="30" customHeight="1" x14ac:dyDescent="0.2">
      <c r="A146">
        <v>143</v>
      </c>
      <c r="B146" s="37">
        <v>140510300</v>
      </c>
      <c r="C146" s="25" t="s">
        <v>649</v>
      </c>
      <c r="D146" s="25" t="s">
        <v>109</v>
      </c>
      <c r="E146" s="25" t="s">
        <v>306</v>
      </c>
      <c r="F146" s="25" t="s">
        <v>166</v>
      </c>
      <c r="G146" s="25">
        <v>5194</v>
      </c>
      <c r="H146" s="25" t="s">
        <v>82</v>
      </c>
      <c r="I146" s="25" t="s">
        <v>83</v>
      </c>
      <c r="J146" s="25" t="s">
        <v>1759</v>
      </c>
      <c r="K146" s="25" t="s">
        <v>1760</v>
      </c>
      <c r="L146" s="25" t="s">
        <v>1761</v>
      </c>
      <c r="M146" s="25" t="s">
        <v>1762</v>
      </c>
      <c r="N146" s="25" t="s">
        <v>1118</v>
      </c>
      <c r="O146" s="25">
        <v>3546523397</v>
      </c>
      <c r="P146" s="25" t="s">
        <v>1761</v>
      </c>
      <c r="Q146" s="25" t="s">
        <v>1763</v>
      </c>
      <c r="R146" s="25" t="s">
        <v>590</v>
      </c>
      <c r="S146" s="25">
        <v>3513798854</v>
      </c>
      <c r="T146" s="25" t="s">
        <v>1764</v>
      </c>
      <c r="U146" s="181">
        <v>2016</v>
      </c>
      <c r="W146" s="25"/>
      <c r="X146" s="25"/>
      <c r="Y146" s="25"/>
    </row>
    <row r="147" spans="1:31" ht="30" customHeight="1" x14ac:dyDescent="0.2">
      <c r="A147">
        <v>144</v>
      </c>
      <c r="B147" s="37">
        <v>140532900</v>
      </c>
      <c r="C147" s="25" t="s">
        <v>479</v>
      </c>
      <c r="D147" s="25" t="s">
        <v>109</v>
      </c>
      <c r="E147" s="25" t="s">
        <v>302</v>
      </c>
      <c r="F147" s="25" t="s">
        <v>533</v>
      </c>
      <c r="G147" s="25">
        <v>2400</v>
      </c>
      <c r="H147" s="25" t="s">
        <v>134</v>
      </c>
      <c r="I147" s="25" t="s">
        <v>976</v>
      </c>
      <c r="J147" s="25" t="s">
        <v>2572</v>
      </c>
      <c r="K147" s="25" t="s">
        <v>2573</v>
      </c>
      <c r="L147" s="25" t="s">
        <v>2574</v>
      </c>
      <c r="M147" s="25" t="s">
        <v>2575</v>
      </c>
      <c r="N147" s="25" t="s">
        <v>1118</v>
      </c>
      <c r="O147" s="25" t="s">
        <v>2576</v>
      </c>
      <c r="P147" s="25" t="s">
        <v>2577</v>
      </c>
      <c r="Q147" s="25" t="s">
        <v>2578</v>
      </c>
      <c r="R147" s="25" t="s">
        <v>1181</v>
      </c>
      <c r="S147" s="25" t="s">
        <v>2579</v>
      </c>
      <c r="T147" s="25" t="s">
        <v>2580</v>
      </c>
      <c r="U147" s="181">
        <v>2021</v>
      </c>
      <c r="W147" s="25"/>
      <c r="Y147" s="25"/>
      <c r="Z147" s="25"/>
      <c r="AB147" s="25"/>
      <c r="AC147" s="25"/>
      <c r="AD147" s="25"/>
      <c r="AE147" s="25"/>
    </row>
    <row r="148" spans="1:31" ht="30" customHeight="1" x14ac:dyDescent="0.2">
      <c r="A148">
        <v>145</v>
      </c>
      <c r="B148" s="37">
        <v>140544101</v>
      </c>
      <c r="C148" s="25" t="s">
        <v>309</v>
      </c>
      <c r="D148" s="25" t="s">
        <v>109</v>
      </c>
      <c r="E148" s="25" t="s">
        <v>239</v>
      </c>
      <c r="F148" s="25" t="s">
        <v>435</v>
      </c>
      <c r="G148" s="25">
        <v>5145</v>
      </c>
      <c r="H148" s="25" t="s">
        <v>82</v>
      </c>
      <c r="I148" s="25" t="s">
        <v>83</v>
      </c>
      <c r="J148" s="25" t="s">
        <v>2712</v>
      </c>
      <c r="L148" s="25" t="s">
        <v>2713</v>
      </c>
      <c r="M148" s="25" t="s">
        <v>2714</v>
      </c>
      <c r="N148" s="25" t="s">
        <v>1118</v>
      </c>
      <c r="O148" s="25" t="s">
        <v>2715</v>
      </c>
      <c r="P148" s="25" t="s">
        <v>1799</v>
      </c>
      <c r="Q148" s="25" t="s">
        <v>2716</v>
      </c>
      <c r="R148" s="25" t="s">
        <v>1122</v>
      </c>
      <c r="S148" s="25">
        <v>3516097800</v>
      </c>
      <c r="T148" s="25" t="s">
        <v>2713</v>
      </c>
      <c r="U148" s="181">
        <v>2019</v>
      </c>
      <c r="W148" s="25"/>
      <c r="Y148" s="25"/>
    </row>
    <row r="149" spans="1:31" ht="30" customHeight="1" thickBot="1" x14ac:dyDescent="0.25">
      <c r="A149">
        <v>146</v>
      </c>
      <c r="B149" s="37">
        <v>140544105</v>
      </c>
      <c r="C149" s="25" t="s">
        <v>310</v>
      </c>
      <c r="D149" s="25" t="s">
        <v>109</v>
      </c>
      <c r="E149" s="25" t="s">
        <v>152</v>
      </c>
      <c r="F149" s="25" t="s">
        <v>1794</v>
      </c>
      <c r="G149" s="25">
        <v>5000</v>
      </c>
      <c r="H149" s="25" t="s">
        <v>82</v>
      </c>
      <c r="I149" s="25" t="s">
        <v>83</v>
      </c>
      <c r="J149" s="25" t="s">
        <v>1795</v>
      </c>
      <c r="L149" s="25" t="s">
        <v>1796</v>
      </c>
      <c r="M149" s="25" t="s">
        <v>1797</v>
      </c>
      <c r="N149" s="25" t="s">
        <v>1118</v>
      </c>
      <c r="O149" s="25" t="s">
        <v>1798</v>
      </c>
      <c r="P149" s="25" t="s">
        <v>1799</v>
      </c>
      <c r="Q149" s="25" t="s">
        <v>1800</v>
      </c>
      <c r="R149" s="25" t="s">
        <v>1122</v>
      </c>
      <c r="S149" s="25" t="s">
        <v>1801</v>
      </c>
      <c r="T149" s="25" t="s">
        <v>1802</v>
      </c>
      <c r="U149" s="181">
        <v>2018</v>
      </c>
      <c r="W149" s="25"/>
      <c r="X149" s="25"/>
      <c r="Y149" s="25"/>
    </row>
    <row r="150" spans="1:31" ht="30" customHeight="1" thickBot="1" x14ac:dyDescent="0.25">
      <c r="A150">
        <v>147</v>
      </c>
      <c r="B150" s="37">
        <v>140544107</v>
      </c>
      <c r="C150" s="25" t="s">
        <v>312</v>
      </c>
      <c r="D150" s="25" t="s">
        <v>109</v>
      </c>
      <c r="E150" s="25" t="s">
        <v>152</v>
      </c>
      <c r="F150" s="25" t="s">
        <v>559</v>
      </c>
      <c r="G150" s="25">
        <v>5000</v>
      </c>
      <c r="H150" s="25" t="s">
        <v>82</v>
      </c>
      <c r="I150" s="25" t="s">
        <v>83</v>
      </c>
      <c r="J150" s="182" t="s">
        <v>2717</v>
      </c>
      <c r="K150" s="183"/>
      <c r="L150" s="183" t="s">
        <v>2718</v>
      </c>
      <c r="M150" s="183" t="s">
        <v>2719</v>
      </c>
      <c r="N150" s="183" t="s">
        <v>1118</v>
      </c>
      <c r="O150" s="183">
        <v>3515400730</v>
      </c>
      <c r="P150" s="183" t="s">
        <v>1799</v>
      </c>
      <c r="Q150" s="183" t="s">
        <v>2720</v>
      </c>
      <c r="R150" s="183" t="s">
        <v>1122</v>
      </c>
      <c r="S150" s="183">
        <v>3515058188</v>
      </c>
      <c r="T150" s="183" t="s">
        <v>2721</v>
      </c>
      <c r="U150" s="181">
        <v>2018</v>
      </c>
      <c r="W150" s="25"/>
      <c r="X150" s="25"/>
      <c r="Y150" s="25"/>
    </row>
    <row r="151" spans="1:31" ht="30" customHeight="1" x14ac:dyDescent="0.2">
      <c r="A151">
        <v>148</v>
      </c>
      <c r="B151" s="37">
        <v>140575200</v>
      </c>
      <c r="C151" s="37" t="s">
        <v>2762</v>
      </c>
      <c r="D151" s="37" t="s">
        <v>109</v>
      </c>
      <c r="E151" s="37" t="s">
        <v>2763</v>
      </c>
      <c r="F151" s="37" t="s">
        <v>2764</v>
      </c>
      <c r="G151" s="25">
        <v>5209</v>
      </c>
      <c r="H151" s="25" t="s">
        <v>82</v>
      </c>
      <c r="I151" s="25" t="s">
        <v>83</v>
      </c>
      <c r="J151" s="37" t="s">
        <v>2724</v>
      </c>
      <c r="K151" s="37">
        <v>3516571416</v>
      </c>
      <c r="L151" s="37" t="s">
        <v>1802</v>
      </c>
      <c r="M151" s="37" t="s">
        <v>2765</v>
      </c>
      <c r="N151" s="37" t="s">
        <v>1118</v>
      </c>
      <c r="O151" s="37">
        <v>3512601899</v>
      </c>
      <c r="P151" s="37" t="s">
        <v>2766</v>
      </c>
      <c r="Q151" s="37" t="s">
        <v>2767</v>
      </c>
      <c r="R151" s="37" t="s">
        <v>1122</v>
      </c>
      <c r="S151" s="37">
        <v>3516571416</v>
      </c>
      <c r="T151" s="37" t="s">
        <v>1802</v>
      </c>
      <c r="U151" s="181">
        <v>2024</v>
      </c>
      <c r="W151" s="25"/>
      <c r="X151" s="25"/>
      <c r="Y151" s="25"/>
      <c r="Z151" s="25"/>
      <c r="AB151" s="25"/>
    </row>
    <row r="152" spans="1:31" ht="30" customHeight="1" x14ac:dyDescent="0.2">
      <c r="A152">
        <v>149</v>
      </c>
      <c r="B152" s="37">
        <v>180041100</v>
      </c>
      <c r="C152" s="25" t="s">
        <v>651</v>
      </c>
      <c r="D152" s="25" t="s">
        <v>79</v>
      </c>
      <c r="E152" s="25" t="s">
        <v>152</v>
      </c>
      <c r="F152" s="25" t="s">
        <v>79</v>
      </c>
      <c r="G152" s="25">
        <v>3400</v>
      </c>
      <c r="H152" s="25" t="s">
        <v>82</v>
      </c>
      <c r="I152" s="25" t="s">
        <v>82</v>
      </c>
      <c r="J152" s="25" t="s">
        <v>2266</v>
      </c>
      <c r="K152" s="25">
        <v>3794801972</v>
      </c>
      <c r="L152" s="25" t="s">
        <v>2267</v>
      </c>
      <c r="M152" s="25" t="s">
        <v>2268</v>
      </c>
      <c r="N152" s="25" t="s">
        <v>1121</v>
      </c>
      <c r="O152" s="25">
        <v>3794801972</v>
      </c>
      <c r="P152" s="25" t="s">
        <v>2269</v>
      </c>
      <c r="Q152" s="25" t="s">
        <v>2270</v>
      </c>
      <c r="R152" s="25" t="s">
        <v>1122</v>
      </c>
      <c r="S152" s="25">
        <v>3794677043</v>
      </c>
      <c r="T152" s="25" t="s">
        <v>2271</v>
      </c>
      <c r="U152" s="181">
        <v>2017</v>
      </c>
      <c r="W152" s="25"/>
      <c r="X152" s="25"/>
      <c r="Y152" s="25"/>
      <c r="Z152" s="25"/>
      <c r="AB152" s="25"/>
    </row>
    <row r="153" spans="1:31" ht="30" customHeight="1" x14ac:dyDescent="0.2">
      <c r="A153">
        <v>150</v>
      </c>
      <c r="B153" s="37">
        <v>180067500</v>
      </c>
      <c r="C153" s="25" t="s">
        <v>2789</v>
      </c>
      <c r="D153" s="25" t="s">
        <v>79</v>
      </c>
      <c r="E153" s="25" t="s">
        <v>2791</v>
      </c>
      <c r="F153" s="25" t="s">
        <v>2791</v>
      </c>
      <c r="G153" s="25">
        <v>3460</v>
      </c>
      <c r="H153" s="25" t="s">
        <v>82</v>
      </c>
      <c r="I153" s="25" t="s">
        <v>83</v>
      </c>
      <c r="J153" s="178" t="s">
        <v>2792</v>
      </c>
      <c r="K153" s="178" t="s">
        <v>2793</v>
      </c>
      <c r="L153" s="178" t="s">
        <v>2794</v>
      </c>
      <c r="M153" s="178" t="s">
        <v>2795</v>
      </c>
      <c r="N153" s="178" t="s">
        <v>1121</v>
      </c>
      <c r="O153" s="164">
        <v>3774419067</v>
      </c>
      <c r="P153" s="178" t="s">
        <v>2796</v>
      </c>
      <c r="Q153" s="178" t="s">
        <v>2797</v>
      </c>
      <c r="R153" s="178" t="s">
        <v>1122</v>
      </c>
      <c r="S153" s="164">
        <v>3774500444</v>
      </c>
      <c r="T153" s="178" t="s">
        <v>2798</v>
      </c>
      <c r="U153" s="179">
        <v>2024</v>
      </c>
      <c r="W153" s="25"/>
      <c r="X153" s="25"/>
      <c r="Y153" s="25"/>
      <c r="Z153" s="25"/>
      <c r="AB153" s="25"/>
    </row>
    <row r="154" spans="1:31" ht="30" customHeight="1" x14ac:dyDescent="0.2">
      <c r="A154">
        <v>151</v>
      </c>
      <c r="B154" s="37">
        <v>180121600</v>
      </c>
      <c r="C154" s="25" t="s">
        <v>652</v>
      </c>
      <c r="D154" s="25" t="s">
        <v>79</v>
      </c>
      <c r="E154" s="25" t="s">
        <v>313</v>
      </c>
      <c r="F154" s="25" t="s">
        <v>313</v>
      </c>
      <c r="G154" s="25">
        <v>3340</v>
      </c>
      <c r="H154" s="25" t="s">
        <v>134</v>
      </c>
      <c r="I154" s="25" t="s">
        <v>83</v>
      </c>
      <c r="J154" s="25" t="s">
        <v>2703</v>
      </c>
      <c r="K154" s="25" t="s">
        <v>2704</v>
      </c>
      <c r="L154" s="25" t="s">
        <v>2705</v>
      </c>
      <c r="M154" s="25" t="s">
        <v>2706</v>
      </c>
      <c r="N154" s="25" t="s">
        <v>1121</v>
      </c>
      <c r="O154" s="25" t="s">
        <v>2707</v>
      </c>
      <c r="P154" s="25" t="s">
        <v>2708</v>
      </c>
      <c r="Q154" s="25" t="s">
        <v>2709</v>
      </c>
      <c r="R154" s="25" t="s">
        <v>1122</v>
      </c>
      <c r="S154" s="25" t="s">
        <v>2710</v>
      </c>
      <c r="T154" s="25" t="s">
        <v>2711</v>
      </c>
      <c r="U154" s="181">
        <v>2018</v>
      </c>
      <c r="W154" s="25"/>
      <c r="Y154" s="25"/>
      <c r="Z154" s="25"/>
      <c r="AB154" s="25"/>
      <c r="AC154" s="25"/>
      <c r="AD154" s="25"/>
      <c r="AE154" s="25"/>
    </row>
    <row r="155" spans="1:31" ht="30" customHeight="1" x14ac:dyDescent="0.2">
      <c r="A155">
        <v>152</v>
      </c>
      <c r="B155" s="37">
        <v>180141300</v>
      </c>
      <c r="C155" s="25" t="s">
        <v>653</v>
      </c>
      <c r="D155" s="25" t="s">
        <v>79</v>
      </c>
      <c r="E155" s="25" t="s">
        <v>314</v>
      </c>
      <c r="F155" s="25" t="s">
        <v>314</v>
      </c>
      <c r="G155" s="37">
        <v>3196</v>
      </c>
      <c r="H155" s="37" t="s">
        <v>82</v>
      </c>
      <c r="I155" s="25" t="s">
        <v>976</v>
      </c>
      <c r="J155" s="25" t="s">
        <v>2687</v>
      </c>
      <c r="L155" s="25" t="s">
        <v>2688</v>
      </c>
      <c r="M155" s="25" t="s">
        <v>2689</v>
      </c>
      <c r="N155" s="25" t="s">
        <v>1121</v>
      </c>
      <c r="O155" s="25">
        <v>3777527228</v>
      </c>
      <c r="P155" s="25" t="s">
        <v>2690</v>
      </c>
      <c r="Q155" s="25" t="s">
        <v>2691</v>
      </c>
      <c r="R155" s="25" t="s">
        <v>1122</v>
      </c>
      <c r="S155" s="25">
        <v>3777413519</v>
      </c>
      <c r="T155" s="25" t="s">
        <v>2692</v>
      </c>
      <c r="U155" s="179">
        <v>2017</v>
      </c>
      <c r="W155" s="25"/>
      <c r="X155" s="25"/>
      <c r="Y155" s="25"/>
    </row>
    <row r="156" spans="1:31" ht="30" customHeight="1" x14ac:dyDescent="0.2">
      <c r="A156">
        <v>153</v>
      </c>
      <c r="B156" s="37">
        <v>180141400</v>
      </c>
      <c r="C156" s="25" t="s">
        <v>654</v>
      </c>
      <c r="D156" s="25" t="s">
        <v>79</v>
      </c>
      <c r="E156" s="25" t="s">
        <v>315</v>
      </c>
      <c r="F156" s="25" t="s">
        <v>315</v>
      </c>
      <c r="G156" s="37">
        <v>3470</v>
      </c>
      <c r="H156" s="37" t="s">
        <v>82</v>
      </c>
      <c r="I156" s="25" t="s">
        <v>976</v>
      </c>
      <c r="J156" s="25" t="s">
        <v>2590</v>
      </c>
      <c r="K156" s="25">
        <v>3773473256</v>
      </c>
      <c r="L156" s="25" t="s">
        <v>2591</v>
      </c>
      <c r="M156" s="25" t="s">
        <v>2592</v>
      </c>
      <c r="N156" s="25" t="s">
        <v>1121</v>
      </c>
      <c r="O156" s="25">
        <v>3773473256</v>
      </c>
      <c r="P156" s="25" t="s">
        <v>2593</v>
      </c>
      <c r="Q156" s="25" t="s">
        <v>2594</v>
      </c>
      <c r="R156" s="25" t="s">
        <v>1122</v>
      </c>
      <c r="S156" s="25">
        <v>3773404502</v>
      </c>
      <c r="T156" s="25" t="s">
        <v>2595</v>
      </c>
      <c r="U156" s="181">
        <v>2016</v>
      </c>
      <c r="W156" s="25"/>
      <c r="X156" s="25"/>
      <c r="Y156" s="25"/>
    </row>
    <row r="157" spans="1:31" ht="30" customHeight="1" x14ac:dyDescent="0.2">
      <c r="A157">
        <v>154</v>
      </c>
      <c r="B157" s="37">
        <v>180141500</v>
      </c>
      <c r="C157" s="25" t="s">
        <v>655</v>
      </c>
      <c r="D157" s="25" t="s">
        <v>79</v>
      </c>
      <c r="E157" s="25" t="s">
        <v>316</v>
      </c>
      <c r="F157" s="25" t="s">
        <v>316</v>
      </c>
      <c r="G157" s="25">
        <v>3230</v>
      </c>
      <c r="H157" s="25" t="s">
        <v>82</v>
      </c>
      <c r="I157" s="25" t="s">
        <v>976</v>
      </c>
      <c r="J157" s="25" t="s">
        <v>1380</v>
      </c>
      <c r="K157" s="25">
        <v>3772634900</v>
      </c>
      <c r="L157" s="25" t="s">
        <v>1381</v>
      </c>
      <c r="M157" s="25" t="s">
        <v>1382</v>
      </c>
      <c r="N157" s="25" t="s">
        <v>1121</v>
      </c>
      <c r="O157" s="25">
        <v>3772634900</v>
      </c>
      <c r="P157" s="25" t="s">
        <v>1383</v>
      </c>
      <c r="Q157" s="25" t="s">
        <v>1384</v>
      </c>
      <c r="R157" s="25" t="s">
        <v>1122</v>
      </c>
      <c r="S157" s="25">
        <v>3772638543</v>
      </c>
      <c r="T157" s="25" t="s">
        <v>1385</v>
      </c>
      <c r="U157" s="181">
        <v>2016</v>
      </c>
      <c r="W157" s="25"/>
      <c r="Y157" s="25"/>
    </row>
    <row r="158" spans="1:31" ht="30" customHeight="1" x14ac:dyDescent="0.2">
      <c r="A158">
        <v>155</v>
      </c>
      <c r="B158" s="37">
        <v>180143000</v>
      </c>
      <c r="C158" s="25" t="s">
        <v>656</v>
      </c>
      <c r="D158" s="25" t="s">
        <v>79</v>
      </c>
      <c r="E158" s="25" t="s">
        <v>79</v>
      </c>
      <c r="F158" s="25" t="s">
        <v>152</v>
      </c>
      <c r="G158" s="25">
        <v>3400</v>
      </c>
      <c r="H158" s="25" t="s">
        <v>134</v>
      </c>
      <c r="I158" s="25" t="s">
        <v>83</v>
      </c>
      <c r="J158" s="25" t="s">
        <v>1720</v>
      </c>
      <c r="K158" s="25" t="s">
        <v>1073</v>
      </c>
      <c r="L158" s="25" t="s">
        <v>1074</v>
      </c>
      <c r="M158" s="25" t="s">
        <v>1721</v>
      </c>
      <c r="N158" s="25" t="s">
        <v>1121</v>
      </c>
      <c r="O158" s="25">
        <v>3794340448</v>
      </c>
      <c r="P158" s="25" t="s">
        <v>1722</v>
      </c>
      <c r="Q158" s="25" t="s">
        <v>1075</v>
      </c>
      <c r="R158" s="25" t="s">
        <v>1122</v>
      </c>
      <c r="S158" s="25">
        <v>3794569700</v>
      </c>
      <c r="T158" s="25" t="s">
        <v>1076</v>
      </c>
      <c r="U158" s="181">
        <v>2016</v>
      </c>
      <c r="W158" s="25"/>
      <c r="Y158" s="25"/>
    </row>
    <row r="159" spans="1:31" ht="30" customHeight="1" x14ac:dyDescent="0.2">
      <c r="A159">
        <v>156</v>
      </c>
      <c r="B159" s="37">
        <v>180145100</v>
      </c>
      <c r="C159" s="25" t="s">
        <v>318</v>
      </c>
      <c r="D159" s="25" t="s">
        <v>79</v>
      </c>
      <c r="E159" s="25" t="s">
        <v>319</v>
      </c>
      <c r="F159" s="25" t="s">
        <v>319</v>
      </c>
      <c r="G159" s="25">
        <v>3418</v>
      </c>
      <c r="H159" s="25" t="s">
        <v>82</v>
      </c>
      <c r="I159" s="25" t="s">
        <v>976</v>
      </c>
      <c r="J159" s="25" t="s">
        <v>1376</v>
      </c>
      <c r="K159" s="25">
        <v>3794751341</v>
      </c>
      <c r="L159" s="25" t="s">
        <v>1080</v>
      </c>
      <c r="M159" s="25" t="s">
        <v>1377</v>
      </c>
      <c r="N159" s="25" t="s">
        <v>1121</v>
      </c>
      <c r="O159" s="25">
        <v>3794751341</v>
      </c>
      <c r="P159" s="25" t="s">
        <v>1378</v>
      </c>
      <c r="Q159" s="25" t="s">
        <v>1379</v>
      </c>
      <c r="R159" s="25" t="s">
        <v>1121</v>
      </c>
      <c r="S159" s="25">
        <v>3794751341</v>
      </c>
      <c r="T159" s="25" t="s">
        <v>1378</v>
      </c>
      <c r="U159" s="181">
        <v>2018</v>
      </c>
      <c r="W159" s="25"/>
      <c r="Y159" s="25"/>
    </row>
    <row r="160" spans="1:31" ht="30" customHeight="1" x14ac:dyDescent="0.2">
      <c r="A160">
        <v>157</v>
      </c>
      <c r="B160" s="37">
        <v>180146600</v>
      </c>
      <c r="C160" s="25" t="s">
        <v>657</v>
      </c>
      <c r="D160" s="25" t="s">
        <v>79</v>
      </c>
      <c r="E160" s="25" t="s">
        <v>320</v>
      </c>
      <c r="F160" s="25" t="s">
        <v>320</v>
      </c>
      <c r="G160" s="25">
        <v>3448</v>
      </c>
      <c r="H160" s="25" t="s">
        <v>82</v>
      </c>
      <c r="I160" s="25" t="s">
        <v>976</v>
      </c>
      <c r="J160" s="25" t="s">
        <v>870</v>
      </c>
      <c r="K160" s="25">
        <v>3777543416</v>
      </c>
      <c r="L160" s="25" t="s">
        <v>1077</v>
      </c>
      <c r="M160" s="25" t="s">
        <v>1415</v>
      </c>
      <c r="N160" s="25" t="s">
        <v>1121</v>
      </c>
      <c r="O160" s="25">
        <v>3777554857</v>
      </c>
      <c r="P160" s="25" t="s">
        <v>1416</v>
      </c>
      <c r="Q160" s="25" t="s">
        <v>1417</v>
      </c>
      <c r="R160" s="25" t="s">
        <v>1122</v>
      </c>
      <c r="S160" s="25">
        <v>3777543416</v>
      </c>
      <c r="T160" s="25" t="s">
        <v>1078</v>
      </c>
      <c r="U160" s="181">
        <v>2016</v>
      </c>
      <c r="W160" s="25"/>
      <c r="X160" s="25"/>
      <c r="Y160" s="25"/>
    </row>
    <row r="161" spans="1:31" ht="30" customHeight="1" x14ac:dyDescent="0.2">
      <c r="A161">
        <v>158</v>
      </c>
      <c r="B161" s="37">
        <v>180146700</v>
      </c>
      <c r="C161" s="25" t="s">
        <v>658</v>
      </c>
      <c r="D161" s="25" t="s">
        <v>79</v>
      </c>
      <c r="E161" s="25" t="s">
        <v>321</v>
      </c>
      <c r="F161" s="25" t="s">
        <v>321</v>
      </c>
      <c r="G161" s="25">
        <v>3420</v>
      </c>
      <c r="H161" s="25" t="s">
        <v>82</v>
      </c>
      <c r="I161" s="25" t="s">
        <v>82</v>
      </c>
      <c r="J161" s="25" t="s">
        <v>1775</v>
      </c>
      <c r="K161" s="25">
        <v>3782610173</v>
      </c>
      <c r="L161" s="25" t="s">
        <v>1776</v>
      </c>
      <c r="M161" s="25" t="s">
        <v>1777</v>
      </c>
      <c r="N161" s="25" t="s">
        <v>1121</v>
      </c>
      <c r="O161" s="25">
        <v>3782610173</v>
      </c>
      <c r="P161" s="25" t="s">
        <v>1778</v>
      </c>
      <c r="Q161" s="25" t="s">
        <v>1779</v>
      </c>
      <c r="R161" s="25" t="s">
        <v>1122</v>
      </c>
      <c r="S161" s="25">
        <v>3782501945</v>
      </c>
      <c r="T161" s="25" t="s">
        <v>1780</v>
      </c>
      <c r="U161" s="181">
        <v>2016</v>
      </c>
      <c r="W161" s="25"/>
      <c r="X161" s="25"/>
      <c r="Y161" s="25"/>
    </row>
    <row r="162" spans="1:31" ht="30" customHeight="1" x14ac:dyDescent="0.2">
      <c r="A162">
        <v>159</v>
      </c>
      <c r="B162" s="37">
        <v>180176500</v>
      </c>
      <c r="C162" s="25" t="s">
        <v>322</v>
      </c>
      <c r="D162" s="25" t="s">
        <v>79</v>
      </c>
      <c r="E162" s="25" t="s">
        <v>528</v>
      </c>
      <c r="F162" s="25" t="s">
        <v>2680</v>
      </c>
      <c r="G162" s="37">
        <v>3407</v>
      </c>
      <c r="H162" s="37" t="s">
        <v>82</v>
      </c>
      <c r="I162" s="25" t="s">
        <v>82</v>
      </c>
      <c r="J162" s="25" t="s">
        <v>2681</v>
      </c>
      <c r="K162" s="25">
        <v>3781484877</v>
      </c>
      <c r="L162" s="25" t="s">
        <v>2682</v>
      </c>
      <c r="M162" s="25" t="s">
        <v>2683</v>
      </c>
      <c r="N162" s="25" t="s">
        <v>1121</v>
      </c>
      <c r="O162" s="25">
        <v>3781484877</v>
      </c>
      <c r="P162" s="25" t="s">
        <v>2684</v>
      </c>
      <c r="Q162" s="25" t="s">
        <v>2685</v>
      </c>
      <c r="R162" s="25" t="s">
        <v>1122</v>
      </c>
      <c r="S162" s="25">
        <v>3795020447</v>
      </c>
      <c r="T162" s="25" t="s">
        <v>2686</v>
      </c>
      <c r="U162" s="179">
        <v>2019</v>
      </c>
      <c r="W162" s="25"/>
      <c r="X162" s="25"/>
      <c r="Y162" s="25"/>
    </row>
    <row r="163" spans="1:31" ht="30" customHeight="1" x14ac:dyDescent="0.2">
      <c r="A163">
        <v>160</v>
      </c>
      <c r="B163" s="37">
        <v>180176600</v>
      </c>
      <c r="C163" s="25" t="s">
        <v>659</v>
      </c>
      <c r="D163" s="25" t="s">
        <v>79</v>
      </c>
      <c r="E163" s="25" t="s">
        <v>323</v>
      </c>
      <c r="F163" s="25" t="s">
        <v>1088</v>
      </c>
      <c r="G163" s="25">
        <v>3440</v>
      </c>
      <c r="H163" s="25" t="s">
        <v>82</v>
      </c>
      <c r="I163" s="25" t="s">
        <v>82</v>
      </c>
      <c r="J163" s="25" t="s">
        <v>1418</v>
      </c>
      <c r="K163" s="25" t="s">
        <v>1089</v>
      </c>
      <c r="L163" s="25" t="s">
        <v>1090</v>
      </c>
      <c r="M163" s="25" t="s">
        <v>1419</v>
      </c>
      <c r="N163" s="25" t="s">
        <v>1121</v>
      </c>
      <c r="O163" s="25" t="s">
        <v>1420</v>
      </c>
      <c r="P163" s="25" t="s">
        <v>1091</v>
      </c>
      <c r="Q163" s="25" t="s">
        <v>1421</v>
      </c>
      <c r="R163" s="25" t="s">
        <v>1122</v>
      </c>
      <c r="S163" s="25" t="s">
        <v>1092</v>
      </c>
      <c r="T163" s="25" t="s">
        <v>1093</v>
      </c>
      <c r="U163" s="181">
        <v>2017</v>
      </c>
      <c r="W163" s="25"/>
      <c r="Y163" s="25"/>
    </row>
    <row r="164" spans="1:31" ht="30" customHeight="1" x14ac:dyDescent="0.2">
      <c r="A164">
        <v>161</v>
      </c>
      <c r="B164" s="37">
        <v>180182900</v>
      </c>
      <c r="C164" s="25" t="s">
        <v>2656</v>
      </c>
      <c r="D164" s="25" t="s">
        <v>79</v>
      </c>
      <c r="E164" s="25" t="s">
        <v>324</v>
      </c>
      <c r="F164" s="25" t="s">
        <v>519</v>
      </c>
      <c r="G164" s="37">
        <v>3414</v>
      </c>
      <c r="H164" s="37" t="s">
        <v>82</v>
      </c>
      <c r="I164" s="25" t="s">
        <v>976</v>
      </c>
      <c r="J164" s="25" t="s">
        <v>2657</v>
      </c>
      <c r="K164" s="25">
        <v>3794356946</v>
      </c>
      <c r="L164" s="25" t="s">
        <v>2658</v>
      </c>
      <c r="M164" s="25" t="s">
        <v>2659</v>
      </c>
      <c r="N164" s="25" t="s">
        <v>1121</v>
      </c>
      <c r="O164" s="25">
        <v>3794273716</v>
      </c>
      <c r="P164" s="25" t="s">
        <v>2660</v>
      </c>
      <c r="Q164" s="25" t="s">
        <v>2661</v>
      </c>
      <c r="R164" s="25" t="s">
        <v>1122</v>
      </c>
      <c r="S164" s="25">
        <v>3794356946</v>
      </c>
      <c r="T164" s="25" t="s">
        <v>2658</v>
      </c>
      <c r="U164" s="181">
        <v>2019</v>
      </c>
      <c r="W164" s="25"/>
      <c r="Y164" s="25"/>
    </row>
    <row r="165" spans="1:31" ht="30" customHeight="1" x14ac:dyDescent="0.2">
      <c r="A165">
        <v>162</v>
      </c>
      <c r="B165" s="37">
        <v>220089900</v>
      </c>
      <c r="C165" s="25" t="s">
        <v>167</v>
      </c>
      <c r="D165" s="25" t="s">
        <v>139</v>
      </c>
      <c r="E165" s="25" t="s">
        <v>209</v>
      </c>
      <c r="F165" s="25" t="s">
        <v>325</v>
      </c>
      <c r="G165" s="25">
        <v>3500</v>
      </c>
      <c r="H165" s="25" t="s">
        <v>82</v>
      </c>
      <c r="I165" s="25" t="s">
        <v>83</v>
      </c>
      <c r="J165" s="25" t="s">
        <v>1446</v>
      </c>
      <c r="K165" s="25">
        <v>3624702042</v>
      </c>
      <c r="L165" s="25" t="s">
        <v>1447</v>
      </c>
      <c r="M165" s="25" t="s">
        <v>1448</v>
      </c>
      <c r="N165" s="25" t="s">
        <v>1118</v>
      </c>
      <c r="O165" s="25">
        <v>3624702042</v>
      </c>
      <c r="P165" s="25" t="s">
        <v>1449</v>
      </c>
      <c r="Q165" s="25" t="s">
        <v>1450</v>
      </c>
      <c r="R165" s="25" t="s">
        <v>1119</v>
      </c>
      <c r="S165" s="25" t="s">
        <v>1451</v>
      </c>
      <c r="T165" s="25" t="s">
        <v>1452</v>
      </c>
      <c r="U165" s="181">
        <v>2016</v>
      </c>
      <c r="W165" s="25"/>
      <c r="X165" s="25"/>
      <c r="Y165" s="25"/>
    </row>
    <row r="166" spans="1:31" ht="30" customHeight="1" x14ac:dyDescent="0.2">
      <c r="A166">
        <v>163</v>
      </c>
      <c r="B166" s="37">
        <v>220089901</v>
      </c>
      <c r="C166" s="25" t="s">
        <v>660</v>
      </c>
      <c r="D166" s="25" t="s">
        <v>139</v>
      </c>
      <c r="E166" s="25" t="s">
        <v>2515</v>
      </c>
      <c r="F166" s="25" t="s">
        <v>1453</v>
      </c>
      <c r="G166" s="25">
        <v>3700</v>
      </c>
      <c r="H166" s="25" t="s">
        <v>82</v>
      </c>
      <c r="I166" s="25" t="s">
        <v>83</v>
      </c>
      <c r="J166" s="25" t="s">
        <v>1454</v>
      </c>
      <c r="K166" s="25">
        <v>3624702042</v>
      </c>
      <c r="L166" s="25" t="s">
        <v>1447</v>
      </c>
      <c r="M166" s="25" t="s">
        <v>1448</v>
      </c>
      <c r="N166" s="25" t="s">
        <v>1118</v>
      </c>
      <c r="O166" s="25">
        <v>3624702042</v>
      </c>
      <c r="P166" s="25" t="s">
        <v>1449</v>
      </c>
      <c r="Q166" s="25" t="s">
        <v>1450</v>
      </c>
      <c r="R166" s="25" t="s">
        <v>1119</v>
      </c>
      <c r="S166" s="25" t="s">
        <v>1451</v>
      </c>
      <c r="T166" s="25" t="s">
        <v>1452</v>
      </c>
      <c r="U166" s="181">
        <v>2022</v>
      </c>
      <c r="W166" s="25"/>
      <c r="Y166" s="25"/>
    </row>
    <row r="167" spans="1:31" ht="30" customHeight="1" x14ac:dyDescent="0.2">
      <c r="A167">
        <v>164</v>
      </c>
      <c r="B167" s="37">
        <v>220089902</v>
      </c>
      <c r="C167" s="25" t="s">
        <v>168</v>
      </c>
      <c r="D167" s="25" t="s">
        <v>139</v>
      </c>
      <c r="E167" s="25" t="s">
        <v>2516</v>
      </c>
      <c r="F167" s="25" t="s">
        <v>723</v>
      </c>
      <c r="G167" s="25">
        <v>3531</v>
      </c>
      <c r="H167" s="25" t="s">
        <v>82</v>
      </c>
      <c r="I167" s="25" t="s">
        <v>83</v>
      </c>
      <c r="J167" s="25" t="s">
        <v>1455</v>
      </c>
      <c r="K167" s="25">
        <v>3624702042</v>
      </c>
      <c r="L167" s="25" t="s">
        <v>1447</v>
      </c>
      <c r="M167" s="25" t="s">
        <v>1448</v>
      </c>
      <c r="N167" s="25" t="s">
        <v>1118</v>
      </c>
      <c r="O167" s="25">
        <v>3624702042</v>
      </c>
      <c r="P167" s="25" t="s">
        <v>1449</v>
      </c>
      <c r="Q167" s="25" t="s">
        <v>1450</v>
      </c>
      <c r="R167" s="25" t="s">
        <v>1119</v>
      </c>
      <c r="S167" s="25" t="s">
        <v>1451</v>
      </c>
      <c r="T167" s="25" t="s">
        <v>1452</v>
      </c>
      <c r="U167" s="181">
        <v>2017</v>
      </c>
      <c r="W167" s="25"/>
      <c r="X167" s="25"/>
      <c r="Y167" s="25"/>
    </row>
    <row r="168" spans="1:31" ht="30" customHeight="1" x14ac:dyDescent="0.2">
      <c r="A168">
        <v>165</v>
      </c>
      <c r="B168" s="37">
        <v>220089903</v>
      </c>
      <c r="C168" s="25" t="s">
        <v>169</v>
      </c>
      <c r="D168" s="25" t="s">
        <v>139</v>
      </c>
      <c r="E168" s="25" t="s">
        <v>2517</v>
      </c>
      <c r="F168" s="25" t="s">
        <v>1456</v>
      </c>
      <c r="G168" s="25">
        <v>3540</v>
      </c>
      <c r="H168" s="25" t="s">
        <v>82</v>
      </c>
      <c r="I168" s="25" t="s">
        <v>83</v>
      </c>
      <c r="J168" s="25" t="s">
        <v>1457</v>
      </c>
      <c r="K168" s="25">
        <v>3624702042</v>
      </c>
      <c r="L168" s="25" t="s">
        <v>1447</v>
      </c>
      <c r="M168" s="25" t="s">
        <v>1448</v>
      </c>
      <c r="N168" s="25" t="s">
        <v>1118</v>
      </c>
      <c r="O168" s="25">
        <v>3624702042</v>
      </c>
      <c r="P168" s="25" t="s">
        <v>1449</v>
      </c>
      <c r="Q168" s="25" t="s">
        <v>1450</v>
      </c>
      <c r="R168" s="25" t="s">
        <v>1119</v>
      </c>
      <c r="S168" s="25" t="s">
        <v>1451</v>
      </c>
      <c r="T168" s="25" t="s">
        <v>1452</v>
      </c>
      <c r="U168" s="181">
        <v>2017</v>
      </c>
      <c r="W168" s="25"/>
      <c r="Y168" s="25"/>
      <c r="Z168" s="25"/>
      <c r="AB168" s="25"/>
      <c r="AC168" s="25"/>
      <c r="AD168" s="25"/>
      <c r="AE168" s="25"/>
    </row>
    <row r="169" spans="1:31" ht="30" customHeight="1" x14ac:dyDescent="0.2">
      <c r="A169">
        <v>166</v>
      </c>
      <c r="B169" s="37">
        <v>220089904</v>
      </c>
      <c r="C169" s="25" t="s">
        <v>170</v>
      </c>
      <c r="D169" s="25" t="s">
        <v>139</v>
      </c>
      <c r="E169" s="25" t="s">
        <v>326</v>
      </c>
      <c r="F169" s="25" t="s">
        <v>1458</v>
      </c>
      <c r="G169" s="25">
        <v>3705</v>
      </c>
      <c r="H169" s="25" t="s">
        <v>82</v>
      </c>
      <c r="I169" s="25" t="s">
        <v>83</v>
      </c>
      <c r="J169" s="25" t="s">
        <v>1459</v>
      </c>
      <c r="K169" s="25">
        <v>3624702042</v>
      </c>
      <c r="L169" s="25" t="s">
        <v>1447</v>
      </c>
      <c r="M169" s="25" t="s">
        <v>1448</v>
      </c>
      <c r="N169" s="25" t="s">
        <v>1118</v>
      </c>
      <c r="O169" s="25">
        <v>3624702042</v>
      </c>
      <c r="P169" s="25" t="s">
        <v>1449</v>
      </c>
      <c r="Q169" s="25" t="s">
        <v>1450</v>
      </c>
      <c r="R169" s="25" t="s">
        <v>1119</v>
      </c>
      <c r="S169" s="25" t="s">
        <v>1451</v>
      </c>
      <c r="T169" s="25" t="s">
        <v>1452</v>
      </c>
      <c r="U169" s="181">
        <v>2017</v>
      </c>
      <c r="W169" s="25"/>
      <c r="Y169" s="25"/>
      <c r="Z169" s="25"/>
      <c r="AB169" s="25"/>
      <c r="AC169" s="25"/>
      <c r="AD169" s="25"/>
      <c r="AE169" s="25"/>
    </row>
    <row r="170" spans="1:31" ht="30" customHeight="1" x14ac:dyDescent="0.2">
      <c r="A170">
        <v>167</v>
      </c>
      <c r="B170" s="37">
        <v>220089905</v>
      </c>
      <c r="C170" s="25" t="s">
        <v>171</v>
      </c>
      <c r="D170" s="25" t="s">
        <v>139</v>
      </c>
      <c r="E170" s="25" t="s">
        <v>2518</v>
      </c>
      <c r="F170" s="25" t="s">
        <v>327</v>
      </c>
      <c r="G170" s="25">
        <v>3505</v>
      </c>
      <c r="H170" s="25" t="s">
        <v>82</v>
      </c>
      <c r="I170" s="25" t="s">
        <v>83</v>
      </c>
      <c r="J170" s="25" t="s">
        <v>1460</v>
      </c>
      <c r="K170" s="25">
        <v>3624702042</v>
      </c>
      <c r="L170" s="25" t="s">
        <v>1447</v>
      </c>
      <c r="M170" s="25" t="s">
        <v>1448</v>
      </c>
      <c r="N170" s="25" t="s">
        <v>1118</v>
      </c>
      <c r="O170" s="25">
        <v>3624702042</v>
      </c>
      <c r="P170" s="25" t="s">
        <v>1449</v>
      </c>
      <c r="Q170" s="25" t="s">
        <v>1450</v>
      </c>
      <c r="R170" s="25" t="s">
        <v>1119</v>
      </c>
      <c r="S170" s="25" t="s">
        <v>1451</v>
      </c>
      <c r="T170" s="25" t="s">
        <v>1452</v>
      </c>
      <c r="U170" s="181">
        <v>2017</v>
      </c>
      <c r="W170" s="25"/>
      <c r="X170" s="25"/>
      <c r="Y170" s="25"/>
    </row>
    <row r="171" spans="1:31" ht="30" customHeight="1" x14ac:dyDescent="0.2">
      <c r="A171">
        <v>168</v>
      </c>
      <c r="B171" s="37">
        <v>220089907</v>
      </c>
      <c r="C171" s="25" t="s">
        <v>661</v>
      </c>
      <c r="D171" s="25" t="s">
        <v>139</v>
      </c>
      <c r="E171" s="25" t="s">
        <v>228</v>
      </c>
      <c r="F171" s="25" t="s">
        <v>724</v>
      </c>
      <c r="G171" s="25">
        <v>3730</v>
      </c>
      <c r="H171" s="25" t="s">
        <v>82</v>
      </c>
      <c r="I171" s="25" t="s">
        <v>83</v>
      </c>
      <c r="J171" s="25" t="s">
        <v>725</v>
      </c>
      <c r="K171" s="25">
        <v>3624702042</v>
      </c>
      <c r="L171" s="25" t="s">
        <v>1447</v>
      </c>
      <c r="M171" s="25" t="s">
        <v>1448</v>
      </c>
      <c r="N171" s="25" t="s">
        <v>1118</v>
      </c>
      <c r="O171" s="25">
        <v>3624702042</v>
      </c>
      <c r="P171" s="25" t="s">
        <v>1449</v>
      </c>
      <c r="Q171" s="25" t="s">
        <v>1450</v>
      </c>
      <c r="R171" s="25" t="s">
        <v>1119</v>
      </c>
      <c r="S171" s="25" t="s">
        <v>1451</v>
      </c>
      <c r="T171" s="25" t="s">
        <v>1452</v>
      </c>
      <c r="U171" s="181">
        <v>2023</v>
      </c>
      <c r="W171" s="25"/>
      <c r="X171" s="25"/>
      <c r="Y171" s="25"/>
    </row>
    <row r="172" spans="1:31" ht="30" customHeight="1" x14ac:dyDescent="0.2">
      <c r="A172">
        <v>169</v>
      </c>
      <c r="B172" s="37">
        <v>220089908</v>
      </c>
      <c r="C172" s="25" t="s">
        <v>662</v>
      </c>
      <c r="D172" s="25" t="s">
        <v>139</v>
      </c>
      <c r="E172" s="25" t="s">
        <v>326</v>
      </c>
      <c r="F172" s="25" t="s">
        <v>1461</v>
      </c>
      <c r="G172" s="25">
        <v>3705</v>
      </c>
      <c r="H172" s="25" t="s">
        <v>82</v>
      </c>
      <c r="I172" s="25" t="s">
        <v>83</v>
      </c>
      <c r="J172" s="25" t="s">
        <v>1462</v>
      </c>
      <c r="K172" s="25">
        <v>3624702042</v>
      </c>
      <c r="L172" s="25" t="s">
        <v>1447</v>
      </c>
      <c r="M172" s="25" t="s">
        <v>1448</v>
      </c>
      <c r="N172" s="25" t="s">
        <v>1118</v>
      </c>
      <c r="O172" s="25">
        <v>3624702042</v>
      </c>
      <c r="P172" s="25" t="s">
        <v>1449</v>
      </c>
      <c r="Q172" s="25" t="s">
        <v>1450</v>
      </c>
      <c r="R172" s="25" t="s">
        <v>1119</v>
      </c>
      <c r="S172" s="25" t="s">
        <v>1451</v>
      </c>
      <c r="T172" s="25" t="s">
        <v>1452</v>
      </c>
      <c r="U172" s="181">
        <v>2023</v>
      </c>
      <c r="W172" s="25"/>
      <c r="X172" s="25"/>
      <c r="Y172" s="25"/>
    </row>
    <row r="173" spans="1:31" ht="30" customHeight="1" x14ac:dyDescent="0.2">
      <c r="A173">
        <v>170</v>
      </c>
      <c r="B173" s="37">
        <v>220089909</v>
      </c>
      <c r="C173" s="25" t="s">
        <v>663</v>
      </c>
      <c r="D173" s="25" t="s">
        <v>139</v>
      </c>
      <c r="E173" s="25" t="s">
        <v>852</v>
      </c>
      <c r="F173" s="25" t="s">
        <v>726</v>
      </c>
      <c r="G173" s="25">
        <v>3524</v>
      </c>
      <c r="H173" s="25" t="s">
        <v>82</v>
      </c>
      <c r="I173" s="25" t="s">
        <v>83</v>
      </c>
      <c r="J173" s="25" t="s">
        <v>1463</v>
      </c>
      <c r="K173" s="25">
        <v>3624702042</v>
      </c>
      <c r="L173" s="25" t="s">
        <v>1447</v>
      </c>
      <c r="M173" s="25" t="s">
        <v>1448</v>
      </c>
      <c r="N173" s="25" t="s">
        <v>1118</v>
      </c>
      <c r="O173" s="25">
        <v>3624702042</v>
      </c>
      <c r="P173" s="25" t="s">
        <v>1449</v>
      </c>
      <c r="Q173" s="25" t="s">
        <v>1450</v>
      </c>
      <c r="R173" s="25" t="s">
        <v>1119</v>
      </c>
      <c r="S173" s="25" t="s">
        <v>1451</v>
      </c>
      <c r="T173" s="25" t="s">
        <v>1452</v>
      </c>
      <c r="U173" s="181">
        <v>2023</v>
      </c>
      <c r="W173" s="25"/>
      <c r="X173" s="25"/>
      <c r="Y173" s="25"/>
    </row>
    <row r="174" spans="1:31" ht="30" customHeight="1" x14ac:dyDescent="0.2">
      <c r="A174">
        <v>171</v>
      </c>
      <c r="B174" s="37">
        <v>220089910</v>
      </c>
      <c r="C174" s="25" t="s">
        <v>727</v>
      </c>
      <c r="D174" s="25" t="s">
        <v>139</v>
      </c>
      <c r="E174" s="25" t="s">
        <v>2519</v>
      </c>
      <c r="F174" s="25" t="s">
        <v>728</v>
      </c>
      <c r="G174" s="25">
        <v>3515</v>
      </c>
      <c r="H174" s="25" t="s">
        <v>82</v>
      </c>
      <c r="I174" s="25" t="s">
        <v>83</v>
      </c>
      <c r="J174" s="25" t="s">
        <v>1464</v>
      </c>
      <c r="K174" s="25">
        <v>3624702042</v>
      </c>
      <c r="L174" s="25" t="s">
        <v>1447</v>
      </c>
      <c r="M174" s="25" t="s">
        <v>1448</v>
      </c>
      <c r="N174" s="25" t="s">
        <v>1118</v>
      </c>
      <c r="O174" s="25">
        <v>3624702042</v>
      </c>
      <c r="P174" s="25" t="s">
        <v>1449</v>
      </c>
      <c r="Q174" s="25" t="s">
        <v>1450</v>
      </c>
      <c r="R174" s="25" t="s">
        <v>1119</v>
      </c>
      <c r="S174" s="25" t="s">
        <v>1451</v>
      </c>
      <c r="T174" s="25" t="s">
        <v>1452</v>
      </c>
      <c r="U174" s="181">
        <v>2023</v>
      </c>
      <c r="W174" s="25"/>
      <c r="X174" s="25"/>
      <c r="Y174" s="25"/>
      <c r="Z174" s="25"/>
      <c r="AB174" s="25"/>
    </row>
    <row r="175" spans="1:31" ht="30" customHeight="1" x14ac:dyDescent="0.2">
      <c r="A175">
        <v>172</v>
      </c>
      <c r="B175" s="37">
        <v>220089911</v>
      </c>
      <c r="C175" s="25" t="s">
        <v>729</v>
      </c>
      <c r="D175" s="25" t="s">
        <v>139</v>
      </c>
      <c r="E175" s="25" t="s">
        <v>2520</v>
      </c>
      <c r="F175" s="25" t="s">
        <v>1465</v>
      </c>
      <c r="G175" s="25">
        <v>3509</v>
      </c>
      <c r="H175" s="25" t="s">
        <v>82</v>
      </c>
      <c r="I175" s="25" t="s">
        <v>83</v>
      </c>
      <c r="J175" s="25" t="s">
        <v>1466</v>
      </c>
      <c r="K175" s="25">
        <v>3624702042</v>
      </c>
      <c r="L175" s="25" t="s">
        <v>1447</v>
      </c>
      <c r="M175" s="25" t="s">
        <v>1448</v>
      </c>
      <c r="N175" s="25" t="s">
        <v>1118</v>
      </c>
      <c r="O175" s="25">
        <v>3624702042</v>
      </c>
      <c r="P175" s="25" t="s">
        <v>1449</v>
      </c>
      <c r="Q175" s="25" t="s">
        <v>1450</v>
      </c>
      <c r="R175" s="25" t="s">
        <v>1119</v>
      </c>
      <c r="S175" s="25" t="s">
        <v>1451</v>
      </c>
      <c r="T175" s="25" t="s">
        <v>1452</v>
      </c>
      <c r="U175" s="181">
        <v>2023</v>
      </c>
      <c r="W175" s="25"/>
      <c r="X175" s="25"/>
      <c r="Y175" s="25"/>
    </row>
    <row r="176" spans="1:31" ht="30" customHeight="1" x14ac:dyDescent="0.2">
      <c r="A176">
        <v>173</v>
      </c>
      <c r="B176" s="37">
        <v>220178400</v>
      </c>
      <c r="C176" s="25" t="s">
        <v>2807</v>
      </c>
      <c r="D176" s="25" t="s">
        <v>139</v>
      </c>
      <c r="E176" s="25" t="s">
        <v>209</v>
      </c>
      <c r="F176" s="25" t="s">
        <v>325</v>
      </c>
      <c r="G176" s="25">
        <v>3500</v>
      </c>
      <c r="H176" s="25" t="s">
        <v>134</v>
      </c>
      <c r="I176" s="25" t="s">
        <v>83</v>
      </c>
      <c r="J176" s="25" t="s">
        <v>2808</v>
      </c>
      <c r="U176" s="179">
        <v>2025</v>
      </c>
      <c r="W176" s="25"/>
      <c r="Y176" s="25"/>
    </row>
    <row r="177" spans="1:28" ht="30" customHeight="1" x14ac:dyDescent="0.2">
      <c r="A177">
        <v>174</v>
      </c>
      <c r="B177" s="37">
        <v>260061100</v>
      </c>
      <c r="C177" s="25" t="s">
        <v>480</v>
      </c>
      <c r="D177" s="25" t="s">
        <v>431</v>
      </c>
      <c r="E177" s="25" t="s">
        <v>2669</v>
      </c>
      <c r="F177" s="25" t="s">
        <v>529</v>
      </c>
      <c r="G177" s="25">
        <v>9100</v>
      </c>
      <c r="H177" s="25" t="s">
        <v>134</v>
      </c>
      <c r="I177" s="25" t="s">
        <v>83</v>
      </c>
      <c r="J177" s="25" t="s">
        <v>2670</v>
      </c>
      <c r="K177" s="25" t="s">
        <v>2671</v>
      </c>
      <c r="L177" s="25" t="s">
        <v>2672</v>
      </c>
      <c r="M177" s="25" t="s">
        <v>2673</v>
      </c>
      <c r="N177" s="25" t="s">
        <v>1118</v>
      </c>
      <c r="O177" s="25">
        <v>2804352275</v>
      </c>
      <c r="P177" s="25" t="s">
        <v>2674</v>
      </c>
      <c r="Q177" s="25" t="s">
        <v>2675</v>
      </c>
      <c r="R177" s="25" t="s">
        <v>1122</v>
      </c>
      <c r="S177" s="25">
        <v>2804378522</v>
      </c>
      <c r="U177" s="179">
        <v>2021</v>
      </c>
      <c r="W177" s="25"/>
      <c r="X177" s="25"/>
      <c r="Y177" s="25"/>
      <c r="Z177" s="25"/>
      <c r="AB177" s="25"/>
    </row>
    <row r="178" spans="1:28" ht="30" customHeight="1" x14ac:dyDescent="0.2">
      <c r="A178">
        <v>175</v>
      </c>
      <c r="B178" s="37">
        <v>260061101</v>
      </c>
      <c r="C178" s="25" t="s">
        <v>480</v>
      </c>
      <c r="D178" s="25" t="s">
        <v>431</v>
      </c>
      <c r="E178" s="25" t="s">
        <v>2735</v>
      </c>
      <c r="F178" s="25" t="s">
        <v>2736</v>
      </c>
      <c r="G178" s="25">
        <v>9000</v>
      </c>
      <c r="H178" s="25" t="s">
        <v>134</v>
      </c>
      <c r="I178" s="25" t="s">
        <v>83</v>
      </c>
      <c r="J178" s="25" t="s">
        <v>2676</v>
      </c>
      <c r="K178" s="25" t="s">
        <v>2679</v>
      </c>
      <c r="L178" s="25" t="s">
        <v>2677</v>
      </c>
      <c r="M178" s="25" t="s">
        <v>2673</v>
      </c>
      <c r="N178" s="25" t="s">
        <v>1118</v>
      </c>
      <c r="O178" s="25">
        <v>2804352275</v>
      </c>
      <c r="P178" s="25" t="s">
        <v>2678</v>
      </c>
      <c r="Q178" s="25" t="s">
        <v>2675</v>
      </c>
      <c r="R178" s="25" t="s">
        <v>1119</v>
      </c>
      <c r="S178" s="25">
        <v>2804378522</v>
      </c>
      <c r="U178" s="179">
        <v>2023</v>
      </c>
      <c r="W178" s="25"/>
      <c r="X178" s="25"/>
      <c r="Y178" s="25"/>
    </row>
    <row r="179" spans="1:28" ht="30" customHeight="1" x14ac:dyDescent="0.2">
      <c r="A179">
        <v>176</v>
      </c>
      <c r="B179" s="37">
        <v>300029300</v>
      </c>
      <c r="C179" s="25" t="s">
        <v>574</v>
      </c>
      <c r="D179" s="25" t="s">
        <v>140</v>
      </c>
      <c r="E179" s="25" t="s">
        <v>328</v>
      </c>
      <c r="F179" s="25" t="s">
        <v>328</v>
      </c>
      <c r="G179" s="25">
        <v>3100</v>
      </c>
      <c r="H179" s="25" t="s">
        <v>134</v>
      </c>
      <c r="I179" s="25" t="s">
        <v>83</v>
      </c>
      <c r="J179" s="25" t="s">
        <v>1551</v>
      </c>
      <c r="K179" s="25" t="s">
        <v>1552</v>
      </c>
      <c r="L179" s="25" t="s">
        <v>575</v>
      </c>
      <c r="M179" s="25" t="s">
        <v>1553</v>
      </c>
      <c r="N179" s="25" t="s">
        <v>1121</v>
      </c>
      <c r="O179" s="25" t="s">
        <v>576</v>
      </c>
      <c r="P179" s="25" t="s">
        <v>577</v>
      </c>
      <c r="Q179" s="25" t="s">
        <v>1554</v>
      </c>
      <c r="R179" s="25" t="s">
        <v>1181</v>
      </c>
      <c r="S179" s="25">
        <v>3436218540</v>
      </c>
      <c r="T179" s="25" t="s">
        <v>1555</v>
      </c>
      <c r="U179" s="181">
        <v>2016</v>
      </c>
      <c r="W179" s="25"/>
      <c r="X179" s="25"/>
      <c r="Y179" s="25"/>
    </row>
    <row r="180" spans="1:28" ht="30" customHeight="1" x14ac:dyDescent="0.2">
      <c r="A180">
        <v>177</v>
      </c>
      <c r="B180" s="37">
        <v>300078400</v>
      </c>
      <c r="C180" s="25" t="s">
        <v>664</v>
      </c>
      <c r="D180" s="25" t="s">
        <v>140</v>
      </c>
      <c r="E180" s="25" t="s">
        <v>328</v>
      </c>
      <c r="F180" s="25" t="s">
        <v>437</v>
      </c>
      <c r="G180" s="25">
        <v>3134</v>
      </c>
      <c r="H180" s="25" t="s">
        <v>82</v>
      </c>
      <c r="I180" s="25" t="s">
        <v>83</v>
      </c>
      <c r="J180" s="25" t="s">
        <v>960</v>
      </c>
      <c r="K180" s="25" t="s">
        <v>1276</v>
      </c>
      <c r="L180" s="25" t="s">
        <v>961</v>
      </c>
      <c r="M180" s="25" t="s">
        <v>1277</v>
      </c>
      <c r="N180" s="25" t="s">
        <v>1121</v>
      </c>
      <c r="O180" s="25">
        <v>3434467811</v>
      </c>
      <c r="P180" s="25" t="s">
        <v>1278</v>
      </c>
      <c r="Q180" s="25" t="s">
        <v>962</v>
      </c>
      <c r="R180" s="25" t="s">
        <v>1122</v>
      </c>
      <c r="S180" s="25">
        <v>3435108114</v>
      </c>
      <c r="T180" s="25" t="s">
        <v>963</v>
      </c>
      <c r="U180" s="181">
        <v>2016</v>
      </c>
      <c r="W180" s="25"/>
      <c r="X180" s="25"/>
      <c r="Y180" s="25"/>
    </row>
    <row r="181" spans="1:28" ht="30" customHeight="1" x14ac:dyDescent="0.2">
      <c r="A181">
        <v>178</v>
      </c>
      <c r="B181" s="37">
        <v>300122100</v>
      </c>
      <c r="C181" s="25" t="s">
        <v>665</v>
      </c>
      <c r="D181" s="25" t="s">
        <v>140</v>
      </c>
      <c r="E181" s="25" t="s">
        <v>329</v>
      </c>
      <c r="F181" s="25" t="s">
        <v>330</v>
      </c>
      <c r="G181" s="25">
        <v>2823</v>
      </c>
      <c r="H181" s="25" t="s">
        <v>82</v>
      </c>
      <c r="I181" s="25" t="s">
        <v>976</v>
      </c>
      <c r="J181" s="25" t="s">
        <v>1411</v>
      </c>
      <c r="K181" s="25" t="s">
        <v>1412</v>
      </c>
      <c r="L181" s="25" t="s">
        <v>938</v>
      </c>
      <c r="M181" s="25" t="s">
        <v>1413</v>
      </c>
      <c r="N181" s="25" t="s">
        <v>1121</v>
      </c>
      <c r="O181" s="25" t="s">
        <v>939</v>
      </c>
      <c r="P181" s="160" t="s">
        <v>940</v>
      </c>
      <c r="Q181" s="25" t="s">
        <v>1414</v>
      </c>
      <c r="R181" s="25" t="s">
        <v>1121</v>
      </c>
      <c r="S181" s="25" t="s">
        <v>939</v>
      </c>
      <c r="T181" s="25" t="s">
        <v>940</v>
      </c>
      <c r="U181" s="181">
        <v>2017</v>
      </c>
      <c r="W181" s="25"/>
      <c r="Y181" s="25"/>
    </row>
    <row r="182" spans="1:28" ht="30" customHeight="1" x14ac:dyDescent="0.2">
      <c r="A182">
        <v>179</v>
      </c>
      <c r="B182" s="37">
        <v>300129700</v>
      </c>
      <c r="C182" s="25" t="s">
        <v>459</v>
      </c>
      <c r="D182" s="25" t="s">
        <v>140</v>
      </c>
      <c r="E182" s="25" t="s">
        <v>467</v>
      </c>
      <c r="F182" s="25" t="s">
        <v>460</v>
      </c>
      <c r="G182" s="25">
        <v>3187</v>
      </c>
      <c r="H182" s="25" t="s">
        <v>82</v>
      </c>
      <c r="I182" s="25" t="s">
        <v>976</v>
      </c>
      <c r="J182" s="25" t="s">
        <v>1386</v>
      </c>
      <c r="L182" s="25" t="s">
        <v>1387</v>
      </c>
      <c r="M182" s="25" t="s">
        <v>1388</v>
      </c>
      <c r="N182" s="25" t="s">
        <v>1121</v>
      </c>
      <c r="O182" s="25">
        <v>3458451738</v>
      </c>
      <c r="P182" s="25" t="s">
        <v>1389</v>
      </c>
      <c r="Q182" s="25" t="s">
        <v>1388</v>
      </c>
      <c r="R182" s="25" t="s">
        <v>1121</v>
      </c>
      <c r="S182" s="25">
        <v>3458451738</v>
      </c>
      <c r="T182" s="25" t="s">
        <v>1389</v>
      </c>
      <c r="U182" s="181">
        <v>2022</v>
      </c>
      <c r="W182" s="25"/>
      <c r="X182" s="25"/>
      <c r="Y182" s="25"/>
    </row>
    <row r="183" spans="1:28" ht="30" customHeight="1" x14ac:dyDescent="0.2">
      <c r="A183">
        <v>180</v>
      </c>
      <c r="B183" s="37">
        <v>300148300</v>
      </c>
      <c r="C183" s="25" t="s">
        <v>666</v>
      </c>
      <c r="D183" s="25" t="s">
        <v>140</v>
      </c>
      <c r="E183" s="25" t="s">
        <v>332</v>
      </c>
      <c r="F183" s="25" t="s">
        <v>151</v>
      </c>
      <c r="G183" s="25">
        <v>3174</v>
      </c>
      <c r="H183" s="25" t="s">
        <v>82</v>
      </c>
      <c r="I183" s="25" t="s">
        <v>976</v>
      </c>
      <c r="J183" s="25" t="s">
        <v>2650</v>
      </c>
      <c r="K183" s="25">
        <v>3445421836</v>
      </c>
      <c r="L183" s="25" t="s">
        <v>2651</v>
      </c>
      <c r="M183" s="25" t="s">
        <v>2652</v>
      </c>
      <c r="N183" s="25" t="s">
        <v>1121</v>
      </c>
      <c r="O183" s="25">
        <v>3445453726</v>
      </c>
      <c r="P183" s="25" t="s">
        <v>2653</v>
      </c>
      <c r="Q183" s="25" t="s">
        <v>2654</v>
      </c>
      <c r="R183" s="25" t="s">
        <v>1122</v>
      </c>
      <c r="S183" s="25">
        <v>3445539003</v>
      </c>
      <c r="T183" s="25" t="s">
        <v>2655</v>
      </c>
      <c r="U183" s="181">
        <v>2016</v>
      </c>
      <c r="W183" s="25"/>
      <c r="Y183" s="25"/>
    </row>
    <row r="184" spans="1:28" ht="30" customHeight="1" x14ac:dyDescent="0.2">
      <c r="A184">
        <v>181</v>
      </c>
      <c r="B184" s="37">
        <v>300152300</v>
      </c>
      <c r="C184" s="25" t="s">
        <v>667</v>
      </c>
      <c r="D184" s="25" t="s">
        <v>140</v>
      </c>
      <c r="E184" s="25" t="s">
        <v>975</v>
      </c>
      <c r="F184" s="25" t="s">
        <v>975</v>
      </c>
      <c r="G184" s="25">
        <v>2820</v>
      </c>
      <c r="H184" s="25" t="s">
        <v>82</v>
      </c>
      <c r="I184" s="25" t="s">
        <v>976</v>
      </c>
      <c r="J184" s="25" t="s">
        <v>1251</v>
      </c>
      <c r="K184" s="25" t="s">
        <v>1252</v>
      </c>
      <c r="L184" s="25" t="s">
        <v>1253</v>
      </c>
      <c r="M184" s="25" t="s">
        <v>1254</v>
      </c>
      <c r="N184" s="25" t="s">
        <v>1121</v>
      </c>
      <c r="O184" s="25" t="s">
        <v>1255</v>
      </c>
      <c r="P184" s="25" t="s">
        <v>941</v>
      </c>
      <c r="Q184" s="25" t="s">
        <v>1254</v>
      </c>
      <c r="R184" s="25" t="s">
        <v>1121</v>
      </c>
      <c r="S184" s="25">
        <v>3446538805</v>
      </c>
      <c r="T184" s="25" t="s">
        <v>1256</v>
      </c>
      <c r="U184" s="181">
        <v>2016</v>
      </c>
      <c r="W184" s="25"/>
      <c r="X184" s="25"/>
      <c r="Y184" s="25"/>
    </row>
    <row r="185" spans="1:28" ht="30" customHeight="1" x14ac:dyDescent="0.2">
      <c r="A185">
        <v>182</v>
      </c>
      <c r="B185" s="37">
        <v>300155100</v>
      </c>
      <c r="C185" s="25" t="s">
        <v>668</v>
      </c>
      <c r="D185" s="25" t="s">
        <v>140</v>
      </c>
      <c r="E185" s="25" t="s">
        <v>333</v>
      </c>
      <c r="F185" s="25" t="s">
        <v>333</v>
      </c>
      <c r="G185" s="25">
        <v>3105</v>
      </c>
      <c r="H185" s="25" t="s">
        <v>82</v>
      </c>
      <c r="I185" s="25" t="s">
        <v>83</v>
      </c>
      <c r="J185" s="25" t="s">
        <v>1967</v>
      </c>
      <c r="K185" s="25" t="s">
        <v>1968</v>
      </c>
      <c r="L185" s="25" t="s">
        <v>1969</v>
      </c>
      <c r="M185" s="25" t="s">
        <v>1970</v>
      </c>
      <c r="N185" s="25" t="s">
        <v>1121</v>
      </c>
      <c r="O185" s="25" t="s">
        <v>1971</v>
      </c>
      <c r="P185" s="25" t="s">
        <v>1972</v>
      </c>
      <c r="Q185" s="25" t="s">
        <v>1973</v>
      </c>
      <c r="R185" s="25" t="s">
        <v>1122</v>
      </c>
      <c r="S185" s="25" t="s">
        <v>1974</v>
      </c>
      <c r="T185" s="25" t="s">
        <v>1975</v>
      </c>
      <c r="U185" s="181">
        <v>2017</v>
      </c>
      <c r="W185" s="25"/>
      <c r="X185" s="25"/>
      <c r="Y185" s="25"/>
    </row>
    <row r="186" spans="1:28" ht="30" customHeight="1" x14ac:dyDescent="0.2">
      <c r="A186">
        <v>183</v>
      </c>
      <c r="B186" s="37">
        <v>300164300</v>
      </c>
      <c r="C186" s="25" t="s">
        <v>455</v>
      </c>
      <c r="D186" s="25" t="s">
        <v>140</v>
      </c>
      <c r="E186" s="25" t="s">
        <v>456</v>
      </c>
      <c r="F186" s="25" t="s">
        <v>456</v>
      </c>
      <c r="G186" s="25">
        <v>3180</v>
      </c>
      <c r="H186" s="25" t="s">
        <v>82</v>
      </c>
      <c r="I186" s="25" t="s">
        <v>976</v>
      </c>
      <c r="J186" s="25" t="s">
        <v>964</v>
      </c>
      <c r="K186" s="25" t="s">
        <v>1245</v>
      </c>
      <c r="L186" s="25" t="s">
        <v>965</v>
      </c>
      <c r="M186" s="25" t="s">
        <v>1246</v>
      </c>
      <c r="N186" s="25" t="s">
        <v>1121</v>
      </c>
      <c r="O186" s="25" t="s">
        <v>1247</v>
      </c>
      <c r="P186" s="25" t="s">
        <v>966</v>
      </c>
      <c r="Q186" s="25" t="s">
        <v>1248</v>
      </c>
      <c r="R186" s="25" t="s">
        <v>1122</v>
      </c>
      <c r="S186" s="25" t="s">
        <v>1249</v>
      </c>
      <c r="T186" s="25" t="s">
        <v>1250</v>
      </c>
      <c r="U186" s="181">
        <v>2022</v>
      </c>
      <c r="W186" s="25"/>
      <c r="X186" s="25"/>
      <c r="Y186" s="25"/>
    </row>
    <row r="187" spans="1:28" ht="30" customHeight="1" x14ac:dyDescent="0.2">
      <c r="A187">
        <v>184</v>
      </c>
      <c r="B187" s="37">
        <v>300173900</v>
      </c>
      <c r="C187" s="25" t="s">
        <v>669</v>
      </c>
      <c r="D187" s="25" t="s">
        <v>140</v>
      </c>
      <c r="E187" s="25" t="s">
        <v>334</v>
      </c>
      <c r="F187" s="25" t="s">
        <v>334</v>
      </c>
      <c r="G187" s="25">
        <v>3190</v>
      </c>
      <c r="H187" s="25" t="s">
        <v>82</v>
      </c>
      <c r="I187" s="25" t="s">
        <v>976</v>
      </c>
      <c r="J187" s="25" t="s">
        <v>2644</v>
      </c>
      <c r="K187" s="25">
        <v>3437423908</v>
      </c>
      <c r="L187" s="25" t="s">
        <v>2645</v>
      </c>
      <c r="M187" s="25" t="s">
        <v>2646</v>
      </c>
      <c r="N187" s="25" t="s">
        <v>1121</v>
      </c>
      <c r="O187" s="25">
        <v>3437403113</v>
      </c>
      <c r="P187" s="25" t="s">
        <v>2647</v>
      </c>
      <c r="Q187" s="25" t="s">
        <v>2648</v>
      </c>
      <c r="R187" s="25" t="s">
        <v>1122</v>
      </c>
      <c r="S187" s="25">
        <v>3437608606</v>
      </c>
      <c r="T187" s="25" t="s">
        <v>2649</v>
      </c>
      <c r="U187" s="181">
        <v>2017</v>
      </c>
      <c r="W187" s="25"/>
      <c r="X187" s="25"/>
      <c r="Y187" s="25"/>
    </row>
    <row r="188" spans="1:28" ht="30" customHeight="1" x14ac:dyDescent="0.2">
      <c r="A188">
        <v>185</v>
      </c>
      <c r="B188" s="37">
        <v>300178300</v>
      </c>
      <c r="C188" s="25" t="s">
        <v>335</v>
      </c>
      <c r="D188" s="25" t="s">
        <v>140</v>
      </c>
      <c r="E188" s="25" t="s">
        <v>336</v>
      </c>
      <c r="F188" s="25" t="s">
        <v>336</v>
      </c>
      <c r="G188" s="25">
        <v>3150</v>
      </c>
      <c r="H188" s="25" t="s">
        <v>82</v>
      </c>
      <c r="I188" s="25" t="s">
        <v>83</v>
      </c>
      <c r="J188" s="25" t="s">
        <v>2008</v>
      </c>
      <c r="K188" s="25" t="s">
        <v>2009</v>
      </c>
      <c r="L188" s="25" t="s">
        <v>2010</v>
      </c>
      <c r="M188" s="25" t="s">
        <v>2011</v>
      </c>
      <c r="N188" s="25" t="s">
        <v>1121</v>
      </c>
      <c r="O188" s="25">
        <v>3435509741</v>
      </c>
      <c r="P188" s="25" t="s">
        <v>2012</v>
      </c>
      <c r="Q188" s="25" t="s">
        <v>2013</v>
      </c>
      <c r="R188" s="25" t="s">
        <v>1122</v>
      </c>
      <c r="S188" s="25">
        <v>3435452181</v>
      </c>
      <c r="T188" s="25" t="s">
        <v>2014</v>
      </c>
      <c r="U188" s="181">
        <v>2020</v>
      </c>
      <c r="W188" s="25"/>
      <c r="Y188" s="25"/>
      <c r="Z188" s="25"/>
      <c r="AA188" s="25"/>
      <c r="AB188" s="25"/>
    </row>
    <row r="189" spans="1:28" ht="30" customHeight="1" x14ac:dyDescent="0.2">
      <c r="A189">
        <v>186</v>
      </c>
      <c r="B189" s="37">
        <v>300185800</v>
      </c>
      <c r="C189" s="118" t="s">
        <v>2442</v>
      </c>
      <c r="D189" s="118" t="s">
        <v>140</v>
      </c>
      <c r="E189" s="25" t="s">
        <v>328</v>
      </c>
      <c r="F189" s="25" t="s">
        <v>173</v>
      </c>
      <c r="G189" s="118">
        <v>3109</v>
      </c>
      <c r="H189" s="118" t="s">
        <v>82</v>
      </c>
      <c r="I189" s="118" t="s">
        <v>976</v>
      </c>
      <c r="J189" s="118" t="s">
        <v>2443</v>
      </c>
      <c r="K189" s="131">
        <v>3109</v>
      </c>
      <c r="L189" s="118" t="s">
        <v>2444</v>
      </c>
      <c r="M189" s="118" t="s">
        <v>2445</v>
      </c>
      <c r="N189" s="118" t="s">
        <v>1121</v>
      </c>
      <c r="O189" s="131">
        <v>3435166197</v>
      </c>
      <c r="P189" s="118" t="s">
        <v>2446</v>
      </c>
      <c r="Q189" s="118" t="s">
        <v>2447</v>
      </c>
      <c r="R189" s="118" t="s">
        <v>1122</v>
      </c>
      <c r="S189" s="118" t="s">
        <v>2448</v>
      </c>
      <c r="T189" s="118" t="s">
        <v>2449</v>
      </c>
      <c r="U189" s="181">
        <v>2017</v>
      </c>
      <c r="W189" s="25"/>
      <c r="X189" s="25"/>
      <c r="Y189" s="25"/>
    </row>
    <row r="190" spans="1:28" ht="30" customHeight="1" x14ac:dyDescent="0.2">
      <c r="A190">
        <v>187</v>
      </c>
      <c r="B190" s="37">
        <v>300201100</v>
      </c>
      <c r="C190" s="25" t="s">
        <v>671</v>
      </c>
      <c r="D190" s="25" t="s">
        <v>140</v>
      </c>
      <c r="E190" s="25" t="s">
        <v>337</v>
      </c>
      <c r="F190" s="25" t="s">
        <v>337</v>
      </c>
      <c r="G190" s="25">
        <v>3200</v>
      </c>
      <c r="H190" s="25" t="s">
        <v>134</v>
      </c>
      <c r="I190" s="25" t="s">
        <v>83</v>
      </c>
      <c r="J190" s="25" t="s">
        <v>1611</v>
      </c>
      <c r="K190" s="25" t="s">
        <v>1612</v>
      </c>
      <c r="L190" s="25" t="s">
        <v>1613</v>
      </c>
      <c r="M190" s="25" t="s">
        <v>1067</v>
      </c>
      <c r="N190" s="25" t="s">
        <v>1121</v>
      </c>
      <c r="O190" s="25">
        <v>3454184052</v>
      </c>
      <c r="P190" s="25" t="s">
        <v>1614</v>
      </c>
      <c r="Q190" s="25" t="s">
        <v>1067</v>
      </c>
      <c r="R190" s="25" t="s">
        <v>1121</v>
      </c>
      <c r="S190" s="25" t="s">
        <v>1615</v>
      </c>
      <c r="T190" s="25" t="s">
        <v>1614</v>
      </c>
      <c r="U190" s="181">
        <v>2016</v>
      </c>
      <c r="W190" s="25"/>
      <c r="X190" s="25"/>
      <c r="Y190" s="25"/>
    </row>
    <row r="191" spans="1:28" ht="30" customHeight="1" x14ac:dyDescent="0.2">
      <c r="A191">
        <v>188</v>
      </c>
      <c r="B191" s="37">
        <v>300251300</v>
      </c>
      <c r="C191" s="25" t="s">
        <v>672</v>
      </c>
      <c r="D191" s="25" t="s">
        <v>140</v>
      </c>
      <c r="E191" s="25" t="s">
        <v>174</v>
      </c>
      <c r="F191" s="25" t="s">
        <v>174</v>
      </c>
      <c r="G191" s="25">
        <v>2840</v>
      </c>
      <c r="H191" s="25" t="s">
        <v>134</v>
      </c>
      <c r="I191" s="25" t="s">
        <v>83</v>
      </c>
      <c r="J191" s="25" t="s">
        <v>1546</v>
      </c>
      <c r="K191" s="25" t="s">
        <v>1547</v>
      </c>
      <c r="L191" s="25" t="s">
        <v>1548</v>
      </c>
      <c r="M191" s="25" t="s">
        <v>1549</v>
      </c>
      <c r="N191" s="25" t="s">
        <v>1121</v>
      </c>
      <c r="O191" s="25" t="s">
        <v>1550</v>
      </c>
      <c r="P191" s="25" t="s">
        <v>911</v>
      </c>
      <c r="Q191" s="25" t="s">
        <v>1549</v>
      </c>
      <c r="R191" s="25" t="s">
        <v>1121</v>
      </c>
      <c r="S191" s="25" t="s">
        <v>1550</v>
      </c>
      <c r="T191" s="25" t="s">
        <v>911</v>
      </c>
      <c r="U191" s="181">
        <v>2016</v>
      </c>
      <c r="W191" s="25"/>
      <c r="Y191" s="25"/>
    </row>
    <row r="192" spans="1:28" ht="30" customHeight="1" x14ac:dyDescent="0.2">
      <c r="A192">
        <v>189</v>
      </c>
      <c r="B192" s="37">
        <v>300306900</v>
      </c>
      <c r="C192" s="25" t="s">
        <v>338</v>
      </c>
      <c r="D192" s="25" t="s">
        <v>140</v>
      </c>
      <c r="E192" s="25" t="s">
        <v>339</v>
      </c>
      <c r="F192" s="25" t="s">
        <v>339</v>
      </c>
      <c r="G192" s="25">
        <v>3153</v>
      </c>
      <c r="H192" s="25" t="s">
        <v>82</v>
      </c>
      <c r="I192" s="25" t="s">
        <v>83</v>
      </c>
      <c r="J192" s="25" t="s">
        <v>1336</v>
      </c>
      <c r="K192" s="25" t="s">
        <v>1337</v>
      </c>
      <c r="L192" s="25" t="s">
        <v>1338</v>
      </c>
      <c r="M192" s="25" t="s">
        <v>1339</v>
      </c>
      <c r="N192" s="25" t="s">
        <v>1121</v>
      </c>
      <c r="O192" s="25" t="s">
        <v>1079</v>
      </c>
      <c r="P192" s="25" t="s">
        <v>1340</v>
      </c>
      <c r="Q192" s="25" t="s">
        <v>1341</v>
      </c>
      <c r="R192" s="25" t="s">
        <v>1122</v>
      </c>
      <c r="S192" s="25">
        <v>3436404881</v>
      </c>
      <c r="T192" s="25" t="s">
        <v>1342</v>
      </c>
      <c r="U192" s="181">
        <v>2018</v>
      </c>
      <c r="W192" s="25"/>
      <c r="X192" s="25"/>
      <c r="Y192" s="25"/>
    </row>
    <row r="193" spans="1:28" ht="30" customHeight="1" x14ac:dyDescent="0.2">
      <c r="A193">
        <v>190</v>
      </c>
      <c r="B193" s="184">
        <v>300348800</v>
      </c>
      <c r="C193" s="25" t="s">
        <v>2809</v>
      </c>
      <c r="D193" s="25" t="s">
        <v>140</v>
      </c>
      <c r="E193" s="25" t="s">
        <v>2810</v>
      </c>
      <c r="F193" s="25" t="s">
        <v>2810</v>
      </c>
      <c r="G193" s="25">
        <v>3240</v>
      </c>
      <c r="H193" s="25" t="s">
        <v>134</v>
      </c>
      <c r="I193" s="25" t="s">
        <v>83</v>
      </c>
      <c r="U193" s="179">
        <v>2025</v>
      </c>
      <c r="W193" s="25"/>
      <c r="X193" s="25"/>
      <c r="Y193" s="25"/>
    </row>
    <row r="194" spans="1:28" ht="30" customHeight="1" x14ac:dyDescent="0.2">
      <c r="A194">
        <v>191</v>
      </c>
      <c r="B194" s="37">
        <v>380035200</v>
      </c>
      <c r="C194" s="25" t="s">
        <v>2777</v>
      </c>
      <c r="D194" s="37" t="s">
        <v>141</v>
      </c>
      <c r="E194" s="25" t="s">
        <v>2778</v>
      </c>
      <c r="F194" s="25" t="s">
        <v>2779</v>
      </c>
      <c r="G194" s="25">
        <v>4512</v>
      </c>
      <c r="H194" s="25" t="s">
        <v>82</v>
      </c>
      <c r="I194" s="25" t="s">
        <v>83</v>
      </c>
      <c r="J194" s="25" t="s">
        <v>2780</v>
      </c>
      <c r="K194" s="37" t="s">
        <v>2781</v>
      </c>
      <c r="L194" s="37" t="s">
        <v>2782</v>
      </c>
      <c r="M194" s="37" t="s">
        <v>2783</v>
      </c>
      <c r="N194" s="37" t="s">
        <v>1121</v>
      </c>
      <c r="O194" s="37" t="s">
        <v>2784</v>
      </c>
      <c r="P194" s="37" t="s">
        <v>2785</v>
      </c>
      <c r="Q194" s="37" t="s">
        <v>2786</v>
      </c>
      <c r="R194" s="37" t="s">
        <v>1122</v>
      </c>
      <c r="S194" s="37" t="s">
        <v>2787</v>
      </c>
      <c r="T194" s="37" t="s">
        <v>2788</v>
      </c>
      <c r="U194" s="181">
        <v>2024</v>
      </c>
      <c r="W194" s="25"/>
      <c r="X194" s="25"/>
      <c r="Y194" s="25"/>
    </row>
    <row r="195" spans="1:28" ht="30" customHeight="1" x14ac:dyDescent="0.2">
      <c r="A195">
        <v>192</v>
      </c>
      <c r="B195" s="37">
        <v>380052001</v>
      </c>
      <c r="C195" s="25" t="s">
        <v>1101</v>
      </c>
      <c r="D195" s="25" t="s">
        <v>141</v>
      </c>
      <c r="E195" s="25" t="s">
        <v>2521</v>
      </c>
      <c r="F195" s="25" t="s">
        <v>2058</v>
      </c>
      <c r="G195" s="25">
        <v>4640</v>
      </c>
      <c r="H195" s="25" t="s">
        <v>82</v>
      </c>
      <c r="I195" s="25" t="s">
        <v>976</v>
      </c>
      <c r="J195" s="25" t="s">
        <v>2059</v>
      </c>
      <c r="K195" s="25">
        <v>3885036832</v>
      </c>
      <c r="L195" s="25" t="s">
        <v>2060</v>
      </c>
      <c r="M195" s="25" t="s">
        <v>2061</v>
      </c>
      <c r="N195" s="25" t="s">
        <v>1121</v>
      </c>
      <c r="O195" s="25">
        <v>3885036832</v>
      </c>
      <c r="P195" s="25" t="s">
        <v>2060</v>
      </c>
      <c r="Q195" s="25" t="s">
        <v>2062</v>
      </c>
      <c r="R195" s="25" t="s">
        <v>1122</v>
      </c>
      <c r="S195" s="25">
        <v>3886651098</v>
      </c>
      <c r="T195" s="25" t="s">
        <v>2063</v>
      </c>
      <c r="U195" s="181">
        <v>2023</v>
      </c>
      <c r="W195" s="25"/>
      <c r="X195" s="25"/>
      <c r="Y195" s="25"/>
    </row>
    <row r="196" spans="1:28" ht="30" customHeight="1" x14ac:dyDescent="0.2">
      <c r="A196">
        <v>193</v>
      </c>
      <c r="B196" s="37">
        <v>380081400</v>
      </c>
      <c r="C196" s="25" t="s">
        <v>481</v>
      </c>
      <c r="D196" s="25" t="s">
        <v>141</v>
      </c>
      <c r="E196" s="25" t="s">
        <v>340</v>
      </c>
      <c r="F196" s="25" t="s">
        <v>175</v>
      </c>
      <c r="G196" s="25">
        <v>4600</v>
      </c>
      <c r="H196" s="25" t="s">
        <v>134</v>
      </c>
      <c r="I196" s="25" t="s">
        <v>83</v>
      </c>
      <c r="J196" s="25" t="s">
        <v>1859</v>
      </c>
      <c r="K196" s="25" t="s">
        <v>1860</v>
      </c>
      <c r="L196" s="25" t="s">
        <v>1861</v>
      </c>
      <c r="M196" s="25" t="s">
        <v>1862</v>
      </c>
      <c r="N196" s="25" t="s">
        <v>1121</v>
      </c>
      <c r="O196" s="25">
        <v>3885718538</v>
      </c>
      <c r="P196" s="25" t="s">
        <v>1863</v>
      </c>
      <c r="Q196" s="25" t="s">
        <v>1862</v>
      </c>
      <c r="R196" s="25" t="s">
        <v>1121</v>
      </c>
      <c r="S196" s="25">
        <v>3885718538</v>
      </c>
      <c r="T196" s="25" t="s">
        <v>1863</v>
      </c>
      <c r="U196" s="181">
        <v>2021</v>
      </c>
      <c r="W196" s="25"/>
      <c r="X196" s="25"/>
      <c r="Y196" s="25"/>
    </row>
    <row r="197" spans="1:28" ht="30" customHeight="1" x14ac:dyDescent="0.2">
      <c r="A197">
        <v>194</v>
      </c>
      <c r="B197" s="37">
        <v>380081401</v>
      </c>
      <c r="C197" s="25" t="s">
        <v>482</v>
      </c>
      <c r="D197" s="25" t="s">
        <v>141</v>
      </c>
      <c r="E197" s="25" t="s">
        <v>516</v>
      </c>
      <c r="F197" s="25" t="s">
        <v>516</v>
      </c>
      <c r="G197" s="25">
        <v>4500</v>
      </c>
      <c r="H197" s="25" t="s">
        <v>134</v>
      </c>
      <c r="I197" s="25" t="s">
        <v>83</v>
      </c>
      <c r="J197" s="25" t="s">
        <v>1864</v>
      </c>
      <c r="K197" s="25">
        <v>3888425631</v>
      </c>
      <c r="L197" s="25" t="s">
        <v>1865</v>
      </c>
      <c r="M197" s="25" t="s">
        <v>1866</v>
      </c>
      <c r="N197" s="25" t="s">
        <v>1121</v>
      </c>
      <c r="O197" s="25">
        <v>3885718538</v>
      </c>
      <c r="P197" s="25" t="s">
        <v>1863</v>
      </c>
      <c r="Q197" s="25" t="s">
        <v>1867</v>
      </c>
      <c r="R197" s="25" t="s">
        <v>1181</v>
      </c>
      <c r="S197" s="25">
        <v>3888660361</v>
      </c>
      <c r="T197" s="25" t="s">
        <v>1865</v>
      </c>
      <c r="U197" s="181">
        <v>2021</v>
      </c>
      <c r="W197" s="25"/>
      <c r="X197" s="25"/>
      <c r="Y197" s="25"/>
    </row>
    <row r="198" spans="1:28" ht="30" customHeight="1" x14ac:dyDescent="0.2">
      <c r="A198">
        <v>195</v>
      </c>
      <c r="B198" s="37">
        <v>380081402</v>
      </c>
      <c r="C198" s="25" t="s">
        <v>483</v>
      </c>
      <c r="D198" s="25" t="s">
        <v>141</v>
      </c>
      <c r="E198" s="25" t="s">
        <v>517</v>
      </c>
      <c r="F198" s="25" t="s">
        <v>2737</v>
      </c>
      <c r="G198" s="25">
        <v>4650</v>
      </c>
      <c r="H198" s="25" t="s">
        <v>134</v>
      </c>
      <c r="I198" s="25" t="s">
        <v>83</v>
      </c>
      <c r="J198" s="25" t="s">
        <v>2162</v>
      </c>
      <c r="K198" s="25">
        <v>3885184099</v>
      </c>
      <c r="L198" s="25" t="s">
        <v>2163</v>
      </c>
      <c r="M198" s="25" t="s">
        <v>2164</v>
      </c>
      <c r="N198" s="25" t="s">
        <v>1121</v>
      </c>
      <c r="O198" s="25">
        <v>3885718538</v>
      </c>
      <c r="P198" s="25" t="s">
        <v>1861</v>
      </c>
      <c r="Q198" s="25" t="s">
        <v>2165</v>
      </c>
      <c r="R198" s="25" t="s">
        <v>1122</v>
      </c>
      <c r="S198" s="25">
        <v>3885401150</v>
      </c>
      <c r="T198" s="25" t="s">
        <v>2166</v>
      </c>
      <c r="U198" s="181">
        <v>2021</v>
      </c>
      <c r="W198" s="25"/>
      <c r="X198" s="25"/>
      <c r="Y198" s="25"/>
      <c r="Z198" s="25"/>
      <c r="AB198" s="25"/>
    </row>
    <row r="199" spans="1:28" ht="30" customHeight="1" x14ac:dyDescent="0.2">
      <c r="A199">
        <v>196</v>
      </c>
      <c r="B199" s="37">
        <v>380097800</v>
      </c>
      <c r="C199" s="25" t="s">
        <v>931</v>
      </c>
      <c r="D199" s="25" t="s">
        <v>141</v>
      </c>
      <c r="E199" s="25" t="s">
        <v>340</v>
      </c>
      <c r="F199" s="25" t="s">
        <v>175</v>
      </c>
      <c r="G199" s="25">
        <v>4600</v>
      </c>
      <c r="H199" s="25" t="s">
        <v>82</v>
      </c>
      <c r="I199" s="25" t="s">
        <v>83</v>
      </c>
      <c r="J199" s="25" t="s">
        <v>1961</v>
      </c>
      <c r="K199" s="25">
        <v>3886014588</v>
      </c>
      <c r="L199" s="25" t="s">
        <v>1962</v>
      </c>
      <c r="M199" s="25" t="s">
        <v>1963</v>
      </c>
      <c r="N199" s="25" t="s">
        <v>1121</v>
      </c>
      <c r="O199" s="25">
        <v>3884889596</v>
      </c>
      <c r="P199" s="25" t="s">
        <v>1964</v>
      </c>
      <c r="Q199" s="25" t="s">
        <v>1965</v>
      </c>
      <c r="R199" s="25" t="s">
        <v>1122</v>
      </c>
      <c r="S199" s="25">
        <v>3884044821</v>
      </c>
      <c r="T199" s="25" t="s">
        <v>1966</v>
      </c>
      <c r="U199" s="181">
        <v>2017</v>
      </c>
      <c r="W199" s="25"/>
      <c r="X199" s="25"/>
      <c r="Y199" s="25"/>
    </row>
    <row r="200" spans="1:28" ht="30" customHeight="1" x14ac:dyDescent="0.2">
      <c r="A200">
        <v>197</v>
      </c>
      <c r="B200" s="37">
        <v>380098400</v>
      </c>
      <c r="C200" s="25" t="s">
        <v>1114</v>
      </c>
      <c r="D200" s="25" t="s">
        <v>141</v>
      </c>
      <c r="E200" s="25" t="s">
        <v>340</v>
      </c>
      <c r="F200" s="25" t="s">
        <v>175</v>
      </c>
      <c r="G200" s="25">
        <v>4600</v>
      </c>
      <c r="H200" s="25" t="s">
        <v>134</v>
      </c>
      <c r="I200" s="25" t="s">
        <v>83</v>
      </c>
      <c r="J200" s="25" t="s">
        <v>1650</v>
      </c>
      <c r="K200" s="25">
        <v>3884890327</v>
      </c>
      <c r="L200" s="25" t="s">
        <v>1651</v>
      </c>
      <c r="M200" s="25" t="s">
        <v>1652</v>
      </c>
      <c r="N200" s="25" t="s">
        <v>1121</v>
      </c>
      <c r="O200" s="25">
        <v>3885006672</v>
      </c>
      <c r="P200" s="25" t="s">
        <v>1653</v>
      </c>
      <c r="Q200" s="25" t="s">
        <v>1654</v>
      </c>
      <c r="R200" s="25" t="s">
        <v>1122</v>
      </c>
      <c r="S200" s="25">
        <v>388338835</v>
      </c>
      <c r="T200" s="25" t="s">
        <v>1655</v>
      </c>
      <c r="U200" s="181">
        <v>2024</v>
      </c>
      <c r="W200" s="25"/>
      <c r="Y200" s="25"/>
    </row>
    <row r="201" spans="1:28" ht="30" customHeight="1" x14ac:dyDescent="0.2">
      <c r="A201">
        <v>198</v>
      </c>
      <c r="B201" s="37">
        <v>500124000</v>
      </c>
      <c r="C201" s="25" t="s">
        <v>1906</v>
      </c>
      <c r="D201" s="37" t="s">
        <v>142</v>
      </c>
      <c r="E201" s="25" t="s">
        <v>341</v>
      </c>
      <c r="F201" s="37" t="s">
        <v>342</v>
      </c>
      <c r="G201" s="25">
        <v>5567</v>
      </c>
      <c r="H201" s="25" t="s">
        <v>82</v>
      </c>
      <c r="I201" s="25" t="s">
        <v>83</v>
      </c>
      <c r="J201" t="s">
        <v>1907</v>
      </c>
      <c r="K201">
        <v>2622434713</v>
      </c>
      <c r="L201" t="s">
        <v>1908</v>
      </c>
      <c r="M201" t="s">
        <v>1909</v>
      </c>
      <c r="N201" t="s">
        <v>1121</v>
      </c>
      <c r="O201">
        <v>2622628740</v>
      </c>
      <c r="P201" t="s">
        <v>1910</v>
      </c>
      <c r="Q201" t="s">
        <v>1911</v>
      </c>
      <c r="R201" t="s">
        <v>1122</v>
      </c>
      <c r="S201">
        <v>2622430741</v>
      </c>
      <c r="T201" t="s">
        <v>1912</v>
      </c>
      <c r="U201" s="181">
        <v>2016</v>
      </c>
      <c r="W201" s="25"/>
      <c r="X201" s="25"/>
      <c r="Y201" s="25"/>
    </row>
    <row r="202" spans="1:28" ht="30" customHeight="1" x14ac:dyDescent="0.2">
      <c r="A202">
        <v>199</v>
      </c>
      <c r="B202" s="37">
        <v>500124001</v>
      </c>
      <c r="C202" s="25" t="s">
        <v>675</v>
      </c>
      <c r="D202" s="37" t="s">
        <v>142</v>
      </c>
      <c r="E202" s="25" t="s">
        <v>343</v>
      </c>
      <c r="F202" s="37" t="s">
        <v>1913</v>
      </c>
      <c r="G202" s="25">
        <v>5521</v>
      </c>
      <c r="H202" s="25" t="s">
        <v>82</v>
      </c>
      <c r="I202" s="25" t="s">
        <v>83</v>
      </c>
      <c r="J202" t="s">
        <v>1914</v>
      </c>
      <c r="K202">
        <v>2622434713</v>
      </c>
      <c r="L202" t="s">
        <v>1908</v>
      </c>
      <c r="M202" t="s">
        <v>1909</v>
      </c>
      <c r="N202" t="s">
        <v>1121</v>
      </c>
      <c r="O202">
        <v>2622628740</v>
      </c>
      <c r="P202" t="s">
        <v>1910</v>
      </c>
      <c r="Q202" t="s">
        <v>1915</v>
      </c>
      <c r="R202" t="s">
        <v>1122</v>
      </c>
      <c r="S202">
        <v>2675522178</v>
      </c>
      <c r="T202" t="s">
        <v>1916</v>
      </c>
      <c r="U202" s="181">
        <v>2016</v>
      </c>
      <c r="W202" s="25"/>
      <c r="X202" s="25"/>
      <c r="Y202" s="25"/>
    </row>
    <row r="203" spans="1:28" ht="30" customHeight="1" x14ac:dyDescent="0.2">
      <c r="A203">
        <v>200</v>
      </c>
      <c r="B203" s="37">
        <v>500124002</v>
      </c>
      <c r="C203" s="25" t="s">
        <v>676</v>
      </c>
      <c r="D203" s="37" t="s">
        <v>142</v>
      </c>
      <c r="E203" s="25" t="s">
        <v>152</v>
      </c>
      <c r="F203" s="37" t="s">
        <v>878</v>
      </c>
      <c r="G203" s="25">
        <v>5500</v>
      </c>
      <c r="H203" s="25" t="s">
        <v>82</v>
      </c>
      <c r="I203" s="25" t="s">
        <v>83</v>
      </c>
      <c r="J203" t="s">
        <v>1917</v>
      </c>
      <c r="K203">
        <v>2622434713</v>
      </c>
      <c r="L203" t="s">
        <v>1908</v>
      </c>
      <c r="M203" t="s">
        <v>1909</v>
      </c>
      <c r="N203" t="s">
        <v>1121</v>
      </c>
      <c r="O203">
        <v>2622628740</v>
      </c>
      <c r="P203" t="s">
        <v>1910</v>
      </c>
      <c r="Q203" t="s">
        <v>1918</v>
      </c>
      <c r="R203" t="s">
        <v>1122</v>
      </c>
      <c r="S203">
        <v>2616812260</v>
      </c>
      <c r="T203" t="s">
        <v>1919</v>
      </c>
      <c r="U203" s="181">
        <v>2016</v>
      </c>
      <c r="W203" s="25"/>
      <c r="Y203" s="25"/>
    </row>
    <row r="204" spans="1:28" ht="30" customHeight="1" x14ac:dyDescent="0.2">
      <c r="A204">
        <v>201</v>
      </c>
      <c r="B204" s="37">
        <v>500124003</v>
      </c>
      <c r="C204" s="25" t="s">
        <v>942</v>
      </c>
      <c r="D204" s="37" t="s">
        <v>142</v>
      </c>
      <c r="E204" s="25" t="s">
        <v>344</v>
      </c>
      <c r="F204" s="25" t="s">
        <v>344</v>
      </c>
      <c r="G204" s="25">
        <v>5600</v>
      </c>
      <c r="H204" s="25" t="s">
        <v>82</v>
      </c>
      <c r="I204" s="25" t="s">
        <v>83</v>
      </c>
      <c r="J204" t="s">
        <v>1920</v>
      </c>
      <c r="K204">
        <v>2622434713</v>
      </c>
      <c r="L204" t="s">
        <v>1908</v>
      </c>
      <c r="M204" t="s">
        <v>1909</v>
      </c>
      <c r="N204" t="s">
        <v>1121</v>
      </c>
      <c r="O204">
        <v>2622628740</v>
      </c>
      <c r="P204" t="s">
        <v>1910</v>
      </c>
      <c r="Q204" t="s">
        <v>1921</v>
      </c>
      <c r="R204" t="s">
        <v>1122</v>
      </c>
      <c r="S204">
        <v>2604841220</v>
      </c>
      <c r="T204" t="s">
        <v>1922</v>
      </c>
      <c r="U204" s="181">
        <v>2016</v>
      </c>
      <c r="W204" s="25"/>
      <c r="Y204" s="25"/>
    </row>
    <row r="205" spans="1:28" ht="30" customHeight="1" x14ac:dyDescent="0.2">
      <c r="A205">
        <v>202</v>
      </c>
      <c r="B205" s="37">
        <v>500124004</v>
      </c>
      <c r="C205" s="25" t="s">
        <v>677</v>
      </c>
      <c r="D205" s="37" t="s">
        <v>142</v>
      </c>
      <c r="E205" s="25" t="s">
        <v>345</v>
      </c>
      <c r="F205" s="37" t="s">
        <v>345</v>
      </c>
      <c r="G205" s="25">
        <v>5560</v>
      </c>
      <c r="H205" s="25" t="s">
        <v>82</v>
      </c>
      <c r="I205" s="25" t="s">
        <v>83</v>
      </c>
      <c r="J205" t="s">
        <v>1923</v>
      </c>
      <c r="K205">
        <v>2622434713</v>
      </c>
      <c r="L205" t="s">
        <v>1908</v>
      </c>
      <c r="M205" t="s">
        <v>1909</v>
      </c>
      <c r="N205" t="s">
        <v>1121</v>
      </c>
      <c r="O205">
        <v>2622628740</v>
      </c>
      <c r="P205" t="s">
        <v>1910</v>
      </c>
      <c r="Q205" t="s">
        <v>1924</v>
      </c>
      <c r="R205" t="s">
        <v>1122</v>
      </c>
      <c r="S205">
        <v>2622438267</v>
      </c>
      <c r="T205" t="s">
        <v>1925</v>
      </c>
      <c r="U205" s="181">
        <v>2016</v>
      </c>
      <c r="W205" s="25"/>
      <c r="X205" s="25"/>
      <c r="Y205" s="25"/>
    </row>
    <row r="206" spans="1:28" ht="30" customHeight="1" x14ac:dyDescent="0.2">
      <c r="A206">
        <v>203</v>
      </c>
      <c r="B206" s="37">
        <v>500124006</v>
      </c>
      <c r="C206" s="25" t="s">
        <v>678</v>
      </c>
      <c r="D206" s="37" t="s">
        <v>142</v>
      </c>
      <c r="E206" s="25" t="s">
        <v>348</v>
      </c>
      <c r="F206" s="37" t="s">
        <v>348</v>
      </c>
      <c r="G206" s="25">
        <v>5577</v>
      </c>
      <c r="H206" s="25" t="s">
        <v>82</v>
      </c>
      <c r="I206" s="25" t="s">
        <v>83</v>
      </c>
      <c r="J206" t="s">
        <v>1929</v>
      </c>
      <c r="K206">
        <v>2622434713</v>
      </c>
      <c r="L206" t="s">
        <v>1908</v>
      </c>
      <c r="M206" t="s">
        <v>1909</v>
      </c>
      <c r="N206" t="s">
        <v>1121</v>
      </c>
      <c r="O206">
        <v>2622628740</v>
      </c>
      <c r="P206" t="s">
        <v>1910</v>
      </c>
      <c r="Q206" t="s">
        <v>1930</v>
      </c>
      <c r="R206" t="s">
        <v>1122</v>
      </c>
      <c r="S206">
        <v>2634594984</v>
      </c>
      <c r="T206" t="s">
        <v>1931</v>
      </c>
      <c r="U206" s="181">
        <v>2016</v>
      </c>
      <c r="W206" s="25"/>
      <c r="X206" s="25"/>
      <c r="Y206" s="25"/>
    </row>
    <row r="207" spans="1:28" ht="30" customHeight="1" x14ac:dyDescent="0.2">
      <c r="A207">
        <v>204</v>
      </c>
      <c r="B207" s="37">
        <v>500124007</v>
      </c>
      <c r="C207" s="25" t="s">
        <v>679</v>
      </c>
      <c r="D207" s="37" t="s">
        <v>142</v>
      </c>
      <c r="E207" s="25" t="s">
        <v>349</v>
      </c>
      <c r="F207" s="37" t="s">
        <v>350</v>
      </c>
      <c r="G207" s="25">
        <v>5505</v>
      </c>
      <c r="H207" s="25" t="s">
        <v>82</v>
      </c>
      <c r="I207" s="25" t="s">
        <v>83</v>
      </c>
      <c r="J207" t="s">
        <v>1932</v>
      </c>
      <c r="K207">
        <v>2622434713</v>
      </c>
      <c r="L207" t="s">
        <v>1908</v>
      </c>
      <c r="M207" t="s">
        <v>1909</v>
      </c>
      <c r="N207" t="s">
        <v>1121</v>
      </c>
      <c r="O207">
        <v>2622628740</v>
      </c>
      <c r="P207" t="s">
        <v>1910</v>
      </c>
      <c r="Q207" t="s">
        <v>1933</v>
      </c>
      <c r="R207" t="s">
        <v>1122</v>
      </c>
      <c r="S207">
        <v>2616945586</v>
      </c>
      <c r="T207" t="s">
        <v>1934</v>
      </c>
      <c r="U207" s="181">
        <v>2016</v>
      </c>
      <c r="W207" s="25"/>
      <c r="X207" s="25"/>
      <c r="Y207" s="25"/>
    </row>
    <row r="208" spans="1:28" ht="30" customHeight="1" x14ac:dyDescent="0.2">
      <c r="A208">
        <v>205</v>
      </c>
      <c r="B208" s="37">
        <v>500124009</v>
      </c>
      <c r="C208" s="25" t="s">
        <v>680</v>
      </c>
      <c r="D208" s="37" t="s">
        <v>142</v>
      </c>
      <c r="E208" s="25" t="s">
        <v>351</v>
      </c>
      <c r="F208" s="37" t="s">
        <v>436</v>
      </c>
      <c r="G208" s="25">
        <v>5594</v>
      </c>
      <c r="H208" s="25" t="s">
        <v>82</v>
      </c>
      <c r="I208" s="25" t="s">
        <v>83</v>
      </c>
      <c r="J208" t="s">
        <v>1935</v>
      </c>
      <c r="K208">
        <v>2622434713</v>
      </c>
      <c r="L208" t="s">
        <v>1908</v>
      </c>
      <c r="M208" t="s">
        <v>1909</v>
      </c>
      <c r="N208" t="s">
        <v>1121</v>
      </c>
      <c r="O208">
        <v>2622628740</v>
      </c>
      <c r="P208" t="s">
        <v>1910</v>
      </c>
      <c r="Q208" t="s">
        <v>1936</v>
      </c>
      <c r="R208" t="s">
        <v>1122</v>
      </c>
      <c r="S208">
        <v>2634516683</v>
      </c>
      <c r="T208" t="s">
        <v>1937</v>
      </c>
      <c r="U208" s="181">
        <v>2016</v>
      </c>
      <c r="W208" s="25"/>
      <c r="X208" s="25"/>
      <c r="Y208" s="25"/>
    </row>
    <row r="209" spans="1:28" ht="30" customHeight="1" x14ac:dyDescent="0.2">
      <c r="A209">
        <v>206</v>
      </c>
      <c r="B209" s="37">
        <v>500132400</v>
      </c>
      <c r="C209" s="25" t="s">
        <v>681</v>
      </c>
      <c r="D209" s="25" t="s">
        <v>142</v>
      </c>
      <c r="E209" s="25" t="s">
        <v>344</v>
      </c>
      <c r="F209" s="25" t="s">
        <v>878</v>
      </c>
      <c r="G209" s="25">
        <v>5600</v>
      </c>
      <c r="H209" s="25" t="s">
        <v>134</v>
      </c>
      <c r="I209" s="25" t="s">
        <v>83</v>
      </c>
      <c r="J209" s="25" t="s">
        <v>1502</v>
      </c>
      <c r="K209" s="25" t="s">
        <v>1503</v>
      </c>
      <c r="L209" s="25" t="s">
        <v>967</v>
      </c>
      <c r="M209" s="25" t="s">
        <v>968</v>
      </c>
      <c r="N209" s="25" t="s">
        <v>1121</v>
      </c>
      <c r="O209" s="25" t="s">
        <v>1504</v>
      </c>
      <c r="P209" s="25" t="s">
        <v>969</v>
      </c>
      <c r="Q209" s="25" t="s">
        <v>1505</v>
      </c>
      <c r="R209" s="25" t="s">
        <v>1121</v>
      </c>
      <c r="S209" s="25" t="s">
        <v>1504</v>
      </c>
      <c r="T209" s="25" t="s">
        <v>969</v>
      </c>
      <c r="U209" s="181">
        <v>2016</v>
      </c>
      <c r="W209" s="25"/>
      <c r="X209" s="25"/>
      <c r="Y209" s="25"/>
      <c r="Z209" s="25"/>
      <c r="AB209" s="25"/>
    </row>
    <row r="210" spans="1:28" ht="30" customHeight="1" x14ac:dyDescent="0.2">
      <c r="A210">
        <v>207</v>
      </c>
      <c r="B210" s="37">
        <v>500134800</v>
      </c>
      <c r="C210" s="25" t="s">
        <v>682</v>
      </c>
      <c r="D210" s="25" t="s">
        <v>142</v>
      </c>
      <c r="E210" s="25" t="s">
        <v>352</v>
      </c>
      <c r="F210" s="25" t="s">
        <v>878</v>
      </c>
      <c r="G210" s="25">
        <v>5620</v>
      </c>
      <c r="H210" s="25" t="s">
        <v>82</v>
      </c>
      <c r="I210" s="25" t="s">
        <v>976</v>
      </c>
      <c r="J210" s="25" t="s">
        <v>1120</v>
      </c>
      <c r="K210" s="25">
        <v>2625423122</v>
      </c>
      <c r="L210" s="25" t="s">
        <v>861</v>
      </c>
      <c r="M210" s="25" t="s">
        <v>862</v>
      </c>
      <c r="N210" s="25" t="s">
        <v>1121</v>
      </c>
      <c r="O210" s="25">
        <v>2625405063</v>
      </c>
      <c r="P210" s="25" t="s">
        <v>863</v>
      </c>
      <c r="Q210" s="25" t="s">
        <v>864</v>
      </c>
      <c r="R210" s="25" t="s">
        <v>1122</v>
      </c>
      <c r="S210" s="25">
        <v>262515412103</v>
      </c>
      <c r="T210" s="25" t="s">
        <v>865</v>
      </c>
      <c r="U210" s="181">
        <v>2016</v>
      </c>
      <c r="W210" s="25"/>
      <c r="X210" s="25"/>
      <c r="Y210" s="25"/>
    </row>
    <row r="211" spans="1:28" ht="30" customHeight="1" x14ac:dyDescent="0.2">
      <c r="A211">
        <v>208</v>
      </c>
      <c r="B211" s="37">
        <v>500180400</v>
      </c>
      <c r="C211" s="25" t="s">
        <v>1869</v>
      </c>
      <c r="D211" s="25" t="s">
        <v>142</v>
      </c>
      <c r="E211" s="25" t="s">
        <v>152</v>
      </c>
      <c r="F211" s="25" t="s">
        <v>142</v>
      </c>
      <c r="G211" s="25">
        <v>5500</v>
      </c>
      <c r="H211" s="25" t="s">
        <v>134</v>
      </c>
      <c r="I211" s="25" t="s">
        <v>83</v>
      </c>
      <c r="J211" s="25" t="s">
        <v>1514</v>
      </c>
      <c r="K211" s="25">
        <v>2615910709</v>
      </c>
      <c r="L211" s="25" t="s">
        <v>1515</v>
      </c>
      <c r="M211" s="25" t="s">
        <v>866</v>
      </c>
      <c r="N211" s="25" t="s">
        <v>1121</v>
      </c>
      <c r="O211" s="25">
        <v>2615374528</v>
      </c>
      <c r="P211" s="25" t="s">
        <v>867</v>
      </c>
      <c r="Q211" s="25" t="s">
        <v>1516</v>
      </c>
      <c r="R211" s="25" t="s">
        <v>1181</v>
      </c>
      <c r="S211" s="25">
        <v>2615326701</v>
      </c>
      <c r="T211" s="25" t="s">
        <v>1517</v>
      </c>
      <c r="U211" s="181">
        <v>2021</v>
      </c>
      <c r="W211" s="25"/>
      <c r="Y211" s="25"/>
    </row>
    <row r="212" spans="1:28" ht="30" customHeight="1" x14ac:dyDescent="0.2">
      <c r="A212">
        <v>209</v>
      </c>
      <c r="B212" s="37">
        <v>500180401</v>
      </c>
      <c r="C212" s="25" t="s">
        <v>683</v>
      </c>
      <c r="D212" s="25" t="s">
        <v>142</v>
      </c>
      <c r="E212" s="25" t="s">
        <v>870</v>
      </c>
      <c r="F212" s="25" t="s">
        <v>1518</v>
      </c>
      <c r="G212" s="25">
        <v>5573</v>
      </c>
      <c r="H212" s="25" t="s">
        <v>134</v>
      </c>
      <c r="I212" s="25" t="s">
        <v>83</v>
      </c>
      <c r="J212" s="25" t="s">
        <v>1519</v>
      </c>
      <c r="K212" s="25">
        <v>263306100</v>
      </c>
      <c r="L212" s="25" t="s">
        <v>1515</v>
      </c>
      <c r="M212" s="25" t="s">
        <v>866</v>
      </c>
      <c r="N212" s="25" t="s">
        <v>1121</v>
      </c>
      <c r="O212" s="25">
        <v>2615374528</v>
      </c>
      <c r="P212" s="25" t="s">
        <v>867</v>
      </c>
      <c r="Q212" s="25" t="s">
        <v>1516</v>
      </c>
      <c r="R212" s="25" t="s">
        <v>1181</v>
      </c>
      <c r="S212" s="25">
        <v>2615326701</v>
      </c>
      <c r="T212" s="25" t="s">
        <v>1517</v>
      </c>
      <c r="U212" s="181">
        <v>2023</v>
      </c>
      <c r="W212" s="25"/>
      <c r="Y212" s="25"/>
    </row>
    <row r="213" spans="1:28" ht="30" customHeight="1" x14ac:dyDescent="0.2">
      <c r="A213">
        <v>210</v>
      </c>
      <c r="B213" s="37">
        <v>500180402</v>
      </c>
      <c r="C213" s="25" t="s">
        <v>684</v>
      </c>
      <c r="D213" s="25" t="s">
        <v>142</v>
      </c>
      <c r="E213" s="25" t="s">
        <v>323</v>
      </c>
      <c r="F213" s="25" t="s">
        <v>1524</v>
      </c>
      <c r="G213" s="25">
        <v>5533</v>
      </c>
      <c r="H213" s="25" t="s">
        <v>134</v>
      </c>
      <c r="I213" s="25" t="s">
        <v>83</v>
      </c>
      <c r="J213" s="25" t="s">
        <v>1525</v>
      </c>
      <c r="K213" s="25">
        <v>2614171930</v>
      </c>
      <c r="L213" s="25" t="s">
        <v>1515</v>
      </c>
      <c r="M213" s="25" t="s">
        <v>866</v>
      </c>
      <c r="N213" s="25" t="s">
        <v>1121</v>
      </c>
      <c r="O213" s="25">
        <v>2615374528</v>
      </c>
      <c r="P213" s="25" t="s">
        <v>867</v>
      </c>
      <c r="Q213" s="25" t="s">
        <v>1516</v>
      </c>
      <c r="R213" s="25" t="s">
        <v>1181</v>
      </c>
      <c r="S213" s="25">
        <v>2615326701</v>
      </c>
      <c r="T213" s="25" t="s">
        <v>1517</v>
      </c>
      <c r="U213" s="181">
        <v>2023</v>
      </c>
      <c r="W213" s="25"/>
      <c r="X213" s="25"/>
      <c r="Y213" s="25"/>
    </row>
    <row r="214" spans="1:28" ht="30" customHeight="1" x14ac:dyDescent="0.2">
      <c r="A214">
        <v>211</v>
      </c>
      <c r="B214" s="37">
        <v>500180404</v>
      </c>
      <c r="C214" s="25" t="s">
        <v>685</v>
      </c>
      <c r="D214" s="25" t="s">
        <v>142</v>
      </c>
      <c r="E214" s="25" t="s">
        <v>868</v>
      </c>
      <c r="F214" s="25" t="s">
        <v>868</v>
      </c>
      <c r="G214" s="25">
        <v>5561</v>
      </c>
      <c r="H214" s="25" t="s">
        <v>134</v>
      </c>
      <c r="I214" s="25" t="s">
        <v>83</v>
      </c>
      <c r="J214" s="25" t="s">
        <v>1526</v>
      </c>
      <c r="K214" s="25">
        <v>262590155</v>
      </c>
      <c r="L214" s="25" t="s">
        <v>1515</v>
      </c>
      <c r="M214" s="25" t="s">
        <v>866</v>
      </c>
      <c r="N214" s="25" t="s">
        <v>1121</v>
      </c>
      <c r="O214" s="25">
        <v>2615374528</v>
      </c>
      <c r="P214" s="25" t="s">
        <v>867</v>
      </c>
      <c r="Q214" s="25" t="s">
        <v>1516</v>
      </c>
      <c r="R214" s="25" t="s">
        <v>1181</v>
      </c>
      <c r="S214" s="25">
        <v>2615326701</v>
      </c>
      <c r="T214" s="25" t="s">
        <v>1517</v>
      </c>
      <c r="U214" s="181">
        <v>2023</v>
      </c>
      <c r="W214" s="25"/>
      <c r="X214" s="25"/>
      <c r="Y214" s="25"/>
    </row>
    <row r="215" spans="1:28" ht="30" customHeight="1" x14ac:dyDescent="0.2">
      <c r="A215">
        <v>212</v>
      </c>
      <c r="B215" s="37">
        <v>500180406</v>
      </c>
      <c r="C215" s="25" t="s">
        <v>686</v>
      </c>
      <c r="D215" s="25" t="s">
        <v>142</v>
      </c>
      <c r="E215" s="25" t="s">
        <v>352</v>
      </c>
      <c r="F215" s="25" t="s">
        <v>352</v>
      </c>
      <c r="G215" s="25">
        <v>5620</v>
      </c>
      <c r="H215" s="25" t="s">
        <v>134</v>
      </c>
      <c r="I215" s="25" t="s">
        <v>83</v>
      </c>
      <c r="J215" s="25" t="s">
        <v>1527</v>
      </c>
      <c r="K215" s="25">
        <v>2625513106</v>
      </c>
      <c r="L215" s="25" t="s">
        <v>1515</v>
      </c>
      <c r="M215" s="25" t="s">
        <v>866</v>
      </c>
      <c r="N215" s="25" t="s">
        <v>1121</v>
      </c>
      <c r="O215" s="25">
        <v>2615374528</v>
      </c>
      <c r="P215" s="25" t="s">
        <v>867</v>
      </c>
      <c r="Q215" s="25" t="s">
        <v>1516</v>
      </c>
      <c r="R215" s="25" t="s">
        <v>1181</v>
      </c>
      <c r="S215" s="25">
        <v>20615326701</v>
      </c>
      <c r="T215" s="25" t="s">
        <v>1517</v>
      </c>
      <c r="U215" s="181">
        <v>2023</v>
      </c>
      <c r="W215" s="25"/>
      <c r="X215" s="25"/>
      <c r="Y215" s="25"/>
    </row>
    <row r="216" spans="1:28" ht="30" customHeight="1" x14ac:dyDescent="0.2">
      <c r="A216">
        <v>213</v>
      </c>
      <c r="B216" s="37">
        <v>500180407</v>
      </c>
      <c r="C216" s="25" t="s">
        <v>687</v>
      </c>
      <c r="D216" s="25" t="s">
        <v>142</v>
      </c>
      <c r="E216" s="25" t="s">
        <v>869</v>
      </c>
      <c r="F216" s="25" t="s">
        <v>869</v>
      </c>
      <c r="G216" s="25">
        <v>5613</v>
      </c>
      <c r="H216" s="25" t="s">
        <v>134</v>
      </c>
      <c r="I216" s="25" t="s">
        <v>83</v>
      </c>
      <c r="J216" s="25" t="s">
        <v>1528</v>
      </c>
      <c r="K216" s="25">
        <v>2604482053</v>
      </c>
      <c r="L216" s="25" t="s">
        <v>1515</v>
      </c>
      <c r="M216" s="25" t="s">
        <v>866</v>
      </c>
      <c r="N216" s="25" t="s">
        <v>1121</v>
      </c>
      <c r="O216" s="25">
        <v>2615374528</v>
      </c>
      <c r="P216" s="25" t="s">
        <v>867</v>
      </c>
      <c r="Q216" s="25" t="s">
        <v>1516</v>
      </c>
      <c r="R216" s="25" t="s">
        <v>1181</v>
      </c>
      <c r="S216" s="25">
        <v>20615326701</v>
      </c>
      <c r="T216" s="25" t="s">
        <v>1517</v>
      </c>
      <c r="U216" s="181">
        <v>2023</v>
      </c>
      <c r="W216" s="25"/>
      <c r="X216" s="25"/>
      <c r="Y216" s="25"/>
    </row>
    <row r="217" spans="1:28" ht="30" customHeight="1" x14ac:dyDescent="0.2">
      <c r="A217">
        <v>214</v>
      </c>
      <c r="B217" s="37">
        <v>500221200</v>
      </c>
      <c r="C217" s="25" t="s">
        <v>353</v>
      </c>
      <c r="D217" s="25" t="s">
        <v>142</v>
      </c>
      <c r="E217" s="25" t="s">
        <v>346</v>
      </c>
      <c r="F217" s="25" t="s">
        <v>346</v>
      </c>
      <c r="G217" s="25">
        <v>5515</v>
      </c>
      <c r="H217" s="25" t="s">
        <v>82</v>
      </c>
      <c r="I217" s="25" t="s">
        <v>976</v>
      </c>
      <c r="J217" s="25" t="s">
        <v>1769</v>
      </c>
      <c r="K217" s="25">
        <v>2616979257</v>
      </c>
      <c r="L217" s="25" t="s">
        <v>1770</v>
      </c>
      <c r="M217" s="25" t="s">
        <v>1771</v>
      </c>
      <c r="N217" s="25" t="s">
        <v>1121</v>
      </c>
      <c r="O217" s="25">
        <v>2616979257</v>
      </c>
      <c r="P217" s="25" t="s">
        <v>1772</v>
      </c>
      <c r="Q217" s="25" t="s">
        <v>1773</v>
      </c>
      <c r="R217" s="25" t="s">
        <v>1272</v>
      </c>
      <c r="S217" s="25">
        <v>2616390645</v>
      </c>
      <c r="T217" s="25" t="s">
        <v>1774</v>
      </c>
      <c r="U217" s="181">
        <v>2016</v>
      </c>
      <c r="W217" s="25"/>
      <c r="X217" s="25"/>
      <c r="Y217" s="25"/>
    </row>
    <row r="218" spans="1:28" ht="30" customHeight="1" x14ac:dyDescent="0.2">
      <c r="A218">
        <v>215</v>
      </c>
      <c r="B218" s="37">
        <v>500224900</v>
      </c>
      <c r="C218" s="25" t="s">
        <v>688</v>
      </c>
      <c r="D218" s="37" t="s">
        <v>142</v>
      </c>
      <c r="E218" s="25" t="s">
        <v>354</v>
      </c>
      <c r="F218" s="37" t="s">
        <v>1886</v>
      </c>
      <c r="G218" s="25">
        <v>5539</v>
      </c>
      <c r="H218" s="25" t="s">
        <v>82</v>
      </c>
      <c r="I218" s="25" t="s">
        <v>976</v>
      </c>
      <c r="J218" t="s">
        <v>1887</v>
      </c>
      <c r="K218"/>
      <c r="L218" t="s">
        <v>1888</v>
      </c>
      <c r="M218" t="s">
        <v>1889</v>
      </c>
      <c r="N218" t="s">
        <v>1121</v>
      </c>
      <c r="O218">
        <v>2614166808</v>
      </c>
      <c r="P218" t="s">
        <v>1890</v>
      </c>
      <c r="Q218" t="s">
        <v>1891</v>
      </c>
      <c r="R218" t="s">
        <v>1122</v>
      </c>
      <c r="S218">
        <v>2612159987</v>
      </c>
      <c r="T218" t="s">
        <v>1892</v>
      </c>
      <c r="U218" s="181">
        <v>2016</v>
      </c>
      <c r="W218" s="25"/>
      <c r="X218" s="25"/>
      <c r="Y218" s="25"/>
    </row>
    <row r="219" spans="1:28" ht="30" customHeight="1" x14ac:dyDescent="0.2">
      <c r="A219">
        <v>216</v>
      </c>
      <c r="B219" s="37">
        <v>500238900</v>
      </c>
      <c r="C219" s="25" t="s">
        <v>355</v>
      </c>
      <c r="D219" s="37" t="s">
        <v>142</v>
      </c>
      <c r="E219" s="25" t="s">
        <v>356</v>
      </c>
      <c r="F219" s="37" t="s">
        <v>142</v>
      </c>
      <c r="G219" s="25">
        <v>5501</v>
      </c>
      <c r="H219" s="25" t="s">
        <v>134</v>
      </c>
      <c r="I219" s="25" t="s">
        <v>976</v>
      </c>
      <c r="J219" t="s">
        <v>2491</v>
      </c>
      <c r="K219">
        <v>2617602800</v>
      </c>
      <c r="L219" t="s">
        <v>2492</v>
      </c>
      <c r="M219" t="s">
        <v>2493</v>
      </c>
      <c r="N219" t="s">
        <v>1121</v>
      </c>
      <c r="O219">
        <v>2615983753</v>
      </c>
      <c r="P219" t="s">
        <v>2494</v>
      </c>
      <c r="Q219" t="s">
        <v>2493</v>
      </c>
      <c r="R219" t="s">
        <v>1121</v>
      </c>
      <c r="S219">
        <v>2615933753</v>
      </c>
      <c r="T219" t="s">
        <v>2494</v>
      </c>
      <c r="U219" s="181">
        <v>2020</v>
      </c>
      <c r="W219" s="25"/>
      <c r="X219" s="25"/>
      <c r="Y219" s="25"/>
    </row>
    <row r="220" spans="1:28" ht="30" customHeight="1" x14ac:dyDescent="0.2">
      <c r="A220">
        <v>217</v>
      </c>
      <c r="B220" s="37">
        <v>540027900</v>
      </c>
      <c r="C220" s="25" t="s">
        <v>16</v>
      </c>
      <c r="D220" s="25" t="s">
        <v>143</v>
      </c>
      <c r="E220" s="25" t="s">
        <v>2522</v>
      </c>
      <c r="F220" s="25" t="s">
        <v>466</v>
      </c>
      <c r="G220" s="25">
        <v>3315</v>
      </c>
      <c r="H220" s="25" t="s">
        <v>134</v>
      </c>
      <c r="I220" s="25" t="s">
        <v>83</v>
      </c>
      <c r="J220" s="25" t="s">
        <v>730</v>
      </c>
      <c r="K220" s="25" t="s">
        <v>1481</v>
      </c>
      <c r="L220" s="25" t="s">
        <v>1482</v>
      </c>
      <c r="M220" s="25" t="s">
        <v>1483</v>
      </c>
      <c r="N220" s="25" t="s">
        <v>1121</v>
      </c>
      <c r="O220" s="25" t="s">
        <v>1484</v>
      </c>
      <c r="P220" s="25" t="s">
        <v>731</v>
      </c>
      <c r="Q220" s="25" t="s">
        <v>1485</v>
      </c>
      <c r="R220" s="25" t="s">
        <v>1122</v>
      </c>
      <c r="S220" s="25" t="s">
        <v>1486</v>
      </c>
      <c r="T220" s="25" t="s">
        <v>732</v>
      </c>
      <c r="U220" s="181">
        <v>2021</v>
      </c>
      <c r="W220" s="25"/>
      <c r="X220" s="25"/>
      <c r="Y220" s="25"/>
    </row>
    <row r="221" spans="1:28" ht="30" customHeight="1" x14ac:dyDescent="0.2">
      <c r="A221">
        <v>218</v>
      </c>
      <c r="B221" s="37">
        <v>540153300</v>
      </c>
      <c r="C221" s="25" t="s">
        <v>1542</v>
      </c>
      <c r="D221" s="25" t="s">
        <v>143</v>
      </c>
      <c r="E221" s="25" t="s">
        <v>152</v>
      </c>
      <c r="F221" s="25" t="s">
        <v>534</v>
      </c>
      <c r="G221" s="25">
        <v>3300</v>
      </c>
      <c r="H221" s="25" t="s">
        <v>134</v>
      </c>
      <c r="I221" s="25" t="s">
        <v>83</v>
      </c>
      <c r="J221" s="25" t="s">
        <v>1543</v>
      </c>
      <c r="K221" s="25">
        <v>3764835117</v>
      </c>
      <c r="L221" s="25" t="s">
        <v>735</v>
      </c>
      <c r="M221" s="25" t="s">
        <v>734</v>
      </c>
      <c r="N221" s="25" t="s">
        <v>1121</v>
      </c>
      <c r="O221" s="25">
        <v>3764376295</v>
      </c>
      <c r="P221" s="25" t="s">
        <v>735</v>
      </c>
      <c r="Q221" s="25" t="s">
        <v>1544</v>
      </c>
      <c r="R221" s="25" t="s">
        <v>1122</v>
      </c>
      <c r="S221" s="25">
        <v>3757404145</v>
      </c>
      <c r="T221" s="25" t="s">
        <v>1545</v>
      </c>
      <c r="U221" s="181">
        <v>2021</v>
      </c>
      <c r="W221" s="25"/>
      <c r="X221" s="25"/>
      <c r="Y221" s="25"/>
    </row>
    <row r="222" spans="1:28" ht="30" customHeight="1" x14ac:dyDescent="0.2">
      <c r="A222">
        <v>219</v>
      </c>
      <c r="B222" s="37">
        <v>540186600</v>
      </c>
      <c r="C222" s="25" t="s">
        <v>11</v>
      </c>
      <c r="D222" s="25" t="s">
        <v>143</v>
      </c>
      <c r="E222" s="25" t="s">
        <v>535</v>
      </c>
      <c r="F222" s="25" t="s">
        <v>1819</v>
      </c>
      <c r="G222" s="25">
        <v>3380</v>
      </c>
      <c r="H222" s="25" t="s">
        <v>134</v>
      </c>
      <c r="I222" s="25" t="s">
        <v>83</v>
      </c>
      <c r="J222" s="25" t="s">
        <v>1820</v>
      </c>
      <c r="K222" s="25">
        <v>3751613087</v>
      </c>
      <c r="L222" s="25" t="s">
        <v>1821</v>
      </c>
      <c r="M222" s="25" t="s">
        <v>1822</v>
      </c>
      <c r="N222" s="25" t="s">
        <v>1121</v>
      </c>
      <c r="O222" s="25">
        <v>3751613087</v>
      </c>
      <c r="P222" s="25" t="s">
        <v>1823</v>
      </c>
      <c r="Q222" s="25" t="s">
        <v>1824</v>
      </c>
      <c r="R222" s="25" t="s">
        <v>1119</v>
      </c>
      <c r="S222" s="25">
        <v>3515447071</v>
      </c>
      <c r="T222" s="25" t="s">
        <v>1825</v>
      </c>
      <c r="U222" s="181">
        <v>2021</v>
      </c>
      <c r="W222" s="25"/>
      <c r="X222" s="25"/>
      <c r="Y222" s="25"/>
    </row>
    <row r="223" spans="1:28" ht="30" customHeight="1" x14ac:dyDescent="0.2">
      <c r="A223">
        <v>220</v>
      </c>
      <c r="B223" s="37">
        <v>540207800</v>
      </c>
      <c r="C223" s="25" t="s">
        <v>689</v>
      </c>
      <c r="D223" s="25" t="s">
        <v>143</v>
      </c>
      <c r="E223" s="25" t="s">
        <v>152</v>
      </c>
      <c r="F223" s="25" t="s">
        <v>534</v>
      </c>
      <c r="G223" s="25">
        <v>3328</v>
      </c>
      <c r="H223" s="25" t="s">
        <v>82</v>
      </c>
      <c r="I223" s="25" t="s">
        <v>83</v>
      </c>
      <c r="J223" s="25" t="s">
        <v>1131</v>
      </c>
      <c r="K223" s="25">
        <v>3743527081</v>
      </c>
      <c r="L223" s="25" t="s">
        <v>736</v>
      </c>
      <c r="M223" s="25" t="s">
        <v>1132</v>
      </c>
      <c r="N223" s="25" t="s">
        <v>1121</v>
      </c>
      <c r="O223" s="25">
        <v>3743527081</v>
      </c>
      <c r="P223" s="25" t="s">
        <v>737</v>
      </c>
      <c r="Q223" s="25" t="s">
        <v>1133</v>
      </c>
      <c r="R223" s="25" t="s">
        <v>1122</v>
      </c>
      <c r="S223" s="25">
        <v>3764313514</v>
      </c>
      <c r="T223" s="25" t="s">
        <v>738</v>
      </c>
      <c r="U223" s="181">
        <v>2023</v>
      </c>
      <c r="W223" s="25"/>
      <c r="X223" s="25"/>
      <c r="Y223" s="25"/>
    </row>
    <row r="224" spans="1:28" ht="30" customHeight="1" x14ac:dyDescent="0.2">
      <c r="A224">
        <v>221</v>
      </c>
      <c r="B224" s="37">
        <v>580075500</v>
      </c>
      <c r="C224" s="25" t="s">
        <v>690</v>
      </c>
      <c r="D224" s="25" t="s">
        <v>144</v>
      </c>
      <c r="E224" s="25" t="s">
        <v>2523</v>
      </c>
      <c r="F224" s="25" t="s">
        <v>1488</v>
      </c>
      <c r="G224" s="25">
        <v>8318</v>
      </c>
      <c r="H224" s="25" t="s">
        <v>134</v>
      </c>
      <c r="I224" s="25" t="s">
        <v>83</v>
      </c>
      <c r="J224" s="25" t="s">
        <v>1489</v>
      </c>
      <c r="K224" s="25" t="s">
        <v>1490</v>
      </c>
      <c r="L224" s="25" t="s">
        <v>977</v>
      </c>
      <c r="M224" s="25" t="s">
        <v>1491</v>
      </c>
      <c r="N224" s="25" t="s">
        <v>1118</v>
      </c>
      <c r="O224" s="25">
        <v>2994592584</v>
      </c>
      <c r="P224" s="25" t="s">
        <v>978</v>
      </c>
      <c r="Q224" s="25" t="s">
        <v>1491</v>
      </c>
      <c r="R224" s="25" t="s">
        <v>1119</v>
      </c>
      <c r="S224" s="25">
        <v>2994592584</v>
      </c>
      <c r="T224" s="25" t="s">
        <v>978</v>
      </c>
      <c r="U224" s="181">
        <v>2016</v>
      </c>
      <c r="W224" s="25"/>
      <c r="X224" s="25"/>
      <c r="Y224" s="25"/>
      <c r="Z224" s="25"/>
      <c r="AB224" s="25"/>
    </row>
    <row r="225" spans="1:25" ht="30" customHeight="1" x14ac:dyDescent="0.2">
      <c r="A225">
        <v>222</v>
      </c>
      <c r="B225" s="37">
        <v>580108100</v>
      </c>
      <c r="C225" s="25" t="s">
        <v>578</v>
      </c>
      <c r="D225" s="25" t="s">
        <v>144</v>
      </c>
      <c r="E225" s="25" t="s">
        <v>2523</v>
      </c>
      <c r="F225" s="25" t="s">
        <v>2738</v>
      </c>
      <c r="G225" s="25">
        <v>8340</v>
      </c>
      <c r="H225" s="25" t="s">
        <v>134</v>
      </c>
      <c r="I225" s="25" t="s">
        <v>83</v>
      </c>
      <c r="J225" s="25" t="s">
        <v>1714</v>
      </c>
      <c r="K225" s="25" t="s">
        <v>1692</v>
      </c>
      <c r="L225" s="25" t="s">
        <v>1691</v>
      </c>
      <c r="M225" s="25" t="s">
        <v>1715</v>
      </c>
      <c r="N225" s="25" t="s">
        <v>1118</v>
      </c>
      <c r="O225" s="25" t="s">
        <v>1692</v>
      </c>
      <c r="P225" s="25" t="s">
        <v>1693</v>
      </c>
      <c r="Q225" s="25" t="s">
        <v>1715</v>
      </c>
      <c r="R225" s="25" t="s">
        <v>1119</v>
      </c>
      <c r="S225" s="25" t="s">
        <v>1692</v>
      </c>
      <c r="T225" s="25" t="s">
        <v>1693</v>
      </c>
      <c r="U225" s="181">
        <v>2023</v>
      </c>
      <c r="W225" s="25"/>
      <c r="X225" s="25"/>
      <c r="Y225" s="25"/>
    </row>
    <row r="226" spans="1:25" ht="30" customHeight="1" x14ac:dyDescent="0.2">
      <c r="A226">
        <v>223</v>
      </c>
      <c r="B226" s="37">
        <v>580131900</v>
      </c>
      <c r="C226" s="37" t="s">
        <v>2747</v>
      </c>
      <c r="D226" s="37" t="s">
        <v>144</v>
      </c>
      <c r="E226" s="37" t="s">
        <v>2523</v>
      </c>
      <c r="F226" s="37" t="s">
        <v>144</v>
      </c>
      <c r="G226" s="37">
        <v>8300</v>
      </c>
      <c r="H226" s="37" t="s">
        <v>82</v>
      </c>
      <c r="I226" s="25" t="s">
        <v>83</v>
      </c>
      <c r="J226" s="37" t="s">
        <v>2748</v>
      </c>
      <c r="K226" s="37">
        <v>2994494218</v>
      </c>
      <c r="L226" s="37" t="s">
        <v>2749</v>
      </c>
      <c r="M226" s="37" t="s">
        <v>2750</v>
      </c>
      <c r="N226" s="37" t="s">
        <v>1118</v>
      </c>
      <c r="P226" s="37" t="s">
        <v>2749</v>
      </c>
      <c r="Q226" s="37"/>
      <c r="R226" s="37"/>
      <c r="S226" s="37"/>
      <c r="T226" s="37"/>
      <c r="U226" s="181">
        <v>2024</v>
      </c>
      <c r="W226" s="25"/>
      <c r="X226" s="25"/>
      <c r="Y226" s="25"/>
    </row>
    <row r="227" spans="1:25" ht="30" customHeight="1" x14ac:dyDescent="0.2">
      <c r="A227">
        <v>224</v>
      </c>
      <c r="B227" s="37">
        <v>620100300</v>
      </c>
      <c r="C227" s="25" t="s">
        <v>433</v>
      </c>
      <c r="D227" s="25" t="s">
        <v>434</v>
      </c>
      <c r="E227" s="25" t="s">
        <v>125</v>
      </c>
      <c r="F227" s="25" t="s">
        <v>125</v>
      </c>
      <c r="G227" s="25">
        <v>8332</v>
      </c>
      <c r="H227" s="25" t="s">
        <v>134</v>
      </c>
      <c r="I227" s="25" t="s">
        <v>83</v>
      </c>
      <c r="J227" s="25" t="s">
        <v>1833</v>
      </c>
      <c r="K227" s="25">
        <v>2984122535</v>
      </c>
      <c r="L227" s="25" t="s">
        <v>1834</v>
      </c>
      <c r="M227" s="25" t="s">
        <v>1835</v>
      </c>
      <c r="N227" s="25" t="s">
        <v>1118</v>
      </c>
      <c r="O227" s="25">
        <v>2984336468</v>
      </c>
      <c r="P227" s="25" t="s">
        <v>970</v>
      </c>
      <c r="Q227" s="25" t="s">
        <v>1836</v>
      </c>
      <c r="R227" s="25" t="s">
        <v>1122</v>
      </c>
      <c r="S227" s="25">
        <v>2984883429</v>
      </c>
      <c r="T227" s="25" t="s">
        <v>1837</v>
      </c>
      <c r="U227" s="181">
        <v>2021</v>
      </c>
      <c r="W227" s="25"/>
      <c r="Y227" s="25"/>
    </row>
    <row r="228" spans="1:25" ht="30" customHeight="1" x14ac:dyDescent="0.2">
      <c r="A228">
        <v>225</v>
      </c>
      <c r="B228" s="37">
        <v>620100301</v>
      </c>
      <c r="C228" s="25" t="s">
        <v>484</v>
      </c>
      <c r="D228" s="25" t="s">
        <v>434</v>
      </c>
      <c r="E228" s="25" t="s">
        <v>510</v>
      </c>
      <c r="F228" s="25" t="s">
        <v>510</v>
      </c>
      <c r="G228" s="25">
        <v>8400</v>
      </c>
      <c r="H228" s="25" t="s">
        <v>134</v>
      </c>
      <c r="I228" s="25" t="s">
        <v>83</v>
      </c>
      <c r="J228" s="25" t="s">
        <v>1849</v>
      </c>
      <c r="L228" s="25" t="s">
        <v>1850</v>
      </c>
      <c r="M228" s="25" t="s">
        <v>1507</v>
      </c>
      <c r="N228" s="25" t="s">
        <v>1118</v>
      </c>
      <c r="O228" s="25" t="s">
        <v>1851</v>
      </c>
      <c r="P228" s="25" t="s">
        <v>970</v>
      </c>
      <c r="Q228" s="25" t="s">
        <v>1852</v>
      </c>
      <c r="R228" s="25" t="s">
        <v>1122</v>
      </c>
      <c r="S228" s="25" t="s">
        <v>1853</v>
      </c>
      <c r="T228" s="25" t="s">
        <v>1837</v>
      </c>
      <c r="U228" s="181">
        <v>2021</v>
      </c>
      <c r="W228" s="25"/>
      <c r="X228" s="25"/>
      <c r="Y228" s="25"/>
    </row>
    <row r="229" spans="1:25" ht="30" customHeight="1" x14ac:dyDescent="0.2">
      <c r="A229">
        <v>226</v>
      </c>
      <c r="B229" s="37">
        <v>620100302</v>
      </c>
      <c r="C229" s="25" t="s">
        <v>485</v>
      </c>
      <c r="D229" s="25" t="s">
        <v>434</v>
      </c>
      <c r="E229" s="25" t="s">
        <v>125</v>
      </c>
      <c r="F229" s="25" t="s">
        <v>1506</v>
      </c>
      <c r="G229" s="25">
        <v>8336</v>
      </c>
      <c r="H229" s="25" t="s">
        <v>134</v>
      </c>
      <c r="I229" s="25" t="s">
        <v>83</v>
      </c>
      <c r="J229" s="25" t="s">
        <v>971</v>
      </c>
      <c r="K229" s="25">
        <v>2984281131</v>
      </c>
      <c r="L229" s="25" t="s">
        <v>972</v>
      </c>
      <c r="M229" s="25" t="s">
        <v>1507</v>
      </c>
      <c r="N229" s="25" t="s">
        <v>1118</v>
      </c>
      <c r="O229" s="25">
        <v>2984336468</v>
      </c>
      <c r="P229" s="25" t="s">
        <v>970</v>
      </c>
      <c r="Q229" s="25" t="s">
        <v>1508</v>
      </c>
      <c r="R229" s="25" t="s">
        <v>1181</v>
      </c>
      <c r="S229" s="25">
        <v>2920658114</v>
      </c>
      <c r="T229" s="25" t="s">
        <v>1509</v>
      </c>
      <c r="U229" s="181">
        <v>2021</v>
      </c>
      <c r="W229" s="25"/>
      <c r="Y229" s="25"/>
    </row>
    <row r="230" spans="1:25" ht="30" customHeight="1" x14ac:dyDescent="0.2">
      <c r="A230">
        <v>227</v>
      </c>
      <c r="B230" s="37">
        <v>620100305</v>
      </c>
      <c r="C230" s="25" t="s">
        <v>486</v>
      </c>
      <c r="D230" s="25" t="s">
        <v>434</v>
      </c>
      <c r="E230" s="25" t="s">
        <v>125</v>
      </c>
      <c r="F230" s="25" t="s">
        <v>2126</v>
      </c>
      <c r="G230" s="25">
        <v>8303</v>
      </c>
      <c r="H230" s="25" t="s">
        <v>134</v>
      </c>
      <c r="I230" s="25" t="s">
        <v>83</v>
      </c>
      <c r="J230" s="25" t="s">
        <v>2127</v>
      </c>
      <c r="L230" s="25" t="s">
        <v>2128</v>
      </c>
      <c r="M230" s="25" t="s">
        <v>2129</v>
      </c>
      <c r="N230" s="25" t="s">
        <v>1118</v>
      </c>
      <c r="O230" s="25" t="s">
        <v>1851</v>
      </c>
      <c r="P230" s="25" t="s">
        <v>970</v>
      </c>
      <c r="Q230" s="25" t="s">
        <v>2130</v>
      </c>
      <c r="R230" s="25" t="s">
        <v>1122</v>
      </c>
      <c r="S230" s="25">
        <v>2984883429</v>
      </c>
      <c r="T230" s="25" t="s">
        <v>1837</v>
      </c>
      <c r="U230" s="181">
        <v>2021</v>
      </c>
      <c r="W230" s="25"/>
      <c r="X230" s="25"/>
      <c r="Y230" s="25"/>
    </row>
    <row r="231" spans="1:25" ht="30" customHeight="1" x14ac:dyDescent="0.2">
      <c r="A231">
        <v>228</v>
      </c>
      <c r="B231" s="37">
        <v>620100306</v>
      </c>
      <c r="C231" s="25" t="s">
        <v>487</v>
      </c>
      <c r="D231" s="25" t="s">
        <v>434</v>
      </c>
      <c r="E231" s="25" t="s">
        <v>2524</v>
      </c>
      <c r="F231" s="25" t="s">
        <v>1494</v>
      </c>
      <c r="G231" s="25">
        <v>8520</v>
      </c>
      <c r="H231" s="25" t="s">
        <v>134</v>
      </c>
      <c r="I231" s="25" t="s">
        <v>83</v>
      </c>
      <c r="J231" s="25" t="s">
        <v>1495</v>
      </c>
      <c r="K231" s="25">
        <v>2920614029</v>
      </c>
      <c r="L231" s="25" t="s">
        <v>973</v>
      </c>
      <c r="M231" s="25" t="s">
        <v>1496</v>
      </c>
      <c r="N231" s="25" t="s">
        <v>1126</v>
      </c>
      <c r="O231" s="25">
        <v>2920614029</v>
      </c>
      <c r="P231" s="25" t="s">
        <v>973</v>
      </c>
      <c r="Q231" s="25" t="s">
        <v>1497</v>
      </c>
      <c r="R231" s="25" t="s">
        <v>1181</v>
      </c>
      <c r="S231" s="25">
        <v>2920614029</v>
      </c>
      <c r="T231" s="25" t="s">
        <v>973</v>
      </c>
      <c r="U231" s="181">
        <v>2021</v>
      </c>
      <c r="W231" s="25"/>
      <c r="X231" s="25"/>
      <c r="Y231" s="25"/>
    </row>
    <row r="232" spans="1:25" ht="30" customHeight="1" x14ac:dyDescent="0.2">
      <c r="A232">
        <v>229</v>
      </c>
      <c r="B232" s="37">
        <v>660057600</v>
      </c>
      <c r="C232" s="25" t="s">
        <v>489</v>
      </c>
      <c r="D232" s="37" t="s">
        <v>145</v>
      </c>
      <c r="E232" s="25" t="s">
        <v>562</v>
      </c>
      <c r="F232" s="37" t="s">
        <v>1348</v>
      </c>
      <c r="G232" s="25">
        <v>4550</v>
      </c>
      <c r="H232" s="25" t="s">
        <v>82</v>
      </c>
      <c r="I232" s="25" t="s">
        <v>976</v>
      </c>
      <c r="J232" t="s">
        <v>1893</v>
      </c>
      <c r="K232">
        <v>3878688830</v>
      </c>
      <c r="L232" t="s">
        <v>1894</v>
      </c>
      <c r="M232" t="s">
        <v>1895</v>
      </c>
      <c r="N232" t="s">
        <v>1121</v>
      </c>
      <c r="O232">
        <v>3878688830</v>
      </c>
      <c r="P232" t="s">
        <v>1896</v>
      </c>
      <c r="Q232" t="s">
        <v>1895</v>
      </c>
      <c r="R232" t="s">
        <v>1121</v>
      </c>
      <c r="S232">
        <v>3878688830</v>
      </c>
      <c r="T232" t="s">
        <v>1896</v>
      </c>
      <c r="U232" s="181">
        <v>2022</v>
      </c>
      <c r="W232" s="25"/>
      <c r="X232" s="25"/>
      <c r="Y232" s="25"/>
    </row>
    <row r="233" spans="1:25" ht="30" customHeight="1" x14ac:dyDescent="0.2">
      <c r="A233">
        <v>230</v>
      </c>
      <c r="B233" s="37">
        <v>660063300</v>
      </c>
      <c r="C233" s="25" t="s">
        <v>691</v>
      </c>
      <c r="D233" s="25" t="s">
        <v>145</v>
      </c>
      <c r="E233" s="25" t="s">
        <v>152</v>
      </c>
      <c r="F233" s="25" t="s">
        <v>145</v>
      </c>
      <c r="G233" s="25">
        <v>4400</v>
      </c>
      <c r="H233" s="25" t="s">
        <v>134</v>
      </c>
      <c r="I233" s="25" t="s">
        <v>83</v>
      </c>
      <c r="J233" s="25" t="s">
        <v>853</v>
      </c>
      <c r="K233" s="25">
        <v>3874214433</v>
      </c>
      <c r="L233" s="25" t="s">
        <v>854</v>
      </c>
      <c r="M233" s="25" t="s">
        <v>1556</v>
      </c>
      <c r="N233" s="25" t="s">
        <v>1121</v>
      </c>
      <c r="O233" s="25">
        <v>3874022917</v>
      </c>
      <c r="P233" s="25" t="s">
        <v>854</v>
      </c>
      <c r="Q233" s="25" t="s">
        <v>855</v>
      </c>
      <c r="R233" s="25" t="s">
        <v>1272</v>
      </c>
      <c r="S233" s="25">
        <v>3875352871</v>
      </c>
      <c r="T233" s="25" t="s">
        <v>856</v>
      </c>
      <c r="U233" s="181">
        <v>2016</v>
      </c>
      <c r="W233" s="25"/>
      <c r="Y233" s="25"/>
    </row>
    <row r="234" spans="1:25" ht="30" customHeight="1" x14ac:dyDescent="0.2">
      <c r="A234">
        <v>231</v>
      </c>
      <c r="B234" s="37">
        <v>660117400</v>
      </c>
      <c r="C234" s="25" t="s">
        <v>490</v>
      </c>
      <c r="D234" s="25" t="s">
        <v>145</v>
      </c>
      <c r="E234" s="25" t="s">
        <v>152</v>
      </c>
      <c r="F234" s="25" t="s">
        <v>857</v>
      </c>
      <c r="G234" s="25">
        <v>4400</v>
      </c>
      <c r="H234" s="25" t="s">
        <v>134</v>
      </c>
      <c r="I234" s="25" t="s">
        <v>83</v>
      </c>
      <c r="J234" s="25" t="s">
        <v>1476</v>
      </c>
      <c r="K234" s="25">
        <v>3874872615</v>
      </c>
      <c r="L234" s="25" t="s">
        <v>858</v>
      </c>
      <c r="M234" s="25" t="s">
        <v>1477</v>
      </c>
      <c r="N234" s="25" t="s">
        <v>1121</v>
      </c>
      <c r="O234" s="25" t="s">
        <v>1478</v>
      </c>
      <c r="P234" s="25" t="s">
        <v>859</v>
      </c>
      <c r="Q234" s="25" t="s">
        <v>1479</v>
      </c>
      <c r="R234" s="25" t="s">
        <v>1122</v>
      </c>
      <c r="S234" s="25">
        <v>3874403056</v>
      </c>
      <c r="T234" s="25" t="s">
        <v>1480</v>
      </c>
      <c r="U234" s="181">
        <v>2021</v>
      </c>
      <c r="W234" s="25"/>
      <c r="X234" s="25"/>
      <c r="Y234" s="25"/>
    </row>
    <row r="235" spans="1:25" ht="30" customHeight="1" x14ac:dyDescent="0.2">
      <c r="A235">
        <v>232</v>
      </c>
      <c r="B235" s="37">
        <v>660117401</v>
      </c>
      <c r="C235" s="25" t="s">
        <v>491</v>
      </c>
      <c r="D235" s="25" t="s">
        <v>145</v>
      </c>
      <c r="E235" s="25" t="s">
        <v>562</v>
      </c>
      <c r="F235" s="25" t="s">
        <v>2739</v>
      </c>
      <c r="G235" s="25">
        <v>4560</v>
      </c>
      <c r="H235" s="25" t="s">
        <v>134</v>
      </c>
      <c r="I235" s="25" t="s">
        <v>83</v>
      </c>
      <c r="J235" s="25" t="s">
        <v>2109</v>
      </c>
      <c r="K235" s="25">
        <v>3874318963</v>
      </c>
      <c r="L235" s="25" t="s">
        <v>2106</v>
      </c>
      <c r="M235" s="25" t="s">
        <v>2095</v>
      </c>
      <c r="N235" s="25" t="s">
        <v>1121</v>
      </c>
      <c r="O235" s="25" t="s">
        <v>1478</v>
      </c>
      <c r="P235" s="25" t="s">
        <v>859</v>
      </c>
      <c r="Q235" s="25" t="s">
        <v>2110</v>
      </c>
      <c r="R235" s="25" t="s">
        <v>1122</v>
      </c>
      <c r="S235" s="25">
        <v>3873331961</v>
      </c>
      <c r="T235" s="25" t="s">
        <v>2111</v>
      </c>
      <c r="U235" s="181">
        <v>2021</v>
      </c>
      <c r="W235" s="25"/>
      <c r="X235" s="25"/>
      <c r="Y235" s="25"/>
    </row>
    <row r="236" spans="1:25" ht="30" customHeight="1" x14ac:dyDescent="0.2">
      <c r="A236">
        <v>233</v>
      </c>
      <c r="B236" s="37">
        <v>660117402</v>
      </c>
      <c r="C236" s="25" t="s">
        <v>492</v>
      </c>
      <c r="D236" s="25" t="s">
        <v>145</v>
      </c>
      <c r="E236" s="25" t="s">
        <v>2525</v>
      </c>
      <c r="F236" s="25" t="s">
        <v>2525</v>
      </c>
      <c r="G236" s="25">
        <v>4407</v>
      </c>
      <c r="H236" s="25" t="s">
        <v>134</v>
      </c>
      <c r="I236" s="25" t="s">
        <v>83</v>
      </c>
      <c r="J236" s="25" t="s">
        <v>2107</v>
      </c>
      <c r="K236" s="25">
        <v>3874318963</v>
      </c>
      <c r="L236" s="25" t="s">
        <v>2106</v>
      </c>
      <c r="M236" s="25" t="s">
        <v>2095</v>
      </c>
      <c r="N236" s="25" t="s">
        <v>1121</v>
      </c>
      <c r="O236" s="25" t="s">
        <v>1478</v>
      </c>
      <c r="P236" s="25" t="s">
        <v>859</v>
      </c>
      <c r="Q236" s="25" t="s">
        <v>2108</v>
      </c>
      <c r="R236" s="25" t="s">
        <v>1122</v>
      </c>
      <c r="S236" s="25">
        <v>3873875355099</v>
      </c>
      <c r="T236" s="25" t="s">
        <v>2106</v>
      </c>
      <c r="U236" s="181">
        <v>2021</v>
      </c>
      <c r="W236" s="25"/>
      <c r="X236" s="25"/>
      <c r="Y236" s="25"/>
    </row>
    <row r="237" spans="1:25" ht="30" customHeight="1" x14ac:dyDescent="0.2">
      <c r="A237">
        <v>234</v>
      </c>
      <c r="B237" s="37">
        <v>660117403</v>
      </c>
      <c r="C237" s="25" t="s">
        <v>493</v>
      </c>
      <c r="D237" s="25" t="s">
        <v>145</v>
      </c>
      <c r="E237" s="25" t="s">
        <v>2526</v>
      </c>
      <c r="F237" s="25" t="s">
        <v>2740</v>
      </c>
      <c r="G237" s="25">
        <v>4530</v>
      </c>
      <c r="H237" s="25" t="s">
        <v>134</v>
      </c>
      <c r="I237" s="25" t="s">
        <v>83</v>
      </c>
      <c r="J237" s="25" t="s">
        <v>2102</v>
      </c>
      <c r="K237" s="25">
        <v>3878645379</v>
      </c>
      <c r="L237" s="25" t="s">
        <v>2103</v>
      </c>
      <c r="M237" s="25" t="s">
        <v>2095</v>
      </c>
      <c r="N237" s="25" t="s">
        <v>1121</v>
      </c>
      <c r="O237" s="25" t="s">
        <v>1478</v>
      </c>
      <c r="P237" s="25" t="s">
        <v>859</v>
      </c>
      <c r="Q237" s="25" t="s">
        <v>2104</v>
      </c>
      <c r="R237" s="25" t="s">
        <v>1122</v>
      </c>
      <c r="S237" s="25" t="s">
        <v>2105</v>
      </c>
      <c r="T237" s="25" t="s">
        <v>2106</v>
      </c>
      <c r="U237" s="181">
        <v>2021</v>
      </c>
      <c r="W237" s="25"/>
      <c r="Y237" s="25"/>
    </row>
    <row r="238" spans="1:25" ht="30" customHeight="1" x14ac:dyDescent="0.2">
      <c r="A238">
        <v>235</v>
      </c>
      <c r="B238" s="37">
        <v>660117404</v>
      </c>
      <c r="C238" s="25" t="s">
        <v>494</v>
      </c>
      <c r="D238" s="25" t="s">
        <v>145</v>
      </c>
      <c r="E238" s="25" t="s">
        <v>326</v>
      </c>
      <c r="F238" s="25" t="s">
        <v>2098</v>
      </c>
      <c r="G238" s="25">
        <v>4430</v>
      </c>
      <c r="H238" s="25" t="s">
        <v>134</v>
      </c>
      <c r="I238" s="25" t="s">
        <v>83</v>
      </c>
      <c r="J238" s="25" t="s">
        <v>2099</v>
      </c>
      <c r="K238" s="25">
        <v>3874872615</v>
      </c>
      <c r="L238" s="25" t="s">
        <v>2100</v>
      </c>
      <c r="M238" s="25" t="s">
        <v>2095</v>
      </c>
      <c r="N238" s="25" t="s">
        <v>1121</v>
      </c>
      <c r="O238" s="25" t="s">
        <v>1478</v>
      </c>
      <c r="P238" s="25" t="s">
        <v>859</v>
      </c>
      <c r="Q238" s="25" t="s">
        <v>2101</v>
      </c>
      <c r="R238" s="25" t="s">
        <v>1122</v>
      </c>
      <c r="S238" s="25">
        <v>3874691256</v>
      </c>
      <c r="T238" s="25" t="s">
        <v>2100</v>
      </c>
      <c r="U238" s="181">
        <v>2021</v>
      </c>
      <c r="W238" s="25"/>
      <c r="X238" s="25"/>
      <c r="Y238" s="25"/>
    </row>
    <row r="239" spans="1:25" ht="30" customHeight="1" x14ac:dyDescent="0.2">
      <c r="A239">
        <v>236</v>
      </c>
      <c r="B239" s="37">
        <v>660117405</v>
      </c>
      <c r="C239" s="25" t="s">
        <v>495</v>
      </c>
      <c r="D239" s="25" t="s">
        <v>145</v>
      </c>
      <c r="E239" s="25" t="s">
        <v>2527</v>
      </c>
      <c r="F239" s="25" t="s">
        <v>857</v>
      </c>
      <c r="G239" s="25">
        <v>4448</v>
      </c>
      <c r="H239" s="25" t="s">
        <v>134</v>
      </c>
      <c r="I239" s="25" t="s">
        <v>83</v>
      </c>
      <c r="J239" s="25" t="s">
        <v>2094</v>
      </c>
      <c r="K239" s="25">
        <v>3874872615</v>
      </c>
      <c r="L239" s="25" t="s">
        <v>858</v>
      </c>
      <c r="M239" s="25" t="s">
        <v>2095</v>
      </c>
      <c r="N239" s="25" t="s">
        <v>1121</v>
      </c>
      <c r="O239" s="25" t="s">
        <v>1478</v>
      </c>
      <c r="P239" s="25" t="s">
        <v>859</v>
      </c>
      <c r="Q239" s="25" t="s">
        <v>2096</v>
      </c>
      <c r="R239" s="25" t="s">
        <v>1122</v>
      </c>
      <c r="S239" s="25">
        <v>3877473313</v>
      </c>
      <c r="T239" s="25" t="s">
        <v>2097</v>
      </c>
      <c r="U239" s="181">
        <v>2021</v>
      </c>
      <c r="W239" s="25"/>
      <c r="Y239" s="25"/>
    </row>
    <row r="240" spans="1:25" ht="30" customHeight="1" x14ac:dyDescent="0.2">
      <c r="A240">
        <v>237</v>
      </c>
      <c r="B240" s="37">
        <v>660117408</v>
      </c>
      <c r="C240" s="25" t="s">
        <v>496</v>
      </c>
      <c r="D240" s="25" t="s">
        <v>145</v>
      </c>
      <c r="E240" s="25" t="s">
        <v>2528</v>
      </c>
      <c r="F240" s="25" t="s">
        <v>857</v>
      </c>
      <c r="G240" s="25">
        <v>4421</v>
      </c>
      <c r="H240" s="25" t="s">
        <v>134</v>
      </c>
      <c r="I240" s="25" t="s">
        <v>83</v>
      </c>
      <c r="J240" s="25" t="s">
        <v>2085</v>
      </c>
      <c r="K240" s="25">
        <v>3874872615</v>
      </c>
      <c r="L240" s="25" t="s">
        <v>858</v>
      </c>
      <c r="M240" s="25" t="s">
        <v>2082</v>
      </c>
      <c r="N240" s="25" t="s">
        <v>1121</v>
      </c>
      <c r="O240" s="25" t="s">
        <v>1478</v>
      </c>
      <c r="P240" s="25" t="s">
        <v>859</v>
      </c>
      <c r="Q240" s="25" t="s">
        <v>2086</v>
      </c>
      <c r="R240" s="25" t="s">
        <v>1122</v>
      </c>
      <c r="S240" s="25">
        <v>3874203510</v>
      </c>
      <c r="T240" s="25" t="s">
        <v>2087</v>
      </c>
      <c r="U240" s="181">
        <v>2021</v>
      </c>
      <c r="W240" s="25"/>
      <c r="X240" s="25"/>
      <c r="Y240" s="25"/>
    </row>
    <row r="241" spans="1:28" ht="30" customHeight="1" x14ac:dyDescent="0.2">
      <c r="A241">
        <v>238</v>
      </c>
      <c r="B241" s="37">
        <v>660117410</v>
      </c>
      <c r="C241" s="25" t="s">
        <v>497</v>
      </c>
      <c r="D241" s="25" t="s">
        <v>145</v>
      </c>
      <c r="E241" s="25" t="s">
        <v>2529</v>
      </c>
      <c r="F241" s="25" t="s">
        <v>857</v>
      </c>
      <c r="G241" s="25">
        <v>4190</v>
      </c>
      <c r="H241" s="25" t="s">
        <v>134</v>
      </c>
      <c r="I241" s="25" t="s">
        <v>83</v>
      </c>
      <c r="J241" s="25" t="s">
        <v>2081</v>
      </c>
      <c r="K241" s="25">
        <v>3874872615</v>
      </c>
      <c r="L241" s="25" t="s">
        <v>858</v>
      </c>
      <c r="M241" s="25" t="s">
        <v>2082</v>
      </c>
      <c r="N241" s="25" t="s">
        <v>1121</v>
      </c>
      <c r="O241" s="25" t="s">
        <v>1478</v>
      </c>
      <c r="P241" s="25" t="s">
        <v>859</v>
      </c>
      <c r="Q241" s="25" t="s">
        <v>2083</v>
      </c>
      <c r="R241" s="25" t="s">
        <v>1122</v>
      </c>
      <c r="S241" s="25">
        <v>3876407754</v>
      </c>
      <c r="T241" s="25" t="s">
        <v>2084</v>
      </c>
      <c r="U241" s="181">
        <v>2021</v>
      </c>
      <c r="W241" s="25"/>
      <c r="X241" s="25"/>
      <c r="Y241" s="25"/>
    </row>
    <row r="242" spans="1:28" ht="30" customHeight="1" x14ac:dyDescent="0.2">
      <c r="A242">
        <v>239</v>
      </c>
      <c r="B242" s="37">
        <v>660150700</v>
      </c>
      <c r="C242" s="25" t="s">
        <v>457</v>
      </c>
      <c r="D242" s="25" t="s">
        <v>145</v>
      </c>
      <c r="E242" s="25" t="s">
        <v>458</v>
      </c>
      <c r="F242" s="25" t="s">
        <v>458</v>
      </c>
      <c r="G242" s="25">
        <v>4417</v>
      </c>
      <c r="H242" s="25" t="s">
        <v>82</v>
      </c>
      <c r="I242" s="25" t="s">
        <v>83</v>
      </c>
      <c r="J242" s="25" t="s">
        <v>1123</v>
      </c>
      <c r="K242" s="25" t="s">
        <v>1124</v>
      </c>
      <c r="L242" s="25" t="s">
        <v>860</v>
      </c>
      <c r="M242" s="25" t="s">
        <v>1125</v>
      </c>
      <c r="N242" s="25" t="s">
        <v>1126</v>
      </c>
      <c r="O242" s="25" t="s">
        <v>1124</v>
      </c>
      <c r="P242" s="25" t="s">
        <v>1127</v>
      </c>
      <c r="Q242" s="25" t="s">
        <v>1128</v>
      </c>
      <c r="R242" s="25" t="s">
        <v>590</v>
      </c>
      <c r="S242" s="25" t="s">
        <v>1129</v>
      </c>
      <c r="T242" s="25" t="s">
        <v>1130</v>
      </c>
      <c r="U242" s="181">
        <v>2022</v>
      </c>
      <c r="W242" s="25"/>
      <c r="X242" s="25"/>
      <c r="Y242" s="25"/>
    </row>
    <row r="243" spans="1:28" ht="30" customHeight="1" x14ac:dyDescent="0.2">
      <c r="A243">
        <v>240</v>
      </c>
      <c r="B243" s="37">
        <v>820017501</v>
      </c>
      <c r="C243" s="25" t="s">
        <v>1102</v>
      </c>
      <c r="D243" s="25" t="s">
        <v>97</v>
      </c>
      <c r="E243" s="25" t="s">
        <v>302</v>
      </c>
      <c r="F243" s="25" t="s">
        <v>1826</v>
      </c>
      <c r="G243" s="25">
        <v>3044</v>
      </c>
      <c r="H243" s="25" t="s">
        <v>134</v>
      </c>
      <c r="I243" s="25" t="s">
        <v>976</v>
      </c>
      <c r="J243" s="25" t="s">
        <v>1827</v>
      </c>
      <c r="K243" s="25">
        <v>3498431647</v>
      </c>
      <c r="L243" s="25" t="s">
        <v>1828</v>
      </c>
      <c r="M243" s="25" t="s">
        <v>1829</v>
      </c>
      <c r="N243" s="25" t="s">
        <v>1118</v>
      </c>
      <c r="O243" s="25">
        <v>3425352199</v>
      </c>
      <c r="P243" s="25" t="s">
        <v>1830</v>
      </c>
      <c r="Q243" s="25" t="s">
        <v>1831</v>
      </c>
      <c r="R243" s="25" t="s">
        <v>590</v>
      </c>
      <c r="S243" s="25">
        <v>3498434167</v>
      </c>
      <c r="T243" s="25" t="s">
        <v>1832</v>
      </c>
      <c r="U243" s="181">
        <v>2023</v>
      </c>
      <c r="W243" s="25"/>
      <c r="X243" s="25"/>
      <c r="Y243" s="25"/>
    </row>
    <row r="244" spans="1:28" ht="30" customHeight="1" x14ac:dyDescent="0.2">
      <c r="A244">
        <v>241</v>
      </c>
      <c r="B244" s="37">
        <v>820033500</v>
      </c>
      <c r="C244" s="25" t="s">
        <v>498</v>
      </c>
      <c r="D244" s="25" t="s">
        <v>97</v>
      </c>
      <c r="E244" s="25" t="s">
        <v>302</v>
      </c>
      <c r="F244" s="25" t="s">
        <v>302</v>
      </c>
      <c r="G244" s="25">
        <v>3040</v>
      </c>
      <c r="H244" s="25" t="s">
        <v>82</v>
      </c>
      <c r="I244" s="25" t="s">
        <v>976</v>
      </c>
      <c r="J244" s="25" t="s">
        <v>1136</v>
      </c>
      <c r="K244" s="25" t="s">
        <v>1137</v>
      </c>
      <c r="L244" s="25" t="s">
        <v>1138</v>
      </c>
      <c r="M244" s="25" t="s">
        <v>1139</v>
      </c>
      <c r="N244" s="25" t="s">
        <v>1118</v>
      </c>
      <c r="O244" s="25" t="s">
        <v>1140</v>
      </c>
      <c r="P244" s="25" t="s">
        <v>1138</v>
      </c>
      <c r="Q244" s="25" t="s">
        <v>1141</v>
      </c>
      <c r="R244" s="25" t="s">
        <v>1122</v>
      </c>
      <c r="S244" s="25" t="s">
        <v>1142</v>
      </c>
      <c r="T244" s="25" t="s">
        <v>932</v>
      </c>
      <c r="U244" s="181">
        <v>2022</v>
      </c>
      <c r="W244" s="25"/>
      <c r="X244" s="25"/>
      <c r="Y244" s="25"/>
    </row>
    <row r="245" spans="1:28" ht="30" customHeight="1" x14ac:dyDescent="0.2">
      <c r="A245">
        <v>242</v>
      </c>
      <c r="B245" s="37">
        <v>820061900</v>
      </c>
      <c r="C245" s="25" t="s">
        <v>499</v>
      </c>
      <c r="D245" s="25" t="s">
        <v>97</v>
      </c>
      <c r="E245" s="25" t="s">
        <v>377</v>
      </c>
      <c r="F245" s="25" t="s">
        <v>2698</v>
      </c>
      <c r="G245" s="25">
        <v>2206</v>
      </c>
      <c r="H245" s="25" t="s">
        <v>134</v>
      </c>
      <c r="I245" s="25" t="s">
        <v>83</v>
      </c>
      <c r="J245" s="25" t="s">
        <v>933</v>
      </c>
      <c r="K245" s="25" t="s">
        <v>1639</v>
      </c>
      <c r="L245" s="25" t="s">
        <v>934</v>
      </c>
      <c r="M245" s="25" t="s">
        <v>1640</v>
      </c>
      <c r="N245" s="25" t="s">
        <v>1121</v>
      </c>
      <c r="O245" s="25" t="s">
        <v>1641</v>
      </c>
      <c r="P245" s="25" t="s">
        <v>935</v>
      </c>
      <c r="Q245" s="25" t="s">
        <v>1640</v>
      </c>
      <c r="R245" s="25" t="s">
        <v>1121</v>
      </c>
      <c r="S245" s="25" t="s">
        <v>1641</v>
      </c>
      <c r="T245" s="25" t="s">
        <v>935</v>
      </c>
      <c r="U245" s="181">
        <v>2021</v>
      </c>
      <c r="W245" s="25"/>
      <c r="Y245" s="25"/>
    </row>
    <row r="246" spans="1:28" ht="30" customHeight="1" x14ac:dyDescent="0.2">
      <c r="A246">
        <v>243</v>
      </c>
      <c r="B246" s="37">
        <v>820061901</v>
      </c>
      <c r="C246" s="25" t="s">
        <v>500</v>
      </c>
      <c r="D246" s="25" t="s">
        <v>97</v>
      </c>
      <c r="E246" s="25" t="s">
        <v>364</v>
      </c>
      <c r="F246" s="25" t="s">
        <v>364</v>
      </c>
      <c r="G246" s="25">
        <v>2000</v>
      </c>
      <c r="H246" s="25" t="s">
        <v>134</v>
      </c>
      <c r="I246" s="25" t="s">
        <v>83</v>
      </c>
      <c r="J246" s="25" t="s">
        <v>1642</v>
      </c>
      <c r="K246" s="25" t="s">
        <v>1643</v>
      </c>
      <c r="L246" s="25" t="s">
        <v>934</v>
      </c>
      <c r="M246" s="25" t="s">
        <v>936</v>
      </c>
      <c r="N246" s="25" t="s">
        <v>803</v>
      </c>
      <c r="O246" s="25" t="s">
        <v>1644</v>
      </c>
      <c r="P246" s="25" t="s">
        <v>937</v>
      </c>
      <c r="Q246" s="25" t="s">
        <v>1640</v>
      </c>
      <c r="R246" s="25" t="s">
        <v>1121</v>
      </c>
      <c r="S246" s="25" t="s">
        <v>1641</v>
      </c>
      <c r="T246" s="25" t="s">
        <v>935</v>
      </c>
      <c r="U246" s="181">
        <v>2021</v>
      </c>
      <c r="W246" s="25"/>
      <c r="X246" s="25"/>
      <c r="Y246" s="25"/>
    </row>
    <row r="247" spans="1:28" ht="30" customHeight="1" x14ac:dyDescent="0.2">
      <c r="A247">
        <v>244</v>
      </c>
      <c r="B247" s="37">
        <v>820104900</v>
      </c>
      <c r="C247" s="25" t="s">
        <v>357</v>
      </c>
      <c r="D247" s="25" t="s">
        <v>97</v>
      </c>
      <c r="E247" s="25" t="s">
        <v>2530</v>
      </c>
      <c r="F247" s="25" t="s">
        <v>358</v>
      </c>
      <c r="G247" s="25">
        <v>3580</v>
      </c>
      <c r="H247" s="25" t="s">
        <v>134</v>
      </c>
      <c r="I247" s="25" t="s">
        <v>976</v>
      </c>
      <c r="J247" s="25" t="s">
        <v>579</v>
      </c>
      <c r="K247" s="25" t="s">
        <v>1723</v>
      </c>
      <c r="L247" s="25" t="s">
        <v>580</v>
      </c>
      <c r="M247" s="25" t="s">
        <v>1724</v>
      </c>
      <c r="N247" s="25" t="s">
        <v>1118</v>
      </c>
      <c r="O247" s="25">
        <v>3482641554</v>
      </c>
      <c r="P247" s="25" t="s">
        <v>581</v>
      </c>
      <c r="Q247" s="25" t="s">
        <v>1725</v>
      </c>
      <c r="R247" s="25" t="s">
        <v>1122</v>
      </c>
      <c r="S247" s="25">
        <v>3482655187</v>
      </c>
      <c r="T247" s="25" t="s">
        <v>582</v>
      </c>
      <c r="U247" s="181">
        <v>2020</v>
      </c>
      <c r="W247" s="25"/>
      <c r="Y247" s="25"/>
    </row>
    <row r="248" spans="1:28" ht="30" customHeight="1" x14ac:dyDescent="0.2">
      <c r="A248">
        <v>245</v>
      </c>
      <c r="B248" s="37">
        <v>820188400</v>
      </c>
      <c r="C248" s="25" t="s">
        <v>1694</v>
      </c>
      <c r="D248" s="25" t="s">
        <v>97</v>
      </c>
      <c r="E248" s="25" t="s">
        <v>98</v>
      </c>
      <c r="F248" s="25" t="s">
        <v>97</v>
      </c>
      <c r="G248" s="25">
        <v>3000</v>
      </c>
      <c r="H248" s="25" t="s">
        <v>134</v>
      </c>
      <c r="I248" s="25" t="s">
        <v>83</v>
      </c>
      <c r="J248" s="25" t="s">
        <v>1695</v>
      </c>
      <c r="K248" s="25" t="s">
        <v>1696</v>
      </c>
      <c r="L248" s="25" t="s">
        <v>899</v>
      </c>
      <c r="M248" s="25" t="s">
        <v>900</v>
      </c>
      <c r="N248" s="25" t="s">
        <v>1121</v>
      </c>
      <c r="O248" s="25" t="s">
        <v>1697</v>
      </c>
      <c r="P248" s="25" t="s">
        <v>901</v>
      </c>
      <c r="Q248" s="25" t="s">
        <v>900</v>
      </c>
      <c r="R248" s="25" t="s">
        <v>1121</v>
      </c>
      <c r="S248" s="25" t="s">
        <v>1697</v>
      </c>
      <c r="T248" s="25" t="s">
        <v>901</v>
      </c>
      <c r="U248" s="181">
        <v>2016</v>
      </c>
      <c r="W248" s="25"/>
      <c r="Y248" s="25"/>
    </row>
    <row r="249" spans="1:28" ht="30" customHeight="1" x14ac:dyDescent="0.2">
      <c r="A249">
        <v>246</v>
      </c>
      <c r="B249" s="37">
        <v>820188401</v>
      </c>
      <c r="C249" s="25" t="s">
        <v>692</v>
      </c>
      <c r="D249" s="25" t="s">
        <v>97</v>
      </c>
      <c r="E249" s="25" t="s">
        <v>359</v>
      </c>
      <c r="F249" s="25" t="s">
        <v>360</v>
      </c>
      <c r="G249" s="25">
        <v>3080</v>
      </c>
      <c r="H249" s="25" t="s">
        <v>134</v>
      </c>
      <c r="I249" s="25" t="s">
        <v>83</v>
      </c>
      <c r="J249" s="25" t="s">
        <v>1616</v>
      </c>
      <c r="K249" s="25" t="s">
        <v>1617</v>
      </c>
      <c r="L249" s="25" t="s">
        <v>902</v>
      </c>
      <c r="M249" s="25" t="s">
        <v>1618</v>
      </c>
      <c r="N249" s="25" t="s">
        <v>1121</v>
      </c>
      <c r="O249" s="25" t="s">
        <v>1619</v>
      </c>
      <c r="P249" s="25" t="s">
        <v>901</v>
      </c>
      <c r="Q249" s="25" t="s">
        <v>903</v>
      </c>
      <c r="R249" s="25" t="s">
        <v>1272</v>
      </c>
      <c r="S249" s="25" t="s">
        <v>1620</v>
      </c>
      <c r="T249" s="25" t="s">
        <v>904</v>
      </c>
      <c r="U249" s="181">
        <v>2016</v>
      </c>
      <c r="W249" s="25"/>
      <c r="X249" s="25"/>
      <c r="Y249" s="25"/>
      <c r="Z249" s="25"/>
      <c r="AB249" s="25"/>
    </row>
    <row r="250" spans="1:28" ht="30" customHeight="1" x14ac:dyDescent="0.2">
      <c r="A250">
        <v>247</v>
      </c>
      <c r="B250" s="37">
        <v>820188402</v>
      </c>
      <c r="C250" s="25" t="s">
        <v>583</v>
      </c>
      <c r="D250" s="25" t="s">
        <v>97</v>
      </c>
      <c r="E250" s="25" t="s">
        <v>361</v>
      </c>
      <c r="F250" s="25" t="s">
        <v>1645</v>
      </c>
      <c r="G250" s="25">
        <v>3070</v>
      </c>
      <c r="H250" s="25" t="s">
        <v>134</v>
      </c>
      <c r="I250" s="25" t="s">
        <v>83</v>
      </c>
      <c r="J250" s="25" t="s">
        <v>1646</v>
      </c>
      <c r="K250" s="25" t="s">
        <v>1647</v>
      </c>
      <c r="L250" s="25" t="s">
        <v>584</v>
      </c>
      <c r="M250" s="25" t="s">
        <v>1648</v>
      </c>
      <c r="N250" s="25" t="s">
        <v>1121</v>
      </c>
      <c r="O250" s="25" t="s">
        <v>1649</v>
      </c>
      <c r="P250" s="25" t="s">
        <v>585</v>
      </c>
      <c r="Q250" s="25" t="s">
        <v>1648</v>
      </c>
      <c r="R250" s="25" t="s">
        <v>1272</v>
      </c>
      <c r="S250" s="25" t="s">
        <v>1649</v>
      </c>
      <c r="T250" s="25" t="s">
        <v>585</v>
      </c>
      <c r="U250" s="181">
        <v>2016</v>
      </c>
      <c r="W250" s="25"/>
      <c r="X250" s="25"/>
      <c r="Y250" s="25"/>
    </row>
    <row r="251" spans="1:28" ht="30" customHeight="1" x14ac:dyDescent="0.2">
      <c r="A251">
        <v>248</v>
      </c>
      <c r="B251" s="37">
        <v>820208400</v>
      </c>
      <c r="C251" s="25" t="s">
        <v>501</v>
      </c>
      <c r="D251" s="25" t="s">
        <v>97</v>
      </c>
      <c r="E251" s="25" t="s">
        <v>508</v>
      </c>
      <c r="F251" s="25" t="s">
        <v>511</v>
      </c>
      <c r="G251" s="25">
        <v>3060</v>
      </c>
      <c r="H251" s="25" t="s">
        <v>82</v>
      </c>
      <c r="I251" s="25" t="s">
        <v>976</v>
      </c>
      <c r="J251" s="25" t="s">
        <v>1213</v>
      </c>
      <c r="K251" s="25" t="s">
        <v>1214</v>
      </c>
      <c r="L251" s="25" t="s">
        <v>1215</v>
      </c>
      <c r="M251" s="25" t="s">
        <v>1216</v>
      </c>
      <c r="N251" s="25" t="s">
        <v>1118</v>
      </c>
      <c r="O251" s="25">
        <v>3491508042</v>
      </c>
      <c r="P251" s="25" t="s">
        <v>1217</v>
      </c>
      <c r="Q251" s="25" t="s">
        <v>1218</v>
      </c>
      <c r="R251" s="25" t="s">
        <v>1122</v>
      </c>
      <c r="S251" s="25">
        <v>3491419190</v>
      </c>
      <c r="T251" s="25" t="s">
        <v>905</v>
      </c>
      <c r="U251" s="181">
        <v>2022</v>
      </c>
      <c r="W251" s="25"/>
      <c r="X251" s="25"/>
      <c r="Y251" s="25"/>
    </row>
    <row r="252" spans="1:28" ht="30" customHeight="1" x14ac:dyDescent="0.2">
      <c r="A252">
        <v>249</v>
      </c>
      <c r="B252" s="37">
        <v>820240200</v>
      </c>
      <c r="C252" s="25" t="s">
        <v>693</v>
      </c>
      <c r="D252" s="25" t="s">
        <v>97</v>
      </c>
      <c r="E252" s="25" t="s">
        <v>362</v>
      </c>
      <c r="F252" s="25" t="s">
        <v>363</v>
      </c>
      <c r="G252" s="25">
        <v>6100</v>
      </c>
      <c r="H252" s="25" t="s">
        <v>82</v>
      </c>
      <c r="I252" s="25" t="s">
        <v>976</v>
      </c>
      <c r="J252" s="25" t="s">
        <v>906</v>
      </c>
      <c r="K252" s="25" t="s">
        <v>1239</v>
      </c>
      <c r="L252" s="25" t="s">
        <v>1240</v>
      </c>
      <c r="M252" s="25" t="s">
        <v>1241</v>
      </c>
      <c r="N252" s="25" t="s">
        <v>803</v>
      </c>
      <c r="O252" s="25" t="s">
        <v>1242</v>
      </c>
      <c r="P252" s="25" t="s">
        <v>1240</v>
      </c>
      <c r="Q252" s="25" t="s">
        <v>1243</v>
      </c>
      <c r="R252" s="25" t="s">
        <v>1151</v>
      </c>
      <c r="S252" s="25" t="s">
        <v>1244</v>
      </c>
      <c r="T252" s="25" t="s">
        <v>1240</v>
      </c>
      <c r="U252" s="181">
        <v>2016</v>
      </c>
      <c r="W252" s="25"/>
      <c r="X252" s="25"/>
      <c r="Y252" s="25"/>
    </row>
    <row r="253" spans="1:28" ht="30" customHeight="1" x14ac:dyDescent="0.2">
      <c r="A253">
        <v>250</v>
      </c>
      <c r="B253" s="37">
        <v>820250700</v>
      </c>
      <c r="C253" s="25" t="s">
        <v>694</v>
      </c>
      <c r="D253" s="25" t="s">
        <v>97</v>
      </c>
      <c r="E253" s="25" t="s">
        <v>364</v>
      </c>
      <c r="F253" s="25" t="s">
        <v>364</v>
      </c>
      <c r="G253" s="25">
        <v>2000</v>
      </c>
      <c r="H253" s="25" t="s">
        <v>134</v>
      </c>
      <c r="I253" s="25" t="s">
        <v>83</v>
      </c>
      <c r="J253" s="25" t="s">
        <v>907</v>
      </c>
      <c r="K253" s="25" t="s">
        <v>1684</v>
      </c>
      <c r="L253" s="25" t="s">
        <v>1685</v>
      </c>
      <c r="M253" s="25" t="s">
        <v>1686</v>
      </c>
      <c r="N253" s="25" t="s">
        <v>1118</v>
      </c>
      <c r="O253" s="25">
        <v>3415026259</v>
      </c>
      <c r="P253" s="25" t="s">
        <v>1685</v>
      </c>
      <c r="Q253" s="25" t="s">
        <v>1686</v>
      </c>
      <c r="R253" s="25" t="s">
        <v>1119</v>
      </c>
      <c r="S253" s="25">
        <v>3415026259</v>
      </c>
      <c r="T253" s="25" t="s">
        <v>1685</v>
      </c>
      <c r="U253" s="181">
        <v>2016</v>
      </c>
      <c r="W253" s="25"/>
      <c r="Y253" s="25"/>
    </row>
    <row r="254" spans="1:28" ht="30" customHeight="1" x14ac:dyDescent="0.2">
      <c r="A254">
        <v>251</v>
      </c>
      <c r="B254" s="37">
        <v>820252400</v>
      </c>
      <c r="C254" s="25" t="s">
        <v>365</v>
      </c>
      <c r="D254" s="25" t="s">
        <v>97</v>
      </c>
      <c r="E254" s="25" t="s">
        <v>364</v>
      </c>
      <c r="F254" s="25" t="s">
        <v>364</v>
      </c>
      <c r="G254" s="25">
        <v>2000</v>
      </c>
      <c r="H254" s="25" t="s">
        <v>82</v>
      </c>
      <c r="I254" s="25" t="s">
        <v>83</v>
      </c>
      <c r="J254" s="25" t="s">
        <v>1232</v>
      </c>
      <c r="K254" s="25">
        <v>3412159482</v>
      </c>
      <c r="L254" s="25" t="s">
        <v>1233</v>
      </c>
      <c r="M254" s="25" t="s">
        <v>1234</v>
      </c>
      <c r="N254" s="25" t="s">
        <v>1118</v>
      </c>
      <c r="O254" s="25" t="s">
        <v>1235</v>
      </c>
      <c r="P254" s="25" t="s">
        <v>1233</v>
      </c>
      <c r="Q254" s="25" t="s">
        <v>1236</v>
      </c>
      <c r="R254" s="25" t="s">
        <v>1119</v>
      </c>
      <c r="S254" s="25" t="s">
        <v>1237</v>
      </c>
      <c r="T254" s="25" t="s">
        <v>1238</v>
      </c>
      <c r="U254" s="181">
        <v>2016</v>
      </c>
      <c r="W254" s="25"/>
      <c r="X254" s="25"/>
      <c r="Y254" s="25"/>
    </row>
    <row r="255" spans="1:28" ht="30" customHeight="1" x14ac:dyDescent="0.2">
      <c r="A255">
        <v>252</v>
      </c>
      <c r="B255" s="37">
        <v>820375600</v>
      </c>
      <c r="C255" s="25" t="s">
        <v>503</v>
      </c>
      <c r="D255" s="25" t="s">
        <v>97</v>
      </c>
      <c r="E255" s="25" t="s">
        <v>372</v>
      </c>
      <c r="F255" s="25" t="s">
        <v>373</v>
      </c>
      <c r="G255" s="25">
        <v>2300</v>
      </c>
      <c r="H255" s="25" t="s">
        <v>82</v>
      </c>
      <c r="I255" s="25" t="s">
        <v>976</v>
      </c>
      <c r="J255" s="25" t="s">
        <v>908</v>
      </c>
      <c r="K255" s="25" t="s">
        <v>1189</v>
      </c>
      <c r="L255" s="25" t="s">
        <v>1190</v>
      </c>
      <c r="M255" s="25" t="s">
        <v>1191</v>
      </c>
      <c r="N255" s="25" t="s">
        <v>1118</v>
      </c>
      <c r="O255" s="25" t="s">
        <v>1192</v>
      </c>
      <c r="P255" s="25" t="s">
        <v>1193</v>
      </c>
      <c r="Q255" s="25" t="s">
        <v>1194</v>
      </c>
      <c r="R255" s="25" t="s">
        <v>1122</v>
      </c>
      <c r="S255" s="25" t="s">
        <v>1195</v>
      </c>
      <c r="T255" s="25" t="s">
        <v>1196</v>
      </c>
      <c r="U255" s="181">
        <v>2022</v>
      </c>
      <c r="W255" s="25"/>
      <c r="X255" s="25"/>
      <c r="Y255" s="25"/>
    </row>
    <row r="256" spans="1:28" ht="30" customHeight="1" x14ac:dyDescent="0.2">
      <c r="A256">
        <v>253</v>
      </c>
      <c r="B256" s="37">
        <v>820381400</v>
      </c>
      <c r="C256" s="25" t="s">
        <v>586</v>
      </c>
      <c r="D256" s="25" t="s">
        <v>97</v>
      </c>
      <c r="E256" s="25" t="s">
        <v>366</v>
      </c>
      <c r="F256" s="25" t="s">
        <v>367</v>
      </c>
      <c r="G256" s="25">
        <v>2170</v>
      </c>
      <c r="H256" s="25" t="s">
        <v>134</v>
      </c>
      <c r="I256" s="25" t="s">
        <v>83</v>
      </c>
      <c r="J256" s="25" t="s">
        <v>587</v>
      </c>
      <c r="K256" s="25" t="s">
        <v>1579</v>
      </c>
      <c r="L256" s="25" t="s">
        <v>1580</v>
      </c>
      <c r="M256" s="25" t="s">
        <v>1581</v>
      </c>
      <c r="N256" s="25" t="s">
        <v>1121</v>
      </c>
      <c r="O256" s="25" t="s">
        <v>1582</v>
      </c>
      <c r="P256" s="25" t="s">
        <v>589</v>
      </c>
      <c r="Q256" s="25" t="s">
        <v>1583</v>
      </c>
      <c r="R256" s="25" t="s">
        <v>590</v>
      </c>
      <c r="S256" s="25" t="s">
        <v>1584</v>
      </c>
      <c r="T256" s="25" t="s">
        <v>1585</v>
      </c>
      <c r="U256" s="181">
        <v>2016</v>
      </c>
      <c r="W256" s="25"/>
      <c r="X256" s="25"/>
      <c r="Y256" s="25"/>
      <c r="Z256" s="25"/>
      <c r="AB256" s="25"/>
    </row>
    <row r="257" spans="1:28" ht="30" customHeight="1" x14ac:dyDescent="0.2">
      <c r="A257">
        <v>254</v>
      </c>
      <c r="B257" s="37">
        <v>820382000</v>
      </c>
      <c r="C257" s="25" t="s">
        <v>368</v>
      </c>
      <c r="D257" s="25" t="s">
        <v>97</v>
      </c>
      <c r="E257" s="25" t="s">
        <v>364</v>
      </c>
      <c r="F257" s="25" t="s">
        <v>364</v>
      </c>
      <c r="G257" s="25">
        <v>2000</v>
      </c>
      <c r="H257" s="25" t="s">
        <v>134</v>
      </c>
      <c r="I257" s="25" t="s">
        <v>83</v>
      </c>
      <c r="J257" s="25" t="s">
        <v>909</v>
      </c>
      <c r="K257" s="25">
        <v>3413269412</v>
      </c>
      <c r="L257" s="25" t="s">
        <v>910</v>
      </c>
      <c r="M257" s="25" t="s">
        <v>1709</v>
      </c>
      <c r="N257" s="25" t="s">
        <v>1118</v>
      </c>
      <c r="O257" s="25">
        <v>3413269412</v>
      </c>
      <c r="P257" s="25" t="s">
        <v>910</v>
      </c>
      <c r="Q257" s="25" t="s">
        <v>1709</v>
      </c>
      <c r="R257" s="25" t="s">
        <v>1121</v>
      </c>
      <c r="S257" s="25">
        <v>3413269412</v>
      </c>
      <c r="T257" s="25" t="s">
        <v>910</v>
      </c>
      <c r="U257" s="181">
        <v>2020</v>
      </c>
      <c r="W257" s="25"/>
      <c r="X257" s="25"/>
      <c r="Y257" s="25"/>
    </row>
    <row r="258" spans="1:28" ht="45" customHeight="1" x14ac:dyDescent="0.2">
      <c r="A258">
        <v>255</v>
      </c>
      <c r="B258" s="37" t="s">
        <v>2815</v>
      </c>
      <c r="C258" s="25" t="s">
        <v>2816</v>
      </c>
      <c r="D258" s="25" t="s">
        <v>97</v>
      </c>
      <c r="E258" s="25" t="s">
        <v>364</v>
      </c>
      <c r="F258" s="25" t="s">
        <v>364</v>
      </c>
      <c r="G258" s="25">
        <v>2000</v>
      </c>
      <c r="H258" s="25" t="s">
        <v>134</v>
      </c>
      <c r="I258" s="25" t="s">
        <v>83</v>
      </c>
      <c r="U258" s="179">
        <v>2025</v>
      </c>
    </row>
    <row r="259" spans="1:28" ht="30" customHeight="1" x14ac:dyDescent="0.2">
      <c r="A259">
        <v>256</v>
      </c>
      <c r="B259" s="37">
        <v>820412100</v>
      </c>
      <c r="C259" s="25" t="s">
        <v>369</v>
      </c>
      <c r="D259" s="25" t="s">
        <v>97</v>
      </c>
      <c r="E259" s="25" t="s">
        <v>98</v>
      </c>
      <c r="F259" s="25" t="s">
        <v>97</v>
      </c>
      <c r="G259" s="25">
        <v>3000</v>
      </c>
      <c r="H259" s="25" t="s">
        <v>134</v>
      </c>
      <c r="I259" s="25" t="s">
        <v>83</v>
      </c>
      <c r="J259" s="25" t="s">
        <v>1621</v>
      </c>
      <c r="K259" s="25" t="s">
        <v>1622</v>
      </c>
      <c r="L259" s="25" t="s">
        <v>1623</v>
      </c>
      <c r="M259" s="25" t="s">
        <v>1624</v>
      </c>
      <c r="N259" s="25" t="s">
        <v>1118</v>
      </c>
      <c r="O259" s="25" t="s">
        <v>881</v>
      </c>
      <c r="P259" s="25" t="s">
        <v>882</v>
      </c>
      <c r="Q259" s="25" t="s">
        <v>1625</v>
      </c>
      <c r="R259" s="25" t="s">
        <v>1181</v>
      </c>
      <c r="S259" s="25">
        <v>34255010603</v>
      </c>
      <c r="T259" s="25" t="s">
        <v>883</v>
      </c>
      <c r="U259" s="181">
        <v>2020</v>
      </c>
      <c r="W259" s="25"/>
      <c r="X259" s="25"/>
      <c r="Y259" s="25"/>
    </row>
    <row r="260" spans="1:28" ht="30" customHeight="1" x14ac:dyDescent="0.2">
      <c r="A260">
        <v>257</v>
      </c>
      <c r="B260" s="37">
        <v>820413900</v>
      </c>
      <c r="C260" s="25" t="s">
        <v>695</v>
      </c>
      <c r="D260" s="25" t="s">
        <v>97</v>
      </c>
      <c r="E260" s="25" t="s">
        <v>98</v>
      </c>
      <c r="F260" s="25" t="s">
        <v>97</v>
      </c>
      <c r="G260" s="25">
        <v>3000</v>
      </c>
      <c r="H260" s="25" t="s">
        <v>134</v>
      </c>
      <c r="I260" s="25" t="s">
        <v>83</v>
      </c>
      <c r="J260" s="25" t="s">
        <v>1594</v>
      </c>
      <c r="K260" s="25" t="s">
        <v>1595</v>
      </c>
      <c r="L260" s="25" t="s">
        <v>1596</v>
      </c>
      <c r="M260" s="25" t="s">
        <v>1597</v>
      </c>
      <c r="N260" s="25" t="s">
        <v>1118</v>
      </c>
      <c r="O260" s="25" t="s">
        <v>1598</v>
      </c>
      <c r="P260" s="25" t="s">
        <v>884</v>
      </c>
      <c r="Q260" s="25" t="s">
        <v>1599</v>
      </c>
      <c r="R260" s="25" t="s">
        <v>1122</v>
      </c>
      <c r="S260" s="25">
        <v>3425365401</v>
      </c>
      <c r="T260" s="25" t="s">
        <v>1600</v>
      </c>
      <c r="U260" s="181">
        <v>2022</v>
      </c>
      <c r="W260" s="25"/>
      <c r="X260" s="25"/>
      <c r="Y260" s="25"/>
      <c r="Z260" s="25"/>
      <c r="AB260" s="25"/>
    </row>
    <row r="261" spans="1:28" ht="30" customHeight="1" x14ac:dyDescent="0.2">
      <c r="A261">
        <v>258</v>
      </c>
      <c r="B261" s="37">
        <v>820442800</v>
      </c>
      <c r="C261" s="25" t="s">
        <v>696</v>
      </c>
      <c r="D261" s="25" t="s">
        <v>97</v>
      </c>
      <c r="E261" s="25" t="s">
        <v>98</v>
      </c>
      <c r="F261" s="25" t="s">
        <v>1398</v>
      </c>
      <c r="G261" s="25">
        <v>3000</v>
      </c>
      <c r="H261" s="25" t="s">
        <v>82</v>
      </c>
      <c r="I261" s="25" t="s">
        <v>83</v>
      </c>
      <c r="J261" s="25" t="s">
        <v>1399</v>
      </c>
      <c r="K261" s="25" t="s">
        <v>1400</v>
      </c>
      <c r="L261" s="25" t="s">
        <v>885</v>
      </c>
      <c r="M261" s="25" t="s">
        <v>1401</v>
      </c>
      <c r="N261" s="25" t="s">
        <v>1118</v>
      </c>
      <c r="O261" s="25" t="s">
        <v>1402</v>
      </c>
      <c r="P261" s="25" t="s">
        <v>1403</v>
      </c>
      <c r="Q261" s="25" t="s">
        <v>1404</v>
      </c>
      <c r="R261" s="25" t="s">
        <v>1119</v>
      </c>
      <c r="S261" s="25" t="s">
        <v>1405</v>
      </c>
      <c r="T261" s="25" t="s">
        <v>1403</v>
      </c>
      <c r="U261" s="181">
        <v>2016</v>
      </c>
      <c r="W261" s="25"/>
      <c r="X261" s="25"/>
      <c r="Y261" s="25"/>
      <c r="Z261" s="25"/>
      <c r="AB261" s="25"/>
    </row>
    <row r="262" spans="1:28" ht="30" customHeight="1" x14ac:dyDescent="0.2">
      <c r="A262">
        <v>259</v>
      </c>
      <c r="B262" s="37">
        <v>820443000</v>
      </c>
      <c r="C262" s="25" t="s">
        <v>591</v>
      </c>
      <c r="D262" s="25" t="s">
        <v>97</v>
      </c>
      <c r="E262" s="25" t="s">
        <v>364</v>
      </c>
      <c r="F262" s="25" t="s">
        <v>364</v>
      </c>
      <c r="G262" s="25">
        <v>2000</v>
      </c>
      <c r="H262" s="25" t="s">
        <v>82</v>
      </c>
      <c r="I262" s="25" t="s">
        <v>83</v>
      </c>
      <c r="J262" s="25" t="s">
        <v>592</v>
      </c>
      <c r="K262" s="25" t="s">
        <v>1134</v>
      </c>
      <c r="L262" s="25" t="s">
        <v>593</v>
      </c>
      <c r="M262" s="25" t="s">
        <v>594</v>
      </c>
      <c r="N262" s="25" t="s">
        <v>1118</v>
      </c>
      <c r="O262" s="25" t="s">
        <v>1135</v>
      </c>
      <c r="P262" s="25" t="s">
        <v>595</v>
      </c>
      <c r="Q262" s="25" t="s">
        <v>594</v>
      </c>
      <c r="R262" s="25" t="s">
        <v>1119</v>
      </c>
      <c r="S262" s="25" t="s">
        <v>1135</v>
      </c>
      <c r="T262" s="25" t="s">
        <v>595</v>
      </c>
      <c r="U262" s="181">
        <v>2016</v>
      </c>
      <c r="W262" s="25"/>
      <c r="Y262" s="25"/>
    </row>
    <row r="263" spans="1:28" ht="30" customHeight="1" x14ac:dyDescent="0.2">
      <c r="A263">
        <v>260</v>
      </c>
      <c r="B263" s="37">
        <v>820443100</v>
      </c>
      <c r="C263" s="25" t="s">
        <v>1174</v>
      </c>
      <c r="D263" s="25" t="s">
        <v>97</v>
      </c>
      <c r="E263" s="25" t="s">
        <v>370</v>
      </c>
      <c r="F263" s="25" t="s">
        <v>371</v>
      </c>
      <c r="G263" s="25">
        <v>3560</v>
      </c>
      <c r="H263" s="25" t="s">
        <v>82</v>
      </c>
      <c r="I263" s="25" t="s">
        <v>83</v>
      </c>
      <c r="J263" s="25" t="s">
        <v>1175</v>
      </c>
      <c r="K263" s="25">
        <v>3482449326</v>
      </c>
      <c r="L263" s="25" t="s">
        <v>886</v>
      </c>
      <c r="M263" s="25" t="s">
        <v>1176</v>
      </c>
      <c r="N263" s="25" t="s">
        <v>1118</v>
      </c>
      <c r="O263" s="25">
        <v>3483418086</v>
      </c>
      <c r="P263" s="25" t="s">
        <v>1177</v>
      </c>
      <c r="Q263" s="25" t="s">
        <v>1176</v>
      </c>
      <c r="R263" s="25" t="s">
        <v>1119</v>
      </c>
      <c r="S263" s="25" t="s">
        <v>1178</v>
      </c>
      <c r="T263" s="25" t="s">
        <v>1177</v>
      </c>
      <c r="U263" s="181">
        <v>2016</v>
      </c>
      <c r="W263" s="25"/>
      <c r="X263" s="25"/>
      <c r="Y263" s="25"/>
    </row>
    <row r="264" spans="1:28" ht="30" customHeight="1" x14ac:dyDescent="0.2">
      <c r="A264">
        <v>261</v>
      </c>
      <c r="B264" s="37">
        <v>820443200</v>
      </c>
      <c r="C264" s="25" t="s">
        <v>697</v>
      </c>
      <c r="D264" s="25" t="s">
        <v>97</v>
      </c>
      <c r="E264" s="25" t="s">
        <v>372</v>
      </c>
      <c r="F264" s="25" t="s">
        <v>373</v>
      </c>
      <c r="G264" s="25">
        <v>2300</v>
      </c>
      <c r="H264" s="25" t="s">
        <v>82</v>
      </c>
      <c r="I264" s="25" t="s">
        <v>83</v>
      </c>
      <c r="J264" s="25" t="s">
        <v>887</v>
      </c>
      <c r="K264" s="25" t="s">
        <v>1290</v>
      </c>
      <c r="L264" s="25" t="s">
        <v>888</v>
      </c>
      <c r="M264" s="25" t="s">
        <v>889</v>
      </c>
      <c r="N264" s="25" t="s">
        <v>1118</v>
      </c>
      <c r="O264" s="25" t="s">
        <v>1291</v>
      </c>
      <c r="P264" s="25" t="s">
        <v>890</v>
      </c>
      <c r="Q264" s="25" t="s">
        <v>889</v>
      </c>
      <c r="R264" s="25" t="s">
        <v>1119</v>
      </c>
      <c r="S264" s="25" t="s">
        <v>1291</v>
      </c>
      <c r="T264" s="25" t="s">
        <v>890</v>
      </c>
      <c r="U264" s="181">
        <v>2016</v>
      </c>
      <c r="W264" s="25"/>
      <c r="X264" s="25"/>
      <c r="Y264" s="25"/>
    </row>
    <row r="265" spans="1:28" ht="30" customHeight="1" x14ac:dyDescent="0.2">
      <c r="A265">
        <v>262</v>
      </c>
      <c r="B265" s="37">
        <v>820455600</v>
      </c>
      <c r="C265" s="25" t="s">
        <v>374</v>
      </c>
      <c r="D265" s="25" t="s">
        <v>97</v>
      </c>
      <c r="E265" s="25" t="s">
        <v>362</v>
      </c>
      <c r="F265" s="25" t="s">
        <v>375</v>
      </c>
      <c r="G265" s="25">
        <v>2600</v>
      </c>
      <c r="H265" s="25" t="s">
        <v>82</v>
      </c>
      <c r="I265" s="25" t="s">
        <v>83</v>
      </c>
      <c r="J265" s="25" t="s">
        <v>891</v>
      </c>
      <c r="K265" s="25">
        <v>3462675783</v>
      </c>
      <c r="L265" s="25" t="s">
        <v>892</v>
      </c>
      <c r="M265" s="25" t="s">
        <v>1219</v>
      </c>
      <c r="N265" s="25" t="s">
        <v>1118</v>
      </c>
      <c r="O265" s="25">
        <v>3462675783</v>
      </c>
      <c r="P265" s="25" t="s">
        <v>1220</v>
      </c>
      <c r="Q265" s="25" t="s">
        <v>1221</v>
      </c>
      <c r="R265" s="25" t="s">
        <v>1119</v>
      </c>
      <c r="S265" s="25">
        <v>3462675783</v>
      </c>
      <c r="T265" s="25" t="s">
        <v>1220</v>
      </c>
      <c r="U265" s="181">
        <v>2016</v>
      </c>
      <c r="W265" s="25"/>
      <c r="Y265" s="25"/>
    </row>
    <row r="266" spans="1:28" ht="30" customHeight="1" x14ac:dyDescent="0.2">
      <c r="A266">
        <v>263</v>
      </c>
      <c r="B266" s="37">
        <v>820460400</v>
      </c>
      <c r="C266" s="25" t="s">
        <v>698</v>
      </c>
      <c r="D266" s="25" t="s">
        <v>97</v>
      </c>
      <c r="E266" s="25" t="s">
        <v>277</v>
      </c>
      <c r="F266" s="25" t="s">
        <v>376</v>
      </c>
      <c r="G266" s="25">
        <v>2452</v>
      </c>
      <c r="H266" s="25" t="s">
        <v>82</v>
      </c>
      <c r="I266" s="25" t="s">
        <v>83</v>
      </c>
      <c r="J266" s="25" t="s">
        <v>1186</v>
      </c>
      <c r="K266" s="25">
        <v>3406443196</v>
      </c>
      <c r="L266" s="25" t="s">
        <v>893</v>
      </c>
      <c r="M266" s="25" t="s">
        <v>1187</v>
      </c>
      <c r="N266" s="25" t="s">
        <v>1118</v>
      </c>
      <c r="O266" s="25">
        <v>3406451372</v>
      </c>
      <c r="P266" s="25" t="s">
        <v>1188</v>
      </c>
      <c r="Q266" s="25" t="s">
        <v>1187</v>
      </c>
      <c r="R266" s="25" t="s">
        <v>1119</v>
      </c>
      <c r="S266" s="25">
        <v>3406451372</v>
      </c>
      <c r="T266" s="25" t="s">
        <v>1188</v>
      </c>
      <c r="U266" s="181">
        <v>2016</v>
      </c>
      <c r="W266" s="25"/>
      <c r="Y266" s="25"/>
    </row>
    <row r="267" spans="1:28" ht="30" customHeight="1" x14ac:dyDescent="0.2">
      <c r="A267">
        <v>264</v>
      </c>
      <c r="B267" s="37">
        <v>820462100</v>
      </c>
      <c r="C267" s="25" t="s">
        <v>699</v>
      </c>
      <c r="D267" s="25" t="s">
        <v>97</v>
      </c>
      <c r="E267" s="25" t="s">
        <v>377</v>
      </c>
      <c r="F267" s="25" t="s">
        <v>378</v>
      </c>
      <c r="G267" s="25">
        <v>2500</v>
      </c>
      <c r="H267" s="25" t="s">
        <v>82</v>
      </c>
      <c r="I267" s="25" t="s">
        <v>83</v>
      </c>
      <c r="J267" s="25" t="s">
        <v>1467</v>
      </c>
      <c r="K267" s="25" t="s">
        <v>1468</v>
      </c>
      <c r="L267" s="25" t="s">
        <v>894</v>
      </c>
      <c r="M267" s="25" t="s">
        <v>1469</v>
      </c>
      <c r="N267" s="25" t="s">
        <v>1118</v>
      </c>
      <c r="O267" s="25" t="s">
        <v>1468</v>
      </c>
      <c r="P267" s="25" t="s">
        <v>895</v>
      </c>
      <c r="Q267" s="25" t="s">
        <v>1469</v>
      </c>
      <c r="R267" s="25" t="s">
        <v>1119</v>
      </c>
      <c r="S267" s="25" t="s">
        <v>1468</v>
      </c>
      <c r="T267" s="25" t="s">
        <v>895</v>
      </c>
      <c r="U267" s="181">
        <v>2016</v>
      </c>
      <c r="W267" s="25"/>
      <c r="Y267" s="25"/>
      <c r="Z267" s="25"/>
      <c r="AA267" s="25"/>
      <c r="AB267" s="25"/>
    </row>
    <row r="268" spans="1:28" ht="30" customHeight="1" x14ac:dyDescent="0.2">
      <c r="A268">
        <v>265</v>
      </c>
      <c r="B268" s="37">
        <v>820468100</v>
      </c>
      <c r="C268" s="25" t="s">
        <v>502</v>
      </c>
      <c r="D268" s="25" t="s">
        <v>97</v>
      </c>
      <c r="E268" s="25" t="s">
        <v>507</v>
      </c>
      <c r="F268" s="25" t="s">
        <v>506</v>
      </c>
      <c r="G268" s="25">
        <v>3050</v>
      </c>
      <c r="H268" s="25" t="s">
        <v>82</v>
      </c>
      <c r="I268" s="25" t="s">
        <v>976</v>
      </c>
      <c r="J268" s="25" t="s">
        <v>1367</v>
      </c>
      <c r="K268" s="25">
        <v>3483470384</v>
      </c>
      <c r="L268" s="25" t="s">
        <v>896</v>
      </c>
      <c r="M268" s="25" t="s">
        <v>1368</v>
      </c>
      <c r="N268" s="25" t="s">
        <v>1118</v>
      </c>
      <c r="O268" s="25">
        <v>3498401162</v>
      </c>
      <c r="P268" s="25" t="s">
        <v>897</v>
      </c>
      <c r="Q268" s="25" t="s">
        <v>1369</v>
      </c>
      <c r="R268" s="25" t="s">
        <v>1122</v>
      </c>
      <c r="S268" s="25">
        <v>3483483463</v>
      </c>
      <c r="T268" s="25" t="s">
        <v>898</v>
      </c>
      <c r="U268" s="181">
        <v>2022</v>
      </c>
      <c r="W268" s="25"/>
      <c r="X268" s="25"/>
      <c r="Y268" s="25"/>
    </row>
    <row r="269" spans="1:28" ht="30" customHeight="1" x14ac:dyDescent="0.2">
      <c r="A269">
        <v>266</v>
      </c>
      <c r="B269" s="37">
        <v>820468200</v>
      </c>
      <c r="C269" s="25" t="s">
        <v>379</v>
      </c>
      <c r="D269" s="25" t="s">
        <v>97</v>
      </c>
      <c r="E269" s="25" t="s">
        <v>98</v>
      </c>
      <c r="F269" s="25" t="s">
        <v>1747</v>
      </c>
      <c r="G269" s="25">
        <v>3000</v>
      </c>
      <c r="H269" s="25" t="s">
        <v>82</v>
      </c>
      <c r="I269" s="25" t="s">
        <v>976</v>
      </c>
      <c r="J269" s="25" t="s">
        <v>1748</v>
      </c>
      <c r="L269" s="25" t="s">
        <v>1749</v>
      </c>
      <c r="M269" s="25" t="s">
        <v>1750</v>
      </c>
      <c r="N269" s="25" t="s">
        <v>1118</v>
      </c>
      <c r="O269" s="25">
        <v>3425442340</v>
      </c>
      <c r="P269" s="25" t="s">
        <v>1751</v>
      </c>
      <c r="Q269" s="25" t="s">
        <v>1752</v>
      </c>
      <c r="R269" s="25" t="s">
        <v>1272</v>
      </c>
      <c r="S269" s="25">
        <v>3425801963</v>
      </c>
      <c r="T269" s="25" t="s">
        <v>1753</v>
      </c>
      <c r="U269" s="181">
        <v>2016</v>
      </c>
      <c r="W269" s="25"/>
      <c r="Y269" s="25"/>
    </row>
    <row r="270" spans="1:28" ht="30" customHeight="1" x14ac:dyDescent="0.2">
      <c r="A270">
        <v>267</v>
      </c>
      <c r="B270" s="37">
        <v>820471100</v>
      </c>
      <c r="C270" s="25" t="s">
        <v>700</v>
      </c>
      <c r="D270" s="25" t="s">
        <v>97</v>
      </c>
      <c r="E270" s="25" t="s">
        <v>507</v>
      </c>
      <c r="F270" s="25" t="s">
        <v>507</v>
      </c>
      <c r="G270" s="25">
        <v>3550</v>
      </c>
      <c r="H270" s="25" t="s">
        <v>82</v>
      </c>
      <c r="I270" s="25" t="s">
        <v>83</v>
      </c>
      <c r="J270" s="25" t="s">
        <v>1162</v>
      </c>
      <c r="K270" s="25" t="s">
        <v>1163</v>
      </c>
      <c r="L270" s="25" t="s">
        <v>1164</v>
      </c>
      <c r="M270" s="25" t="s">
        <v>1165</v>
      </c>
      <c r="N270" s="25" t="s">
        <v>1118</v>
      </c>
      <c r="O270" s="25">
        <v>3483408288</v>
      </c>
      <c r="P270" s="25" t="s">
        <v>872</v>
      </c>
      <c r="Q270" s="25" t="s">
        <v>1166</v>
      </c>
      <c r="R270" s="25" t="s">
        <v>1122</v>
      </c>
      <c r="S270" s="25">
        <v>3482543464</v>
      </c>
      <c r="T270" s="25" t="s">
        <v>1164</v>
      </c>
      <c r="U270" s="181">
        <v>2023</v>
      </c>
      <c r="W270" s="25"/>
      <c r="X270" s="25"/>
      <c r="Y270" s="25"/>
    </row>
    <row r="271" spans="1:28" ht="30" customHeight="1" x14ac:dyDescent="0.2">
      <c r="A271">
        <v>268</v>
      </c>
      <c r="B271" s="37">
        <v>860020601</v>
      </c>
      <c r="C271" s="25" t="s">
        <v>701</v>
      </c>
      <c r="D271" s="25" t="s">
        <v>146</v>
      </c>
      <c r="E271" s="25" t="s">
        <v>380</v>
      </c>
      <c r="F271" s="25" t="s">
        <v>1471</v>
      </c>
      <c r="G271" s="25">
        <v>4312</v>
      </c>
      <c r="H271" s="25" t="s">
        <v>82</v>
      </c>
      <c r="I271" s="25" t="s">
        <v>83</v>
      </c>
      <c r="J271" s="25" t="s">
        <v>1472</v>
      </c>
      <c r="K271" s="25">
        <v>3854834142</v>
      </c>
      <c r="L271" s="25" t="s">
        <v>1473</v>
      </c>
      <c r="M271" s="25" t="s">
        <v>1474</v>
      </c>
      <c r="N271" s="25" t="s">
        <v>1121</v>
      </c>
      <c r="O271" s="25">
        <v>3854834142</v>
      </c>
      <c r="P271" s="25" t="s">
        <v>1473</v>
      </c>
      <c r="Q271" s="25" t="s">
        <v>1475</v>
      </c>
      <c r="R271" s="25" t="s">
        <v>1122</v>
      </c>
      <c r="S271" s="25">
        <v>3856889178</v>
      </c>
      <c r="T271" s="25" t="s">
        <v>871</v>
      </c>
      <c r="U271" s="181">
        <v>2018</v>
      </c>
      <c r="W271" s="25"/>
      <c r="Y271" s="25"/>
    </row>
    <row r="272" spans="1:28" ht="30" customHeight="1" x14ac:dyDescent="0.2">
      <c r="A272">
        <v>269</v>
      </c>
      <c r="B272" s="37">
        <v>860108800</v>
      </c>
      <c r="C272" s="25" t="s">
        <v>702</v>
      </c>
      <c r="D272" s="25" t="s">
        <v>146</v>
      </c>
      <c r="E272" s="25" t="s">
        <v>152</v>
      </c>
      <c r="F272" s="25" t="s">
        <v>1441</v>
      </c>
      <c r="G272" s="25">
        <v>4200</v>
      </c>
      <c r="H272" s="25" t="s">
        <v>82</v>
      </c>
      <c r="I272" s="25" t="s">
        <v>976</v>
      </c>
      <c r="J272" s="25" t="s">
        <v>873</v>
      </c>
      <c r="K272" s="25">
        <v>3856268940</v>
      </c>
      <c r="L272" s="25" t="s">
        <v>1442</v>
      </c>
      <c r="M272" s="25" t="s">
        <v>1443</v>
      </c>
      <c r="N272" s="25" t="s">
        <v>1121</v>
      </c>
      <c r="O272" s="25">
        <v>3855894999</v>
      </c>
      <c r="P272" s="25" t="s">
        <v>874</v>
      </c>
      <c r="Q272" s="25" t="s">
        <v>1444</v>
      </c>
      <c r="R272" s="25" t="s">
        <v>1272</v>
      </c>
      <c r="S272" s="25">
        <v>3856268940</v>
      </c>
      <c r="T272" s="25" t="s">
        <v>1445</v>
      </c>
      <c r="U272" s="181">
        <v>2017</v>
      </c>
      <c r="W272" s="25"/>
      <c r="X272" s="25"/>
      <c r="Y272" s="25"/>
    </row>
    <row r="273" spans="1:28" ht="30" customHeight="1" x14ac:dyDescent="0.2">
      <c r="A273">
        <v>270</v>
      </c>
      <c r="B273" s="37">
        <v>860110700</v>
      </c>
      <c r="C273" s="25" t="s">
        <v>381</v>
      </c>
      <c r="D273" s="25" t="s">
        <v>146</v>
      </c>
      <c r="E273" s="25" t="s">
        <v>382</v>
      </c>
      <c r="F273" s="25" t="s">
        <v>383</v>
      </c>
      <c r="G273" s="25">
        <v>4300</v>
      </c>
      <c r="H273" s="25" t="s">
        <v>82</v>
      </c>
      <c r="I273" s="25" t="s">
        <v>976</v>
      </c>
      <c r="J273" s="25" t="s">
        <v>1435</v>
      </c>
      <c r="K273" s="25" t="s">
        <v>1436</v>
      </c>
      <c r="L273" s="25" t="s">
        <v>1437</v>
      </c>
      <c r="M273" s="25" t="s">
        <v>1438</v>
      </c>
      <c r="N273" s="25" t="s">
        <v>1121</v>
      </c>
      <c r="O273" s="25">
        <v>3855056604</v>
      </c>
      <c r="P273" s="25" t="s">
        <v>875</v>
      </c>
      <c r="Q273" s="25" t="s">
        <v>1439</v>
      </c>
      <c r="R273" s="25" t="s">
        <v>590</v>
      </c>
      <c r="S273" s="25" t="s">
        <v>1440</v>
      </c>
      <c r="T273" s="25" t="s">
        <v>876</v>
      </c>
      <c r="U273" s="181">
        <v>2016</v>
      </c>
      <c r="W273" s="25"/>
      <c r="X273" s="25"/>
      <c r="Y273" s="25"/>
    </row>
    <row r="274" spans="1:28" ht="30" customHeight="1" x14ac:dyDescent="0.2">
      <c r="A274">
        <v>271</v>
      </c>
      <c r="B274" s="37">
        <v>860111800</v>
      </c>
      <c r="C274" s="25" t="s">
        <v>703</v>
      </c>
      <c r="D274" s="25" t="s">
        <v>146</v>
      </c>
      <c r="E274" s="25" t="s">
        <v>384</v>
      </c>
      <c r="F274" s="25" t="s">
        <v>2739</v>
      </c>
      <c r="G274">
        <v>4230</v>
      </c>
      <c r="H274" s="25" t="s">
        <v>82</v>
      </c>
      <c r="I274" s="25" t="s">
        <v>976</v>
      </c>
      <c r="J274" s="25" t="s">
        <v>1425</v>
      </c>
      <c r="L274" s="25" t="s">
        <v>1426</v>
      </c>
      <c r="M274" s="25" t="s">
        <v>1427</v>
      </c>
      <c r="N274" s="25" t="s">
        <v>1121</v>
      </c>
      <c r="O274" s="25">
        <v>3854686092</v>
      </c>
      <c r="P274" s="25" t="s">
        <v>1428</v>
      </c>
      <c r="Q274" s="25" t="s">
        <v>1429</v>
      </c>
      <c r="R274" s="25" t="s">
        <v>590</v>
      </c>
      <c r="S274" s="25">
        <v>3854403639</v>
      </c>
      <c r="T274" s="25" t="s">
        <v>1430</v>
      </c>
      <c r="U274" s="181">
        <v>2016</v>
      </c>
      <c r="W274" s="25"/>
      <c r="X274" s="25"/>
      <c r="Y274" s="25"/>
    </row>
    <row r="275" spans="1:28" ht="30" customHeight="1" x14ac:dyDescent="0.2">
      <c r="A275">
        <v>272</v>
      </c>
      <c r="B275" s="37">
        <v>860119000</v>
      </c>
      <c r="C275" s="25" t="s">
        <v>385</v>
      </c>
      <c r="D275" s="25" t="s">
        <v>146</v>
      </c>
      <c r="E275" s="25" t="s">
        <v>386</v>
      </c>
      <c r="F275" s="25" t="s">
        <v>387</v>
      </c>
      <c r="G275" s="25">
        <v>4350</v>
      </c>
      <c r="H275" s="25" t="s">
        <v>82</v>
      </c>
      <c r="I275" s="25" t="s">
        <v>83</v>
      </c>
      <c r="J275" s="25" t="s">
        <v>1315</v>
      </c>
      <c r="K275" s="25">
        <v>3856190119</v>
      </c>
      <c r="L275" s="25" t="s">
        <v>1316</v>
      </c>
      <c r="M275" s="25" t="s">
        <v>1317</v>
      </c>
      <c r="N275" s="25" t="s">
        <v>1121</v>
      </c>
      <c r="O275" s="25">
        <v>3856190119</v>
      </c>
      <c r="P275" s="25" t="s">
        <v>877</v>
      </c>
      <c r="Q275" s="25" t="s">
        <v>1317</v>
      </c>
      <c r="R275" s="25" t="s">
        <v>1121</v>
      </c>
      <c r="S275" s="25">
        <v>3856190119</v>
      </c>
      <c r="T275" s="25" t="s">
        <v>877</v>
      </c>
      <c r="U275" s="181">
        <v>2016</v>
      </c>
      <c r="W275" s="25"/>
      <c r="Y275" s="25"/>
    </row>
    <row r="276" spans="1:28" ht="30" customHeight="1" x14ac:dyDescent="0.2">
      <c r="A276">
        <v>273</v>
      </c>
      <c r="B276" s="37">
        <v>860159700</v>
      </c>
      <c r="C276" s="25" t="s">
        <v>388</v>
      </c>
      <c r="D276" s="25" t="s">
        <v>146</v>
      </c>
      <c r="E276" s="25" t="s">
        <v>81</v>
      </c>
      <c r="F276" s="25" t="s">
        <v>81</v>
      </c>
      <c r="G276" s="25">
        <v>4208</v>
      </c>
      <c r="H276" s="25" t="s">
        <v>82</v>
      </c>
      <c r="I276" s="25" t="s">
        <v>976</v>
      </c>
      <c r="J276" s="25" t="s">
        <v>2259</v>
      </c>
      <c r="K276" s="25" t="s">
        <v>2260</v>
      </c>
      <c r="L276" s="25" t="s">
        <v>2261</v>
      </c>
      <c r="M276" s="25" t="s">
        <v>2262</v>
      </c>
      <c r="N276" s="25" t="s">
        <v>1118</v>
      </c>
      <c r="O276" s="25">
        <v>3855890505</v>
      </c>
      <c r="P276" s="25" t="s">
        <v>2263</v>
      </c>
      <c r="Q276" s="25" t="s">
        <v>2264</v>
      </c>
      <c r="R276" s="25" t="s">
        <v>1122</v>
      </c>
      <c r="S276" s="25">
        <v>3854883476</v>
      </c>
      <c r="T276" s="25" t="s">
        <v>2265</v>
      </c>
      <c r="U276" s="181">
        <v>2017</v>
      </c>
      <c r="W276" s="25"/>
      <c r="Y276" s="25"/>
    </row>
    <row r="277" spans="1:28" ht="30" customHeight="1" x14ac:dyDescent="0.2">
      <c r="A277">
        <v>274</v>
      </c>
      <c r="B277" s="37">
        <v>860184700</v>
      </c>
      <c r="C277" s="25" t="s">
        <v>704</v>
      </c>
      <c r="D277" s="25" t="s">
        <v>146</v>
      </c>
      <c r="E277" s="25" t="s">
        <v>389</v>
      </c>
      <c r="F277" s="25" t="s">
        <v>153</v>
      </c>
      <c r="G277" s="25">
        <v>3760</v>
      </c>
      <c r="H277" s="25" t="s">
        <v>82</v>
      </c>
      <c r="I277" s="25" t="s">
        <v>976</v>
      </c>
      <c r="J277" s="25" t="s">
        <v>2412</v>
      </c>
      <c r="K277" s="25">
        <v>3844433932</v>
      </c>
      <c r="L277" s="25" t="s">
        <v>2413</v>
      </c>
      <c r="M277" s="25" t="s">
        <v>2414</v>
      </c>
      <c r="N277" s="25" t="s">
        <v>1121</v>
      </c>
      <c r="O277" s="25">
        <v>3857470410</v>
      </c>
      <c r="P277" s="25" t="s">
        <v>2415</v>
      </c>
      <c r="Q277" s="25" t="s">
        <v>2416</v>
      </c>
      <c r="R277" s="25" t="s">
        <v>1122</v>
      </c>
      <c r="S277" s="25">
        <v>3844433932</v>
      </c>
      <c r="T277" s="25" t="s">
        <v>2417</v>
      </c>
      <c r="U277" s="181">
        <v>2017</v>
      </c>
      <c r="W277" s="25"/>
      <c r="Y277" s="25"/>
    </row>
    <row r="278" spans="1:28" ht="30" customHeight="1" x14ac:dyDescent="0.2">
      <c r="A278">
        <v>275</v>
      </c>
      <c r="B278" s="37">
        <v>860185300</v>
      </c>
      <c r="C278" s="25" t="s">
        <v>705</v>
      </c>
      <c r="D278" s="25" t="s">
        <v>146</v>
      </c>
      <c r="E278" s="25" t="s">
        <v>152</v>
      </c>
      <c r="F278" s="25" t="s">
        <v>878</v>
      </c>
      <c r="G278" s="25">
        <v>4200</v>
      </c>
      <c r="H278" s="25" t="s">
        <v>134</v>
      </c>
      <c r="I278" s="25" t="s">
        <v>83</v>
      </c>
      <c r="J278" s="25" t="s">
        <v>2693</v>
      </c>
      <c r="K278" s="25">
        <v>3854215020</v>
      </c>
      <c r="L278" s="25" t="s">
        <v>2694</v>
      </c>
      <c r="M278" s="25" t="s">
        <v>2695</v>
      </c>
      <c r="N278" s="25" t="s">
        <v>1121</v>
      </c>
      <c r="O278" s="25">
        <v>3854350971</v>
      </c>
      <c r="P278" s="25" t="s">
        <v>2696</v>
      </c>
      <c r="Q278" s="25" t="s">
        <v>2697</v>
      </c>
      <c r="R278" s="25" t="s">
        <v>1121</v>
      </c>
      <c r="S278" s="25">
        <v>3854350971</v>
      </c>
      <c r="T278" s="25" t="s">
        <v>2696</v>
      </c>
      <c r="U278" s="181">
        <v>2017</v>
      </c>
      <c r="W278" s="25"/>
      <c r="Y278" s="25"/>
    </row>
    <row r="279" spans="1:28" ht="30" customHeight="1" x14ac:dyDescent="0.2">
      <c r="A279">
        <v>276</v>
      </c>
      <c r="B279" s="37">
        <v>860187600</v>
      </c>
      <c r="C279" s="25" t="s">
        <v>706</v>
      </c>
      <c r="D279" s="25" t="s">
        <v>146</v>
      </c>
      <c r="E279" s="25" t="s">
        <v>2531</v>
      </c>
      <c r="F279" s="25" t="s">
        <v>1587</v>
      </c>
      <c r="G279" s="25">
        <v>4200</v>
      </c>
      <c r="H279" s="25" t="s">
        <v>134</v>
      </c>
      <c r="I279" s="25" t="s">
        <v>83</v>
      </c>
      <c r="J279" s="25" t="s">
        <v>1588</v>
      </c>
      <c r="K279" s="25">
        <v>3856007889</v>
      </c>
      <c r="L279" s="25" t="s">
        <v>879</v>
      </c>
      <c r="M279" s="25" t="s">
        <v>1589</v>
      </c>
      <c r="N279" s="25" t="s">
        <v>1121</v>
      </c>
      <c r="O279" s="25" t="s">
        <v>1590</v>
      </c>
      <c r="P279" s="25" t="s">
        <v>1591</v>
      </c>
      <c r="Q279" s="25" t="s">
        <v>1592</v>
      </c>
      <c r="R279" s="25" t="s">
        <v>1119</v>
      </c>
      <c r="S279" s="25" t="s">
        <v>2817</v>
      </c>
      <c r="T279" s="25" t="s">
        <v>880</v>
      </c>
      <c r="U279" s="181">
        <v>2017</v>
      </c>
      <c r="W279" s="25"/>
      <c r="Y279" s="25"/>
    </row>
    <row r="280" spans="1:28" ht="30" customHeight="1" x14ac:dyDescent="0.2">
      <c r="A280">
        <v>277</v>
      </c>
      <c r="B280" s="37">
        <v>860220000</v>
      </c>
      <c r="C280" s="37" t="s">
        <v>707</v>
      </c>
      <c r="D280" s="37" t="s">
        <v>146</v>
      </c>
      <c r="E280" s="37" t="s">
        <v>152</v>
      </c>
      <c r="F280" s="37" t="s">
        <v>146</v>
      </c>
      <c r="G280" s="25">
        <v>4200</v>
      </c>
      <c r="H280" s="25" t="s">
        <v>134</v>
      </c>
      <c r="I280" s="25" t="s">
        <v>83</v>
      </c>
      <c r="J280" s="37" t="s">
        <v>2768</v>
      </c>
      <c r="K280" s="37" t="s">
        <v>2769</v>
      </c>
      <c r="L280" s="37" t="s">
        <v>2770</v>
      </c>
      <c r="M280" s="37" t="s">
        <v>2771</v>
      </c>
      <c r="N280" s="37" t="s">
        <v>1118</v>
      </c>
      <c r="O280" s="37" t="s">
        <v>2769</v>
      </c>
      <c r="P280" s="37" t="s">
        <v>2770</v>
      </c>
      <c r="Q280" s="37" t="s">
        <v>2772</v>
      </c>
      <c r="R280" s="37" t="s">
        <v>1181</v>
      </c>
      <c r="S280" s="37">
        <v>3855870070</v>
      </c>
      <c r="T280" s="37" t="s">
        <v>2773</v>
      </c>
      <c r="U280" s="181">
        <v>2017</v>
      </c>
      <c r="W280" s="25"/>
      <c r="Y280" s="25"/>
    </row>
    <row r="281" spans="1:28" ht="30" customHeight="1" x14ac:dyDescent="0.2">
      <c r="A281">
        <v>278</v>
      </c>
      <c r="B281" s="37">
        <v>900104000</v>
      </c>
      <c r="C281" s="25" t="s">
        <v>390</v>
      </c>
      <c r="D281" s="25" t="s">
        <v>147</v>
      </c>
      <c r="E281" s="25" t="s">
        <v>152</v>
      </c>
      <c r="F281" s="25" t="s">
        <v>2003</v>
      </c>
      <c r="G281" s="25">
        <v>4000</v>
      </c>
      <c r="H281" s="25" t="s">
        <v>82</v>
      </c>
      <c r="I281" s="25" t="s">
        <v>83</v>
      </c>
      <c r="J281" s="25" t="s">
        <v>2004</v>
      </c>
      <c r="K281" s="25">
        <v>3813023583</v>
      </c>
      <c r="L281" s="25" t="s">
        <v>2005</v>
      </c>
      <c r="M281" s="25" t="s">
        <v>2006</v>
      </c>
      <c r="N281" s="25" t="s">
        <v>1121</v>
      </c>
      <c r="O281" s="25">
        <v>3816434012</v>
      </c>
      <c r="P281" s="25" t="s">
        <v>1981</v>
      </c>
      <c r="Q281" s="25" t="s">
        <v>2007</v>
      </c>
      <c r="R281" s="25" t="s">
        <v>1119</v>
      </c>
      <c r="S281" s="25">
        <v>3813023583</v>
      </c>
      <c r="T281" s="25" t="s">
        <v>2005</v>
      </c>
      <c r="U281" s="181">
        <v>2016</v>
      </c>
      <c r="W281" s="25"/>
      <c r="Y281" s="25"/>
    </row>
    <row r="282" spans="1:28" ht="30" customHeight="1" x14ac:dyDescent="0.2">
      <c r="A282">
        <v>279</v>
      </c>
      <c r="B282" s="37">
        <v>900104001</v>
      </c>
      <c r="C282" s="25" t="s">
        <v>391</v>
      </c>
      <c r="D282" s="25" t="s">
        <v>147</v>
      </c>
      <c r="E282" s="25" t="s">
        <v>392</v>
      </c>
      <c r="F282" s="25" t="s">
        <v>1989</v>
      </c>
      <c r="G282" s="25">
        <v>4146</v>
      </c>
      <c r="H282" s="25" t="s">
        <v>82</v>
      </c>
      <c r="I282" s="25" t="s">
        <v>83</v>
      </c>
      <c r="J282" s="25" t="s">
        <v>1990</v>
      </c>
      <c r="L282" s="25" t="s">
        <v>1991</v>
      </c>
      <c r="M282" s="25" t="s">
        <v>1992</v>
      </c>
      <c r="N282" s="25" t="s">
        <v>1121</v>
      </c>
      <c r="O282" s="25" t="s">
        <v>1993</v>
      </c>
      <c r="P282" s="25" t="s">
        <v>1994</v>
      </c>
      <c r="Q282" s="25" t="s">
        <v>1995</v>
      </c>
      <c r="R282" s="25" t="s">
        <v>1122</v>
      </c>
      <c r="S282" s="25">
        <v>3815550245</v>
      </c>
      <c r="T282" s="25" t="s">
        <v>1996</v>
      </c>
      <c r="U282" s="181">
        <v>2016</v>
      </c>
      <c r="W282" s="25"/>
      <c r="Y282" s="25"/>
      <c r="Z282" s="25"/>
      <c r="AA282" s="25"/>
      <c r="AB282" s="25"/>
    </row>
    <row r="283" spans="1:28" ht="30" customHeight="1" x14ac:dyDescent="0.2">
      <c r="A283">
        <v>280</v>
      </c>
      <c r="B283" s="37">
        <v>900104002</v>
      </c>
      <c r="C283" s="25" t="s">
        <v>393</v>
      </c>
      <c r="D283" s="25" t="s">
        <v>147</v>
      </c>
      <c r="E283" s="25" t="s">
        <v>2178</v>
      </c>
      <c r="F283" s="25" t="s">
        <v>2178</v>
      </c>
      <c r="G283" s="25">
        <v>4142</v>
      </c>
      <c r="H283" s="25" t="s">
        <v>82</v>
      </c>
      <c r="I283" s="25" t="s">
        <v>83</v>
      </c>
      <c r="J283" s="25" t="s">
        <v>2179</v>
      </c>
      <c r="L283" s="25" t="s">
        <v>2180</v>
      </c>
      <c r="M283" s="25" t="s">
        <v>2181</v>
      </c>
      <c r="N283" s="25" t="s">
        <v>1121</v>
      </c>
      <c r="O283" s="25">
        <v>3816434012</v>
      </c>
      <c r="P283" s="25" t="s">
        <v>1981</v>
      </c>
      <c r="Q283" s="25" t="s">
        <v>2182</v>
      </c>
      <c r="R283" s="25" t="s">
        <v>1119</v>
      </c>
      <c r="S283" s="25">
        <v>3813023583</v>
      </c>
      <c r="T283" s="25" t="s">
        <v>2005</v>
      </c>
      <c r="U283" s="181">
        <v>2016</v>
      </c>
      <c r="W283" s="25"/>
      <c r="Y283" s="25"/>
      <c r="Z283" s="25"/>
      <c r="AA283" s="25"/>
      <c r="AB283" s="25"/>
    </row>
    <row r="284" spans="1:28" ht="30" customHeight="1" x14ac:dyDescent="0.2">
      <c r="A284">
        <v>281</v>
      </c>
      <c r="B284" s="37">
        <v>900104003</v>
      </c>
      <c r="C284" s="25" t="s">
        <v>394</v>
      </c>
      <c r="D284" s="25" t="s">
        <v>147</v>
      </c>
      <c r="E284" s="25" t="s">
        <v>1976</v>
      </c>
      <c r="F284" s="25" t="s">
        <v>1976</v>
      </c>
      <c r="G284" s="25">
        <v>4132</v>
      </c>
      <c r="H284" s="25" t="s">
        <v>82</v>
      </c>
      <c r="I284" s="25" t="s">
        <v>83</v>
      </c>
      <c r="J284" s="25" t="s">
        <v>1977</v>
      </c>
      <c r="K284" s="25" t="s">
        <v>1978</v>
      </c>
      <c r="L284" s="25" t="s">
        <v>1979</v>
      </c>
      <c r="M284" s="25" t="s">
        <v>1980</v>
      </c>
      <c r="N284" s="25" t="s">
        <v>1121</v>
      </c>
      <c r="O284" s="25">
        <v>3816434012</v>
      </c>
      <c r="P284" s="25" t="s">
        <v>1981</v>
      </c>
      <c r="Q284" s="25" t="s">
        <v>1982</v>
      </c>
      <c r="R284" s="25" t="s">
        <v>1122</v>
      </c>
      <c r="S284" s="25">
        <v>3863409112</v>
      </c>
      <c r="T284" s="25" t="s">
        <v>1983</v>
      </c>
      <c r="U284" s="181">
        <v>2016</v>
      </c>
      <c r="W284" s="25"/>
      <c r="Y284" s="25"/>
      <c r="Z284" s="25"/>
      <c r="AA284" s="25"/>
      <c r="AB284" s="25"/>
    </row>
    <row r="285" spans="1:28" ht="30" customHeight="1" x14ac:dyDescent="0.2">
      <c r="A285">
        <v>282</v>
      </c>
      <c r="B285" s="37">
        <v>900104004</v>
      </c>
      <c r="C285" s="25" t="s">
        <v>395</v>
      </c>
      <c r="D285" s="25" t="s">
        <v>147</v>
      </c>
      <c r="E285" s="25" t="s">
        <v>396</v>
      </c>
      <c r="F285" s="25" t="s">
        <v>2015</v>
      </c>
      <c r="G285" s="25">
        <v>4124</v>
      </c>
      <c r="H285" s="25" t="s">
        <v>82</v>
      </c>
      <c r="I285" s="25" t="s">
        <v>83</v>
      </c>
      <c r="J285" s="25" t="s">
        <v>2016</v>
      </c>
      <c r="K285" s="25">
        <v>3814238840</v>
      </c>
      <c r="L285" s="25" t="s">
        <v>2017</v>
      </c>
      <c r="M285" s="25" t="s">
        <v>2018</v>
      </c>
      <c r="N285" s="25" t="s">
        <v>1121</v>
      </c>
      <c r="O285" s="25">
        <v>3814238840</v>
      </c>
      <c r="P285" s="25" t="s">
        <v>2019</v>
      </c>
      <c r="Q285" s="25" t="s">
        <v>2020</v>
      </c>
      <c r="R285" s="25" t="s">
        <v>1122</v>
      </c>
      <c r="S285" s="25">
        <v>3815513391</v>
      </c>
      <c r="T285" s="25" t="s">
        <v>2021</v>
      </c>
      <c r="U285" s="181">
        <v>2016</v>
      </c>
      <c r="W285" s="25"/>
      <c r="Y285" s="25"/>
      <c r="Z285" s="25"/>
      <c r="AA285" s="25"/>
      <c r="AB285" s="25"/>
    </row>
    <row r="286" spans="1:28" ht="30" customHeight="1" x14ac:dyDescent="0.2">
      <c r="A286">
        <v>283</v>
      </c>
      <c r="B286" s="37">
        <v>900104005</v>
      </c>
      <c r="C286" s="25" t="s">
        <v>397</v>
      </c>
      <c r="D286" s="25" t="s">
        <v>147</v>
      </c>
      <c r="E286" s="25" t="s">
        <v>398</v>
      </c>
      <c r="F286" s="25" t="s">
        <v>2045</v>
      </c>
      <c r="G286" s="25">
        <v>4105</v>
      </c>
      <c r="H286" s="25" t="s">
        <v>82</v>
      </c>
      <c r="I286" s="25" t="s">
        <v>83</v>
      </c>
      <c r="J286" s="25" t="s">
        <v>2046</v>
      </c>
      <c r="K286" s="25" t="s">
        <v>2047</v>
      </c>
      <c r="L286" s="25" t="s">
        <v>2048</v>
      </c>
      <c r="M286" s="25" t="s">
        <v>1987</v>
      </c>
      <c r="N286" s="25" t="s">
        <v>1121</v>
      </c>
      <c r="O286" s="25" t="s">
        <v>2049</v>
      </c>
      <c r="P286" s="25" t="s">
        <v>1994</v>
      </c>
      <c r="Q286" s="25" t="s">
        <v>2050</v>
      </c>
      <c r="R286" s="25" t="s">
        <v>1122</v>
      </c>
      <c r="S286" s="25" t="s">
        <v>2047</v>
      </c>
      <c r="T286" s="25" t="s">
        <v>2048</v>
      </c>
      <c r="U286" s="181">
        <v>2016</v>
      </c>
      <c r="W286" s="25"/>
      <c r="Y286" s="25"/>
      <c r="Z286" s="25"/>
      <c r="AA286" s="25"/>
      <c r="AB286" s="25"/>
    </row>
    <row r="287" spans="1:28" ht="30" customHeight="1" x14ac:dyDescent="0.2">
      <c r="A287">
        <v>284</v>
      </c>
      <c r="B287" s="37">
        <v>900104006</v>
      </c>
      <c r="C287" s="25" t="s">
        <v>399</v>
      </c>
      <c r="D287" s="25" t="s">
        <v>147</v>
      </c>
      <c r="E287" s="25" t="s">
        <v>2532</v>
      </c>
      <c r="F287" s="25" t="s">
        <v>2741</v>
      </c>
      <c r="G287" s="25">
        <v>4103</v>
      </c>
      <c r="H287" s="25" t="s">
        <v>82</v>
      </c>
      <c r="I287" s="25" t="s">
        <v>83</v>
      </c>
      <c r="J287" s="25" t="s">
        <v>2030</v>
      </c>
      <c r="K287" s="25">
        <v>3813014695</v>
      </c>
      <c r="L287" s="25" t="s">
        <v>2031</v>
      </c>
      <c r="M287" s="25" t="s">
        <v>2032</v>
      </c>
      <c r="N287" s="25" t="s">
        <v>1121</v>
      </c>
      <c r="O287" s="25">
        <v>3816434012</v>
      </c>
      <c r="P287" s="25" t="s">
        <v>2033</v>
      </c>
      <c r="Q287" s="25" t="s">
        <v>2034</v>
      </c>
      <c r="R287" s="25" t="s">
        <v>1119</v>
      </c>
      <c r="S287" s="25">
        <v>3813023583</v>
      </c>
      <c r="T287" s="25" t="s">
        <v>2033</v>
      </c>
      <c r="U287" s="181">
        <v>2016</v>
      </c>
      <c r="W287" s="25"/>
      <c r="Y287" s="25"/>
      <c r="Z287" s="25"/>
      <c r="AA287" s="25"/>
      <c r="AB287" s="25"/>
    </row>
    <row r="288" spans="1:28" ht="30" customHeight="1" x14ac:dyDescent="0.2">
      <c r="A288">
        <v>285</v>
      </c>
      <c r="B288" s="37">
        <v>900104007</v>
      </c>
      <c r="C288" s="25" t="s">
        <v>400</v>
      </c>
      <c r="D288" s="25" t="s">
        <v>147</v>
      </c>
      <c r="E288" s="25" t="s">
        <v>2533</v>
      </c>
      <c r="F288" s="25" t="s">
        <v>2068</v>
      </c>
      <c r="G288" s="25">
        <v>4117</v>
      </c>
      <c r="H288" s="25" t="s">
        <v>82</v>
      </c>
      <c r="I288" s="25" t="s">
        <v>83</v>
      </c>
      <c r="J288" s="25" t="s">
        <v>2069</v>
      </c>
      <c r="K288" s="25" t="s">
        <v>2070</v>
      </c>
      <c r="L288" s="25" t="s">
        <v>2071</v>
      </c>
      <c r="M288" s="25" t="s">
        <v>2072</v>
      </c>
      <c r="N288" s="25" t="s">
        <v>1121</v>
      </c>
      <c r="O288" s="25" t="s">
        <v>2070</v>
      </c>
      <c r="P288" s="25" t="s">
        <v>2071</v>
      </c>
      <c r="Q288" s="25" t="s">
        <v>2073</v>
      </c>
      <c r="R288" s="25" t="s">
        <v>1119</v>
      </c>
      <c r="S288" s="25" t="s">
        <v>2070</v>
      </c>
      <c r="T288" s="25" t="s">
        <v>2071</v>
      </c>
      <c r="U288" s="181">
        <v>2016</v>
      </c>
      <c r="W288" s="25"/>
      <c r="Y288" s="25"/>
      <c r="Z288" s="25"/>
      <c r="AA288" s="25"/>
      <c r="AB288" s="25"/>
    </row>
    <row r="289" spans="1:31" ht="30" customHeight="1" x14ac:dyDescent="0.2">
      <c r="A289">
        <v>286</v>
      </c>
      <c r="B289" s="37">
        <v>900104008</v>
      </c>
      <c r="C289" s="25" t="s">
        <v>401</v>
      </c>
      <c r="D289" s="25" t="s">
        <v>147</v>
      </c>
      <c r="E289" s="25" t="s">
        <v>402</v>
      </c>
      <c r="F289" s="25" t="s">
        <v>402</v>
      </c>
      <c r="G289" s="25">
        <v>4159</v>
      </c>
      <c r="H289" s="25" t="s">
        <v>82</v>
      </c>
      <c r="I289" s="25" t="s">
        <v>83</v>
      </c>
      <c r="J289" s="25" t="s">
        <v>2064</v>
      </c>
      <c r="K289" s="25">
        <v>3865317803</v>
      </c>
      <c r="L289" s="25" t="s">
        <v>2065</v>
      </c>
      <c r="M289" s="25" t="s">
        <v>2066</v>
      </c>
      <c r="N289" s="25" t="s">
        <v>1121</v>
      </c>
      <c r="O289" s="25">
        <v>3816434012</v>
      </c>
      <c r="P289" s="25" t="s">
        <v>2065</v>
      </c>
      <c r="Q289" s="25" t="s">
        <v>2067</v>
      </c>
      <c r="R289" s="25" t="s">
        <v>1122</v>
      </c>
      <c r="S289" s="25">
        <v>3865317803</v>
      </c>
      <c r="T289" s="25" t="s">
        <v>2065</v>
      </c>
      <c r="U289" s="181">
        <v>2016</v>
      </c>
      <c r="W289" s="25"/>
      <c r="Y289" s="25"/>
      <c r="Z289" s="25"/>
      <c r="AB289" s="25"/>
      <c r="AC289" s="25"/>
      <c r="AD289" s="25"/>
      <c r="AE289" s="25"/>
    </row>
    <row r="290" spans="1:31" ht="30" customHeight="1" x14ac:dyDescent="0.2">
      <c r="A290">
        <v>287</v>
      </c>
      <c r="B290" s="37">
        <v>900104009</v>
      </c>
      <c r="C290" s="25" t="s">
        <v>708</v>
      </c>
      <c r="D290" s="25" t="s">
        <v>147</v>
      </c>
      <c r="E290" s="25" t="s">
        <v>403</v>
      </c>
      <c r="F290" s="25" t="s">
        <v>403</v>
      </c>
      <c r="G290" s="25">
        <v>4172</v>
      </c>
      <c r="H290" s="25" t="s">
        <v>82</v>
      </c>
      <c r="I290" s="25" t="s">
        <v>83</v>
      </c>
      <c r="J290" s="25" t="s">
        <v>2022</v>
      </c>
      <c r="K290" s="25" t="s">
        <v>2023</v>
      </c>
      <c r="L290" s="25" t="s">
        <v>2024</v>
      </c>
      <c r="M290" s="25" t="s">
        <v>2025</v>
      </c>
      <c r="N290" s="25" t="s">
        <v>1121</v>
      </c>
      <c r="O290" s="25" t="s">
        <v>2026</v>
      </c>
      <c r="P290" s="25" t="s">
        <v>1981</v>
      </c>
      <c r="Q290" s="25" t="s">
        <v>2027</v>
      </c>
      <c r="R290" s="25" t="s">
        <v>1119</v>
      </c>
      <c r="S290" s="25" t="s">
        <v>2028</v>
      </c>
      <c r="T290" s="25" t="s">
        <v>2029</v>
      </c>
      <c r="U290" s="181">
        <v>2017</v>
      </c>
      <c r="W290" s="25"/>
      <c r="Y290" s="25"/>
      <c r="Z290" s="25"/>
      <c r="AA290" s="25"/>
      <c r="AB290" s="25"/>
    </row>
    <row r="291" spans="1:31" ht="30" customHeight="1" x14ac:dyDescent="0.2">
      <c r="A291">
        <v>288</v>
      </c>
      <c r="B291" s="37">
        <v>900104010</v>
      </c>
      <c r="C291" s="25" t="s">
        <v>404</v>
      </c>
      <c r="D291" s="25" t="s">
        <v>147</v>
      </c>
      <c r="E291" s="25" t="s">
        <v>398</v>
      </c>
      <c r="F291" s="25" t="s">
        <v>2200</v>
      </c>
      <c r="G291" s="25">
        <v>4182</v>
      </c>
      <c r="H291" s="25" t="s">
        <v>82</v>
      </c>
      <c r="I291" s="25" t="s">
        <v>83</v>
      </c>
      <c r="J291" s="25" t="s">
        <v>2201</v>
      </c>
      <c r="K291" s="25">
        <v>3813200564</v>
      </c>
      <c r="L291" s="25" t="s">
        <v>2202</v>
      </c>
      <c r="M291" s="25" t="s">
        <v>2007</v>
      </c>
      <c r="N291" s="25" t="s">
        <v>1118</v>
      </c>
      <c r="O291" s="25">
        <v>3813023583</v>
      </c>
      <c r="P291" s="25" t="s">
        <v>2005</v>
      </c>
      <c r="Q291" s="25" t="s">
        <v>2203</v>
      </c>
      <c r="R291" s="25" t="s">
        <v>1122</v>
      </c>
      <c r="S291" s="25">
        <v>3813200564</v>
      </c>
      <c r="T291" s="25" t="s">
        <v>2204</v>
      </c>
      <c r="U291" s="181">
        <v>2018</v>
      </c>
      <c r="W291" s="25"/>
      <c r="Y291" s="25"/>
      <c r="Z291" s="25"/>
      <c r="AA291" s="25"/>
      <c r="AB291" s="25"/>
    </row>
    <row r="292" spans="1:31" ht="30" customHeight="1" x14ac:dyDescent="0.2">
      <c r="A292">
        <v>289</v>
      </c>
      <c r="B292" s="37">
        <v>900104011</v>
      </c>
      <c r="C292" s="25" t="s">
        <v>405</v>
      </c>
      <c r="D292" s="25" t="s">
        <v>147</v>
      </c>
      <c r="E292" s="25" t="s">
        <v>406</v>
      </c>
      <c r="F292" s="25" t="s">
        <v>2742</v>
      </c>
      <c r="G292" s="25">
        <v>4137</v>
      </c>
      <c r="H292" s="25" t="s">
        <v>82</v>
      </c>
      <c r="I292" s="25" t="s">
        <v>83</v>
      </c>
      <c r="J292" s="25" t="s">
        <v>2035</v>
      </c>
      <c r="K292" s="25">
        <v>3867497299</v>
      </c>
      <c r="L292" s="25" t="s">
        <v>2036</v>
      </c>
      <c r="M292" s="25" t="s">
        <v>2032</v>
      </c>
      <c r="N292" s="25" t="s">
        <v>1121</v>
      </c>
      <c r="O292" s="25">
        <v>3816434012</v>
      </c>
      <c r="P292" s="25" t="s">
        <v>1981</v>
      </c>
      <c r="Q292" s="25" t="s">
        <v>2037</v>
      </c>
      <c r="R292" s="25" t="s">
        <v>1119</v>
      </c>
      <c r="S292" s="25">
        <v>3813023583</v>
      </c>
      <c r="T292" s="25" t="s">
        <v>2005</v>
      </c>
      <c r="U292" s="181">
        <v>2018</v>
      </c>
      <c r="W292" s="25"/>
      <c r="Y292" s="25"/>
      <c r="Z292" s="25"/>
      <c r="AA292" s="25"/>
      <c r="AB292" s="25"/>
    </row>
    <row r="293" spans="1:31" ht="45" customHeight="1" x14ac:dyDescent="0.2">
      <c r="A293">
        <v>290</v>
      </c>
      <c r="B293" s="37">
        <v>900104012</v>
      </c>
      <c r="C293" s="25" t="s">
        <v>407</v>
      </c>
      <c r="D293" s="25" t="s">
        <v>147</v>
      </c>
      <c r="E293" s="25" t="s">
        <v>2534</v>
      </c>
      <c r="F293" s="25" t="s">
        <v>1997</v>
      </c>
      <c r="G293" s="25">
        <v>4111</v>
      </c>
      <c r="H293" s="25" t="s">
        <v>82</v>
      </c>
      <c r="I293" s="25" t="s">
        <v>83</v>
      </c>
      <c r="J293" s="25" t="s">
        <v>1998</v>
      </c>
      <c r="L293" s="25" t="s">
        <v>1999</v>
      </c>
      <c r="M293" s="25" t="s">
        <v>2000</v>
      </c>
      <c r="N293" s="25" t="s">
        <v>1121</v>
      </c>
      <c r="O293" s="25">
        <v>3816434012</v>
      </c>
      <c r="P293" s="25" t="s">
        <v>1994</v>
      </c>
      <c r="Q293" s="25" t="s">
        <v>2001</v>
      </c>
      <c r="R293" s="25" t="s">
        <v>1122</v>
      </c>
      <c r="S293" s="25">
        <v>3816628166</v>
      </c>
      <c r="T293" s="25" t="s">
        <v>2002</v>
      </c>
      <c r="U293" s="181">
        <v>2018</v>
      </c>
      <c r="W293" s="25"/>
      <c r="Y293" s="25"/>
      <c r="Z293" s="25"/>
      <c r="AA293" s="25"/>
      <c r="AB293" s="25"/>
    </row>
    <row r="294" spans="1:31" ht="30" customHeight="1" x14ac:dyDescent="0.2">
      <c r="A294">
        <v>291</v>
      </c>
      <c r="B294" s="37">
        <v>900104013</v>
      </c>
      <c r="C294" s="25" t="s">
        <v>1097</v>
      </c>
      <c r="D294" s="25" t="s">
        <v>147</v>
      </c>
      <c r="E294" s="25" t="s">
        <v>1098</v>
      </c>
      <c r="F294" s="25" t="s">
        <v>1098</v>
      </c>
      <c r="G294" s="25">
        <v>4128</v>
      </c>
      <c r="H294" s="25" t="s">
        <v>82</v>
      </c>
      <c r="I294" s="25" t="s">
        <v>83</v>
      </c>
      <c r="J294" s="25" t="s">
        <v>1984</v>
      </c>
      <c r="K294" s="25" t="s">
        <v>1985</v>
      </c>
      <c r="L294" s="25" t="s">
        <v>1986</v>
      </c>
      <c r="M294" s="25" t="s">
        <v>1987</v>
      </c>
      <c r="N294" s="25" t="s">
        <v>1121</v>
      </c>
      <c r="O294" s="25">
        <v>3815641235</v>
      </c>
      <c r="P294" s="25" t="s">
        <v>1986</v>
      </c>
      <c r="Q294" s="25" t="s">
        <v>1988</v>
      </c>
      <c r="R294" s="25" t="s">
        <v>1122</v>
      </c>
      <c r="S294" s="25">
        <v>3815641235</v>
      </c>
      <c r="T294" s="25" t="s">
        <v>1986</v>
      </c>
      <c r="U294" s="181">
        <v>2023</v>
      </c>
      <c r="W294" s="25"/>
      <c r="Y294" s="25"/>
      <c r="Z294" s="25"/>
      <c r="AA294" s="25"/>
      <c r="AB294" s="25"/>
    </row>
    <row r="295" spans="1:31" ht="45" customHeight="1" x14ac:dyDescent="0.2">
      <c r="A295">
        <v>292</v>
      </c>
      <c r="B295" s="37">
        <v>900104014</v>
      </c>
      <c r="C295" s="25" t="s">
        <v>1099</v>
      </c>
      <c r="D295" s="25" t="s">
        <v>147</v>
      </c>
      <c r="E295" s="25" t="s">
        <v>2535</v>
      </c>
      <c r="F295" s="25" t="s">
        <v>2051</v>
      </c>
      <c r="G295" s="25">
        <v>4103</v>
      </c>
      <c r="H295" s="25" t="s">
        <v>82</v>
      </c>
      <c r="I295" s="25" t="s">
        <v>83</v>
      </c>
      <c r="J295" s="25" t="s">
        <v>2052</v>
      </c>
      <c r="K295" s="25" t="s">
        <v>2053</v>
      </c>
      <c r="L295" s="25" t="s">
        <v>2054</v>
      </c>
      <c r="M295" s="25" t="s">
        <v>2055</v>
      </c>
      <c r="N295" s="25" t="s">
        <v>1121</v>
      </c>
      <c r="O295" s="25" t="s">
        <v>2056</v>
      </c>
      <c r="P295" s="25" t="s">
        <v>1981</v>
      </c>
      <c r="Q295" s="25" t="s">
        <v>2057</v>
      </c>
      <c r="R295" s="25" t="s">
        <v>1121</v>
      </c>
      <c r="S295" s="25" t="s">
        <v>1993</v>
      </c>
      <c r="T295" s="25" t="s">
        <v>1981</v>
      </c>
      <c r="U295" s="181">
        <v>2023</v>
      </c>
    </row>
    <row r="296" spans="1:31" ht="45" customHeight="1" x14ac:dyDescent="0.2">
      <c r="A296">
        <v>293</v>
      </c>
      <c r="B296" s="37">
        <v>940003200</v>
      </c>
      <c r="C296" s="25" t="s">
        <v>709</v>
      </c>
      <c r="D296" s="37" t="s">
        <v>148</v>
      </c>
      <c r="E296" s="25" t="s">
        <v>2536</v>
      </c>
      <c r="F296" s="37" t="s">
        <v>408</v>
      </c>
      <c r="G296" s="25">
        <v>9420</v>
      </c>
      <c r="H296" s="25" t="s">
        <v>82</v>
      </c>
      <c r="I296" s="25" t="s">
        <v>83</v>
      </c>
      <c r="J296" t="s">
        <v>1946</v>
      </c>
      <c r="K296">
        <v>2964434030</v>
      </c>
      <c r="L296" t="s">
        <v>1947</v>
      </c>
      <c r="M296" t="s">
        <v>1948</v>
      </c>
      <c r="N296" t="s">
        <v>1121</v>
      </c>
      <c r="O296">
        <v>2964505640</v>
      </c>
      <c r="P296" t="s">
        <v>1949</v>
      </c>
      <c r="Q296" t="s">
        <v>1950</v>
      </c>
      <c r="R296" t="s">
        <v>1122</v>
      </c>
      <c r="S296">
        <v>2964540912</v>
      </c>
      <c r="T296" t="s">
        <v>1951</v>
      </c>
      <c r="U296" s="181">
        <v>2016</v>
      </c>
    </row>
    <row r="297" spans="1:31" ht="45" customHeight="1" x14ac:dyDescent="0.2">
      <c r="A297">
        <v>294</v>
      </c>
      <c r="B297" s="37">
        <v>940006500</v>
      </c>
      <c r="C297" s="25" t="s">
        <v>1066</v>
      </c>
      <c r="D297" s="25" t="s">
        <v>148</v>
      </c>
      <c r="E297" s="25" t="s">
        <v>409</v>
      </c>
      <c r="F297" s="25" t="s">
        <v>409</v>
      </c>
      <c r="G297" s="25">
        <v>9410</v>
      </c>
      <c r="H297" s="25" t="s">
        <v>82</v>
      </c>
      <c r="I297" s="25" t="s">
        <v>83</v>
      </c>
      <c r="J297" s="25" t="s">
        <v>1789</v>
      </c>
      <c r="L297" s="25" t="s">
        <v>1790</v>
      </c>
      <c r="M297" s="25" t="s">
        <v>1791</v>
      </c>
      <c r="N297" s="25" t="s">
        <v>1121</v>
      </c>
      <c r="O297" s="25">
        <v>2901612831</v>
      </c>
      <c r="P297" s="25" t="s">
        <v>1790</v>
      </c>
      <c r="Q297" s="25" t="s">
        <v>1792</v>
      </c>
      <c r="R297" s="25" t="s">
        <v>1122</v>
      </c>
      <c r="S297" s="25">
        <v>2901543444</v>
      </c>
      <c r="T297" s="25" t="s">
        <v>1793</v>
      </c>
      <c r="U297" s="181">
        <v>2016</v>
      </c>
    </row>
    <row r="298" spans="1:31" ht="45" customHeight="1" x14ac:dyDescent="0.2">
      <c r="A298">
        <v>295</v>
      </c>
      <c r="B298" s="37" t="s">
        <v>2811</v>
      </c>
      <c r="C298" s="25" t="s">
        <v>2812</v>
      </c>
      <c r="D298" s="25" t="s">
        <v>140</v>
      </c>
      <c r="E298" s="25" t="s">
        <v>2813</v>
      </c>
      <c r="F298" s="25" t="s">
        <v>2814</v>
      </c>
      <c r="G298" s="25">
        <v>3228</v>
      </c>
      <c r="H298" s="25" t="s">
        <v>82</v>
      </c>
      <c r="I298" s="25" t="s">
        <v>976</v>
      </c>
      <c r="U298" s="181">
        <v>2025</v>
      </c>
    </row>
    <row r="362" ht="0" hidden="1" customHeight="1" x14ac:dyDescent="0.2"/>
    <row r="369" spans="2:16" ht="45" customHeight="1" x14ac:dyDescent="0.2">
      <c r="L369" s="132"/>
      <c r="P369" s="132"/>
    </row>
    <row r="373" spans="2:16" ht="45" customHeight="1" x14ac:dyDescent="0.2">
      <c r="B373" s="80"/>
    </row>
    <row r="418" spans="2:16" ht="45" customHeight="1" x14ac:dyDescent="0.2">
      <c r="L418" s="132"/>
    </row>
    <row r="420" spans="2:16" ht="45" customHeight="1" x14ac:dyDescent="0.2">
      <c r="L420" s="132"/>
      <c r="P420" s="132"/>
    </row>
    <row r="425" spans="2:16" ht="45" customHeight="1" x14ac:dyDescent="0.2">
      <c r="B425" s="80"/>
    </row>
    <row r="459" spans="16:16" ht="45" customHeight="1" x14ac:dyDescent="0.2">
      <c r="P459" s="132"/>
    </row>
    <row r="478" spans="2:2" ht="45" customHeight="1" x14ac:dyDescent="0.2">
      <c r="B478" s="80"/>
    </row>
    <row r="479" spans="2:2" ht="45" customHeight="1" x14ac:dyDescent="0.2">
      <c r="B479" s="80"/>
    </row>
    <row r="486" ht="0" hidden="1" customHeight="1" x14ac:dyDescent="0.2"/>
    <row r="501" spans="13:17" ht="45" customHeight="1" x14ac:dyDescent="0.2">
      <c r="P501" s="132"/>
    </row>
    <row r="510" spans="13:17" ht="45" customHeight="1" x14ac:dyDescent="0.2"/>
    <row r="520" ht="31.5" customHeight="1" x14ac:dyDescent="0.2"/>
  </sheetData>
  <autoFilter ref="D3:F297" xr:uid="{00000000-0001-0000-0000-000000000000}"/>
  <sortState xmlns:xlrd2="http://schemas.microsoft.com/office/spreadsheetml/2017/richdata2" ref="B4:U298">
    <sortCondition ref="B4:B298"/>
  </sortState>
  <dataValidations disablePrompts="1" count="7">
    <dataValidation allowBlank="1" showErrorMessage="1" error="Valor incorrecto._x000a_Por favor, ingrese solo números sin guiones ni barras." sqref="B370 B484:B492" xr:uid="{00000000-0002-0000-0000-000000000000}"/>
    <dataValidation allowBlank="1" showErrorMessage="1" sqref="C370 C484:C492" xr:uid="{00000000-0002-0000-0000-000001000000}"/>
    <dataValidation allowBlank="1" showInputMessage="1" showErrorMessage="1" prompt="Por favor indique calle y número" sqref="J487:J492 J484:J485" xr:uid="{00000000-0002-0000-0000-000002000000}"/>
    <dataValidation allowBlank="1" showInputMessage="1" showErrorMessage="1" prompt="Nombre y apellido de la maxima autoridad de la carrera._x000a_" sqref="Q484:Q492" xr:uid="{00000000-0002-0000-0000-000003000000}"/>
    <dataValidation allowBlank="1" showInputMessage="1" showErrorMessage="1" prompt="Director/a de estudios_x000a_Coordinador/a" sqref="R484:R492" xr:uid="{00000000-0002-0000-0000-000004000000}"/>
    <dataValidation allowBlank="1" showInputMessage="1" showErrorMessage="1" prompt="Nombre y apellido de la máxima autoridad académica de la Institución." sqref="P34" xr:uid="{D32E99D7-46CE-48CF-9E4F-55495308370B}"/>
    <dataValidation allowBlank="1" showInputMessage="1" showErrorMessage="1" prompt="Por favor no incluya el 15 " sqref="R34" xr:uid="{CCEE84C6-C3A7-4F32-AAF3-D524E7F0C866}"/>
  </dataValidations>
  <hyperlinks>
    <hyperlink ref="P181" r:id="rId1" xr:uid="{E49E35AA-0763-4E3B-A847-49063D0726EE}"/>
    <hyperlink ref="P9" r:id="rId2" xr:uid="{D9A57A2A-0D11-4CCC-A145-0CDCA41955BA}"/>
  </hyperlinks>
  <pageMargins left="0.7" right="0.7" top="0.75" bottom="0.75" header="0.3" footer="0.3"/>
  <pageSetup paperSize="9" orientation="landscape" horizontalDpi="4294967294"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1:CB550"/>
  <sheetViews>
    <sheetView workbookViewId="0">
      <pane ySplit="3" topLeftCell="A232" activePane="bottomLeft" state="frozen"/>
      <selection pane="bottomLeft" activeCell="C258" sqref="C258"/>
    </sheetView>
  </sheetViews>
  <sheetFormatPr defaultColWidth="11.43359375" defaultRowHeight="15" x14ac:dyDescent="0.2"/>
  <cols>
    <col min="1" max="1" width="11.43359375" style="118"/>
    <col min="2" max="2" width="11.296875" style="125" bestFit="1" customWidth="1"/>
    <col min="3" max="3" width="68.875" style="25" customWidth="1"/>
    <col min="4" max="6" width="11.43359375" style="118" customWidth="1"/>
    <col min="7" max="8" width="11.56640625" style="118" bestFit="1" customWidth="1"/>
    <col min="9" max="9" width="5.24609375" style="118" customWidth="1"/>
    <col min="10" max="12" width="12.5078125" style="118" customWidth="1"/>
    <col min="13" max="13" width="9.4140625" style="118" bestFit="1" customWidth="1"/>
    <col min="14" max="14" width="9.68359375" style="119" bestFit="1" customWidth="1"/>
    <col min="15" max="15" width="11.8359375" style="119" bestFit="1" customWidth="1"/>
    <col min="16" max="17" width="11.8359375" style="119" customWidth="1"/>
    <col min="18" max="18" width="9.28125" style="119" customWidth="1"/>
    <col min="19" max="19" width="8.47265625" style="113" customWidth="1"/>
    <col min="20" max="16384" width="11.43359375" style="118"/>
  </cols>
  <sheetData>
    <row r="1" spans="2:80" x14ac:dyDescent="0.2">
      <c r="B1" s="125">
        <v>1</v>
      </c>
      <c r="C1" s="124">
        <v>2</v>
      </c>
      <c r="D1" s="119">
        <v>3</v>
      </c>
      <c r="E1" s="119">
        <v>4</v>
      </c>
      <c r="F1" s="119">
        <v>5</v>
      </c>
      <c r="G1" s="119">
        <v>6</v>
      </c>
      <c r="H1" s="119"/>
      <c r="I1" s="119"/>
      <c r="J1" s="119">
        <v>7</v>
      </c>
      <c r="K1" s="119">
        <v>8</v>
      </c>
      <c r="L1" s="119"/>
      <c r="M1" s="119"/>
      <c r="T1"/>
      <c r="U1"/>
      <c r="V1"/>
      <c r="W1"/>
    </row>
    <row r="2" spans="2:80" ht="18" customHeight="1" x14ac:dyDescent="0.2">
      <c r="B2" s="126"/>
      <c r="C2" s="109"/>
      <c r="D2" s="110">
        <f>SUM(D4:D380)</f>
        <v>22651</v>
      </c>
      <c r="E2" s="110">
        <f>SUM(E4:E380)</f>
        <v>19609</v>
      </c>
      <c r="F2" s="110">
        <f>SUM(F4:F380)</f>
        <v>17355</v>
      </c>
      <c r="G2" s="110">
        <f>SUM(G4:G380)</f>
        <v>7331</v>
      </c>
      <c r="H2" s="110">
        <f>SUM(D2:F2)</f>
        <v>59615</v>
      </c>
      <c r="I2" s="117"/>
      <c r="J2" s="186" t="s">
        <v>14</v>
      </c>
      <c r="K2" s="186"/>
      <c r="L2" s="114">
        <f>SUM(L4:L380)</f>
        <v>8638</v>
      </c>
      <c r="M2" s="114"/>
      <c r="N2" s="115"/>
      <c r="O2" s="185"/>
      <c r="P2" s="115"/>
      <c r="Q2" s="185"/>
      <c r="R2" s="185"/>
      <c r="S2" s="185"/>
      <c r="CB2" s="116" t="s">
        <v>530</v>
      </c>
    </row>
    <row r="3" spans="2:80" s="119" customFormat="1" x14ac:dyDescent="0.2">
      <c r="B3" s="127" t="s">
        <v>0</v>
      </c>
      <c r="C3" s="100" t="s">
        <v>15</v>
      </c>
      <c r="D3" s="111" t="s">
        <v>952</v>
      </c>
      <c r="E3" s="111" t="s">
        <v>953</v>
      </c>
      <c r="F3" s="111" t="s">
        <v>954</v>
      </c>
      <c r="G3" s="111" t="s">
        <v>955</v>
      </c>
      <c r="H3" s="111" t="s">
        <v>956</v>
      </c>
      <c r="I3" s="112"/>
      <c r="J3" s="112" t="s">
        <v>2495</v>
      </c>
      <c r="K3" s="112" t="s">
        <v>957</v>
      </c>
      <c r="L3" s="115" t="s">
        <v>135</v>
      </c>
      <c r="M3" s="115"/>
      <c r="N3" s="115"/>
      <c r="O3" s="185"/>
      <c r="P3" s="115"/>
      <c r="Q3" s="185"/>
      <c r="R3" s="185"/>
      <c r="S3" s="185"/>
    </row>
    <row r="4" spans="2:80" customFormat="1" x14ac:dyDescent="0.2">
      <c r="B4" s="38">
        <v>20017500</v>
      </c>
      <c r="C4" s="25" t="s">
        <v>596</v>
      </c>
      <c r="D4">
        <v>48</v>
      </c>
      <c r="E4">
        <v>105</v>
      </c>
      <c r="F4">
        <v>121</v>
      </c>
      <c r="G4">
        <v>83</v>
      </c>
      <c r="H4">
        <f t="shared" ref="H4:H67" si="0">SUM(D4:F4)</f>
        <v>274</v>
      </c>
      <c r="J4">
        <v>37</v>
      </c>
      <c r="K4">
        <v>12</v>
      </c>
      <c r="L4">
        <f t="shared" ref="L4:L67" si="1">SUM(J4:K4)</f>
        <v>49</v>
      </c>
      <c r="S4" s="120"/>
    </row>
    <row r="5" spans="2:80" customFormat="1" x14ac:dyDescent="0.2">
      <c r="B5" s="165">
        <v>20024000</v>
      </c>
      <c r="C5" s="166" t="s">
        <v>150</v>
      </c>
      <c r="D5" s="167">
        <v>126</v>
      </c>
      <c r="E5" s="167">
        <v>104</v>
      </c>
      <c r="F5" s="167">
        <v>94</v>
      </c>
      <c r="G5" s="167">
        <v>28</v>
      </c>
      <c r="H5">
        <f t="shared" si="0"/>
        <v>324</v>
      </c>
      <c r="J5" s="167">
        <v>16</v>
      </c>
      <c r="K5" s="167">
        <v>10</v>
      </c>
      <c r="L5">
        <f t="shared" si="1"/>
        <v>26</v>
      </c>
      <c r="S5" s="120"/>
    </row>
    <row r="6" spans="2:80" customFormat="1" ht="27.75" x14ac:dyDescent="0.2">
      <c r="B6" s="38">
        <v>20036600</v>
      </c>
      <c r="C6" s="25" t="s">
        <v>597</v>
      </c>
      <c r="D6">
        <v>902</v>
      </c>
      <c r="E6">
        <v>681</v>
      </c>
      <c r="F6">
        <v>426</v>
      </c>
      <c r="G6">
        <v>191</v>
      </c>
      <c r="H6">
        <f t="shared" si="0"/>
        <v>2009</v>
      </c>
      <c r="J6">
        <v>125</v>
      </c>
      <c r="K6">
        <v>82</v>
      </c>
      <c r="L6">
        <f t="shared" si="1"/>
        <v>207</v>
      </c>
      <c r="S6" s="120"/>
    </row>
    <row r="7" spans="2:80" customFormat="1" x14ac:dyDescent="0.2">
      <c r="B7" s="38">
        <v>20036601</v>
      </c>
      <c r="C7" s="25" t="s">
        <v>598</v>
      </c>
      <c r="D7">
        <v>336</v>
      </c>
      <c r="E7">
        <v>252</v>
      </c>
      <c r="F7">
        <v>163</v>
      </c>
      <c r="G7">
        <v>65</v>
      </c>
      <c r="H7">
        <f t="shared" si="0"/>
        <v>751</v>
      </c>
      <c r="J7">
        <v>59</v>
      </c>
      <c r="K7">
        <v>36</v>
      </c>
      <c r="L7">
        <f t="shared" si="1"/>
        <v>95</v>
      </c>
      <c r="S7" s="120"/>
    </row>
    <row r="8" spans="2:80" customFormat="1" ht="27.75" x14ac:dyDescent="0.2">
      <c r="B8" s="165">
        <v>20053100</v>
      </c>
      <c r="C8" s="166" t="s">
        <v>599</v>
      </c>
      <c r="D8" s="167">
        <v>107</v>
      </c>
      <c r="E8" s="167">
        <v>118</v>
      </c>
      <c r="F8" s="167">
        <v>68</v>
      </c>
      <c r="G8" s="167">
        <v>53</v>
      </c>
      <c r="H8">
        <f t="shared" si="0"/>
        <v>293</v>
      </c>
      <c r="J8" s="167">
        <v>11</v>
      </c>
      <c r="K8" s="167">
        <v>10</v>
      </c>
      <c r="L8">
        <f t="shared" si="1"/>
        <v>21</v>
      </c>
      <c r="S8" s="120"/>
    </row>
    <row r="9" spans="2:80" customFormat="1" ht="27.75" x14ac:dyDescent="0.2">
      <c r="B9" s="38">
        <v>20053900</v>
      </c>
      <c r="C9" s="25" t="s">
        <v>600</v>
      </c>
      <c r="D9">
        <v>142</v>
      </c>
      <c r="E9">
        <v>146</v>
      </c>
      <c r="F9">
        <v>128</v>
      </c>
      <c r="G9">
        <v>57</v>
      </c>
      <c r="H9">
        <f t="shared" si="0"/>
        <v>416</v>
      </c>
      <c r="J9">
        <v>45</v>
      </c>
      <c r="K9">
        <v>20</v>
      </c>
      <c r="L9">
        <f t="shared" si="1"/>
        <v>65</v>
      </c>
      <c r="S9" s="120"/>
    </row>
    <row r="10" spans="2:80" customFormat="1" x14ac:dyDescent="0.2">
      <c r="B10" s="165">
        <v>20089000</v>
      </c>
      <c r="C10" s="166" t="s">
        <v>601</v>
      </c>
      <c r="D10" s="167">
        <v>171</v>
      </c>
      <c r="E10" s="167">
        <v>159</v>
      </c>
      <c r="F10" s="167">
        <v>87</v>
      </c>
      <c r="G10" s="167">
        <v>42</v>
      </c>
      <c r="H10">
        <f t="shared" si="0"/>
        <v>417</v>
      </c>
      <c r="J10" s="167">
        <v>27</v>
      </c>
      <c r="K10" s="167">
        <v>14</v>
      </c>
      <c r="L10">
        <f t="shared" si="1"/>
        <v>41</v>
      </c>
      <c r="S10" s="120"/>
    </row>
    <row r="11" spans="2:80" customFormat="1" x14ac:dyDescent="0.2">
      <c r="B11" s="165">
        <v>20096900</v>
      </c>
      <c r="C11" s="166" t="s">
        <v>160</v>
      </c>
      <c r="D11" s="167">
        <v>24</v>
      </c>
      <c r="E11" s="167">
        <v>11</v>
      </c>
      <c r="F11" s="167">
        <v>25</v>
      </c>
      <c r="G11" s="167">
        <v>19</v>
      </c>
      <c r="H11">
        <f t="shared" si="0"/>
        <v>60</v>
      </c>
      <c r="J11" s="167">
        <v>14</v>
      </c>
      <c r="K11" s="167">
        <v>4</v>
      </c>
      <c r="L11">
        <f t="shared" si="1"/>
        <v>18</v>
      </c>
    </row>
    <row r="12" spans="2:80" customFormat="1" x14ac:dyDescent="0.2">
      <c r="B12" s="165">
        <v>20142000</v>
      </c>
      <c r="C12" s="166" t="s">
        <v>454</v>
      </c>
      <c r="D12" s="167">
        <v>7</v>
      </c>
      <c r="E12" s="167">
        <v>28</v>
      </c>
      <c r="F12" s="167">
        <v>50</v>
      </c>
      <c r="G12" s="167">
        <v>31</v>
      </c>
      <c r="H12">
        <f t="shared" si="0"/>
        <v>85</v>
      </c>
      <c r="J12" s="167">
        <v>10</v>
      </c>
      <c r="K12" s="167">
        <v>4</v>
      </c>
      <c r="L12">
        <f t="shared" si="1"/>
        <v>14</v>
      </c>
      <c r="S12" s="120"/>
    </row>
    <row r="13" spans="2:80" customFormat="1" x14ac:dyDescent="0.2">
      <c r="B13" s="165">
        <v>20174400</v>
      </c>
      <c r="C13" s="166" t="s">
        <v>602</v>
      </c>
      <c r="D13" s="167">
        <v>64</v>
      </c>
      <c r="E13" s="167">
        <v>177</v>
      </c>
      <c r="F13" s="167">
        <v>140</v>
      </c>
      <c r="G13" s="167">
        <v>56</v>
      </c>
      <c r="H13">
        <f t="shared" si="0"/>
        <v>381</v>
      </c>
      <c r="J13" s="167">
        <v>34</v>
      </c>
      <c r="K13" s="167">
        <v>21</v>
      </c>
      <c r="L13">
        <f t="shared" si="1"/>
        <v>55</v>
      </c>
      <c r="S13" s="120"/>
    </row>
    <row r="14" spans="2:80" customFormat="1" x14ac:dyDescent="0.2">
      <c r="B14" s="165">
        <v>20191900</v>
      </c>
      <c r="C14" s="166" t="s">
        <v>468</v>
      </c>
      <c r="D14" s="167">
        <v>101</v>
      </c>
      <c r="E14" s="167">
        <v>109</v>
      </c>
      <c r="F14" s="167">
        <v>121</v>
      </c>
      <c r="G14" s="167">
        <v>58</v>
      </c>
      <c r="H14">
        <f t="shared" si="0"/>
        <v>331</v>
      </c>
      <c r="J14" s="167">
        <v>29</v>
      </c>
      <c r="K14" s="167">
        <v>14</v>
      </c>
      <c r="L14">
        <f t="shared" si="1"/>
        <v>43</v>
      </c>
      <c r="S14" s="120"/>
    </row>
    <row r="15" spans="2:80" customFormat="1" x14ac:dyDescent="0.2">
      <c r="B15" s="165">
        <v>20224200</v>
      </c>
      <c r="C15" s="166" t="s">
        <v>603</v>
      </c>
      <c r="D15" s="167">
        <v>46</v>
      </c>
      <c r="E15" s="167">
        <v>55</v>
      </c>
      <c r="F15" s="167">
        <v>39</v>
      </c>
      <c r="G15" s="167">
        <v>20</v>
      </c>
      <c r="H15">
        <f t="shared" si="0"/>
        <v>140</v>
      </c>
      <c r="J15" s="167">
        <v>24</v>
      </c>
      <c r="K15" s="167">
        <v>9</v>
      </c>
      <c r="L15">
        <f t="shared" si="1"/>
        <v>33</v>
      </c>
      <c r="S15" s="120"/>
    </row>
    <row r="16" spans="2:80" customFormat="1" x14ac:dyDescent="0.2">
      <c r="B16" s="165">
        <v>20234600</v>
      </c>
      <c r="C16" s="166" t="s">
        <v>558</v>
      </c>
      <c r="D16" s="167">
        <v>15</v>
      </c>
      <c r="E16" s="167">
        <v>15</v>
      </c>
      <c r="F16" s="167">
        <v>21</v>
      </c>
      <c r="G16" s="167">
        <v>7</v>
      </c>
      <c r="H16">
        <f t="shared" si="0"/>
        <v>51</v>
      </c>
      <c r="J16" s="167">
        <v>9</v>
      </c>
      <c r="K16" s="167">
        <v>4</v>
      </c>
      <c r="L16">
        <f t="shared" si="1"/>
        <v>13</v>
      </c>
      <c r="S16" s="120"/>
    </row>
    <row r="17" spans="2:19" customFormat="1" x14ac:dyDescent="0.2">
      <c r="B17" s="38">
        <v>20245000</v>
      </c>
      <c r="C17" s="25" t="s">
        <v>604</v>
      </c>
      <c r="D17">
        <v>40</v>
      </c>
      <c r="E17">
        <v>39</v>
      </c>
      <c r="F17">
        <v>31</v>
      </c>
      <c r="G17">
        <v>15</v>
      </c>
      <c r="H17">
        <f t="shared" si="0"/>
        <v>110</v>
      </c>
      <c r="J17">
        <v>11</v>
      </c>
      <c r="K17">
        <v>4</v>
      </c>
      <c r="L17">
        <f t="shared" si="1"/>
        <v>15</v>
      </c>
      <c r="S17" s="120"/>
    </row>
    <row r="18" spans="2:19" customFormat="1" ht="27.75" x14ac:dyDescent="0.2">
      <c r="B18" s="165">
        <v>20282200</v>
      </c>
      <c r="C18" s="166" t="s">
        <v>182</v>
      </c>
      <c r="D18" s="167">
        <v>29</v>
      </c>
      <c r="E18" s="167">
        <v>88</v>
      </c>
      <c r="F18" s="167">
        <v>66</v>
      </c>
      <c r="G18" s="167">
        <v>53</v>
      </c>
      <c r="H18">
        <f t="shared" si="0"/>
        <v>183</v>
      </c>
      <c r="J18" s="167">
        <v>26</v>
      </c>
      <c r="K18" s="167">
        <v>10</v>
      </c>
      <c r="L18">
        <f t="shared" si="1"/>
        <v>36</v>
      </c>
      <c r="S18" s="120"/>
    </row>
    <row r="19" spans="2:19" customFormat="1" x14ac:dyDescent="0.2">
      <c r="B19" s="38">
        <v>20282300</v>
      </c>
      <c r="C19" s="25" t="s">
        <v>469</v>
      </c>
      <c r="D19">
        <v>1</v>
      </c>
      <c r="E19">
        <v>4</v>
      </c>
      <c r="F19">
        <v>4</v>
      </c>
      <c r="G19">
        <v>3</v>
      </c>
      <c r="H19">
        <f t="shared" si="0"/>
        <v>9</v>
      </c>
      <c r="J19">
        <v>7</v>
      </c>
      <c r="K19">
        <v>2</v>
      </c>
      <c r="L19">
        <f t="shared" si="1"/>
        <v>9</v>
      </c>
      <c r="S19" s="120"/>
    </row>
    <row r="20" spans="2:19" customFormat="1" x14ac:dyDescent="0.2">
      <c r="B20" s="165">
        <v>20286200</v>
      </c>
      <c r="C20" s="166" t="s">
        <v>470</v>
      </c>
      <c r="D20" s="167">
        <v>83</v>
      </c>
      <c r="E20" s="167">
        <v>57</v>
      </c>
      <c r="F20" s="167">
        <v>54</v>
      </c>
      <c r="G20" s="167">
        <v>49</v>
      </c>
      <c r="H20">
        <f t="shared" si="0"/>
        <v>194</v>
      </c>
      <c r="J20" s="167">
        <v>29</v>
      </c>
      <c r="K20" s="167">
        <v>7</v>
      </c>
      <c r="L20">
        <f t="shared" si="1"/>
        <v>36</v>
      </c>
      <c r="S20" s="120"/>
    </row>
    <row r="21" spans="2:19" customFormat="1" x14ac:dyDescent="0.2">
      <c r="B21" s="165">
        <v>20299400</v>
      </c>
      <c r="C21" s="166" t="s">
        <v>605</v>
      </c>
      <c r="D21" s="167">
        <v>58</v>
      </c>
      <c r="E21" s="167">
        <v>45</v>
      </c>
      <c r="F21" s="167">
        <v>25</v>
      </c>
      <c r="G21" s="167">
        <v>22</v>
      </c>
      <c r="H21">
        <f t="shared" si="0"/>
        <v>128</v>
      </c>
      <c r="J21" s="167">
        <v>13</v>
      </c>
      <c r="K21" s="167">
        <v>7</v>
      </c>
      <c r="L21">
        <f t="shared" si="1"/>
        <v>20</v>
      </c>
      <c r="S21" s="120"/>
    </row>
    <row r="22" spans="2:19" customFormat="1" x14ac:dyDescent="0.2">
      <c r="B22" s="165">
        <v>20304900</v>
      </c>
      <c r="C22" s="166" t="s">
        <v>563</v>
      </c>
      <c r="D22" s="167">
        <v>76</v>
      </c>
      <c r="E22" s="167">
        <v>71</v>
      </c>
      <c r="F22" s="167">
        <v>25</v>
      </c>
      <c r="G22" s="167">
        <v>70</v>
      </c>
      <c r="H22">
        <f t="shared" si="0"/>
        <v>172</v>
      </c>
      <c r="J22" s="167">
        <v>17</v>
      </c>
      <c r="K22" s="167">
        <v>11</v>
      </c>
      <c r="L22">
        <f t="shared" si="1"/>
        <v>28</v>
      </c>
      <c r="S22" s="120"/>
    </row>
    <row r="23" spans="2:19" customFormat="1" x14ac:dyDescent="0.2">
      <c r="B23" s="165">
        <v>20314900</v>
      </c>
      <c r="C23" s="166" t="s">
        <v>471</v>
      </c>
      <c r="D23" s="167">
        <v>42</v>
      </c>
      <c r="E23" s="167">
        <v>20</v>
      </c>
      <c r="F23" s="167">
        <v>41</v>
      </c>
      <c r="G23" s="167">
        <v>16</v>
      </c>
      <c r="H23">
        <f t="shared" si="0"/>
        <v>103</v>
      </c>
      <c r="J23" s="167">
        <v>16</v>
      </c>
      <c r="K23" s="167">
        <v>7</v>
      </c>
      <c r="L23">
        <f t="shared" si="1"/>
        <v>23</v>
      </c>
      <c r="S23" s="120"/>
    </row>
    <row r="24" spans="2:19" customFormat="1" ht="27.75" x14ac:dyDescent="0.2">
      <c r="B24" s="38">
        <v>60008000</v>
      </c>
      <c r="C24" s="25" t="s">
        <v>565</v>
      </c>
      <c r="D24">
        <v>14</v>
      </c>
      <c r="E24">
        <v>16</v>
      </c>
      <c r="F24">
        <v>24</v>
      </c>
      <c r="G24">
        <v>0</v>
      </c>
      <c r="H24">
        <f t="shared" si="0"/>
        <v>54</v>
      </c>
      <c r="J24">
        <v>16</v>
      </c>
      <c r="K24">
        <v>2</v>
      </c>
      <c r="L24">
        <f t="shared" si="1"/>
        <v>18</v>
      </c>
    </row>
    <row r="25" spans="2:19" customFormat="1" ht="27.75" x14ac:dyDescent="0.2">
      <c r="B25" s="165">
        <v>60011700</v>
      </c>
      <c r="C25" s="166" t="s">
        <v>184</v>
      </c>
      <c r="D25" s="167">
        <v>43</v>
      </c>
      <c r="E25" s="167">
        <v>27</v>
      </c>
      <c r="F25" s="167">
        <v>26</v>
      </c>
      <c r="G25" s="167">
        <v>32</v>
      </c>
      <c r="H25">
        <f t="shared" si="0"/>
        <v>96</v>
      </c>
      <c r="J25" s="167">
        <v>14</v>
      </c>
      <c r="K25" s="167">
        <v>5</v>
      </c>
      <c r="L25">
        <f t="shared" si="1"/>
        <v>19</v>
      </c>
      <c r="S25" s="120"/>
    </row>
    <row r="26" spans="2:19" customFormat="1" ht="27.75" x14ac:dyDescent="0.2">
      <c r="B26" s="165">
        <v>60021000</v>
      </c>
      <c r="C26" s="166" t="s">
        <v>567</v>
      </c>
      <c r="D26" s="167">
        <v>36</v>
      </c>
      <c r="E26" s="167">
        <v>32</v>
      </c>
      <c r="F26" s="167">
        <v>43</v>
      </c>
      <c r="G26" s="167">
        <v>12</v>
      </c>
      <c r="H26">
        <f t="shared" si="0"/>
        <v>111</v>
      </c>
      <c r="J26" s="167">
        <v>17</v>
      </c>
      <c r="K26" s="167">
        <v>4</v>
      </c>
      <c r="L26">
        <f t="shared" si="1"/>
        <v>21</v>
      </c>
      <c r="S26" s="120"/>
    </row>
    <row r="27" spans="2:19" customFormat="1" x14ac:dyDescent="0.2">
      <c r="B27" s="38">
        <v>60021900</v>
      </c>
      <c r="C27" s="25" t="s">
        <v>606</v>
      </c>
      <c r="D27">
        <v>23</v>
      </c>
      <c r="E27">
        <v>20</v>
      </c>
      <c r="F27">
        <v>17</v>
      </c>
      <c r="G27">
        <v>4</v>
      </c>
      <c r="H27">
        <f t="shared" si="0"/>
        <v>60</v>
      </c>
      <c r="J27">
        <v>12</v>
      </c>
      <c r="K27">
        <v>2</v>
      </c>
      <c r="L27">
        <f t="shared" si="1"/>
        <v>14</v>
      </c>
      <c r="S27" s="120"/>
    </row>
    <row r="28" spans="2:19" customFormat="1" x14ac:dyDescent="0.2">
      <c r="B28" s="165">
        <v>60067400</v>
      </c>
      <c r="C28" s="166" t="s">
        <v>187</v>
      </c>
      <c r="D28" s="167">
        <v>35</v>
      </c>
      <c r="E28" s="167">
        <v>10</v>
      </c>
      <c r="F28" s="167">
        <v>12</v>
      </c>
      <c r="G28" s="167">
        <v>25</v>
      </c>
      <c r="H28">
        <f t="shared" si="0"/>
        <v>57</v>
      </c>
      <c r="J28" s="167">
        <v>13</v>
      </c>
      <c r="K28" s="167">
        <v>2</v>
      </c>
      <c r="L28">
        <f t="shared" si="1"/>
        <v>15</v>
      </c>
      <c r="S28" s="120"/>
    </row>
    <row r="29" spans="2:19" customFormat="1" x14ac:dyDescent="0.2">
      <c r="B29" s="38">
        <v>60128300</v>
      </c>
      <c r="C29" s="25" t="s">
        <v>607</v>
      </c>
      <c r="D29">
        <v>37</v>
      </c>
      <c r="E29">
        <v>27</v>
      </c>
      <c r="F29">
        <v>32</v>
      </c>
      <c r="G29">
        <v>18</v>
      </c>
      <c r="H29">
        <f t="shared" si="0"/>
        <v>96</v>
      </c>
      <c r="J29">
        <v>17</v>
      </c>
      <c r="K29">
        <v>3</v>
      </c>
      <c r="L29">
        <f t="shared" si="1"/>
        <v>20</v>
      </c>
      <c r="S29" s="120"/>
    </row>
    <row r="30" spans="2:19" customFormat="1" ht="27.75" x14ac:dyDescent="0.2">
      <c r="B30" s="165">
        <v>60167400</v>
      </c>
      <c r="C30" s="166" t="s">
        <v>608</v>
      </c>
      <c r="D30" s="167">
        <v>42</v>
      </c>
      <c r="E30" s="167">
        <v>26</v>
      </c>
      <c r="F30" s="167">
        <v>38</v>
      </c>
      <c r="G30" s="167">
        <v>20</v>
      </c>
      <c r="H30">
        <f t="shared" si="0"/>
        <v>106</v>
      </c>
      <c r="J30" s="167">
        <v>14</v>
      </c>
      <c r="K30" s="167">
        <v>6</v>
      </c>
      <c r="L30">
        <f t="shared" si="1"/>
        <v>20</v>
      </c>
      <c r="S30" s="120"/>
    </row>
    <row r="31" spans="2:19" customFormat="1" ht="27.75" x14ac:dyDescent="0.2">
      <c r="B31" s="38">
        <v>60233900</v>
      </c>
      <c r="C31" s="25" t="s">
        <v>609</v>
      </c>
      <c r="D31">
        <v>40</v>
      </c>
      <c r="E31">
        <v>20</v>
      </c>
      <c r="F31">
        <v>11</v>
      </c>
      <c r="G31">
        <v>14</v>
      </c>
      <c r="H31">
        <f t="shared" si="0"/>
        <v>71</v>
      </c>
      <c r="J31">
        <v>10</v>
      </c>
      <c r="K31">
        <v>1</v>
      </c>
      <c r="L31">
        <f t="shared" si="1"/>
        <v>11</v>
      </c>
      <c r="S31" s="120"/>
    </row>
    <row r="32" spans="2:19" customFormat="1" x14ac:dyDescent="0.2">
      <c r="B32" s="38">
        <v>60270200</v>
      </c>
      <c r="C32" s="25" t="s">
        <v>194</v>
      </c>
      <c r="D32">
        <v>111</v>
      </c>
      <c r="E32">
        <v>74</v>
      </c>
      <c r="F32">
        <v>50</v>
      </c>
      <c r="G32">
        <v>15</v>
      </c>
      <c r="H32">
        <f t="shared" si="0"/>
        <v>235</v>
      </c>
      <c r="J32">
        <v>23</v>
      </c>
      <c r="K32">
        <v>10</v>
      </c>
      <c r="L32">
        <f t="shared" si="1"/>
        <v>33</v>
      </c>
      <c r="S32" s="120"/>
    </row>
    <row r="33" spans="2:19" customFormat="1" x14ac:dyDescent="0.2">
      <c r="B33" s="38">
        <v>60339300</v>
      </c>
      <c r="C33" s="25" t="s">
        <v>196</v>
      </c>
      <c r="D33">
        <v>28</v>
      </c>
      <c r="E33">
        <v>18</v>
      </c>
      <c r="F33">
        <v>21</v>
      </c>
      <c r="G33">
        <v>11</v>
      </c>
      <c r="H33">
        <f t="shared" si="0"/>
        <v>67</v>
      </c>
      <c r="J33">
        <v>11</v>
      </c>
      <c r="K33">
        <v>1</v>
      </c>
      <c r="L33">
        <f t="shared" si="1"/>
        <v>12</v>
      </c>
      <c r="S33" s="120"/>
    </row>
    <row r="34" spans="2:19" customFormat="1" x14ac:dyDescent="0.2">
      <c r="B34" s="165">
        <v>60433000</v>
      </c>
      <c r="C34" s="166" t="s">
        <v>461</v>
      </c>
      <c r="D34" s="167">
        <v>48</v>
      </c>
      <c r="E34" s="167">
        <v>27</v>
      </c>
      <c r="F34" s="167">
        <v>32</v>
      </c>
      <c r="G34" s="167">
        <v>0</v>
      </c>
      <c r="H34">
        <f t="shared" si="0"/>
        <v>107</v>
      </c>
      <c r="J34" s="167">
        <v>14</v>
      </c>
      <c r="K34" s="167">
        <v>5</v>
      </c>
      <c r="L34">
        <f t="shared" si="1"/>
        <v>19</v>
      </c>
      <c r="S34" s="120"/>
    </row>
    <row r="35" spans="2:19" customFormat="1" ht="27.75" x14ac:dyDescent="0.2">
      <c r="B35" s="38">
        <v>60442300</v>
      </c>
      <c r="C35" s="25" t="s">
        <v>610</v>
      </c>
      <c r="D35">
        <v>33</v>
      </c>
      <c r="E35">
        <v>25</v>
      </c>
      <c r="F35">
        <v>18</v>
      </c>
      <c r="G35">
        <v>17</v>
      </c>
      <c r="H35">
        <f t="shared" si="0"/>
        <v>76</v>
      </c>
      <c r="J35">
        <v>10</v>
      </c>
      <c r="K35">
        <v>1</v>
      </c>
      <c r="L35">
        <f t="shared" si="1"/>
        <v>11</v>
      </c>
      <c r="S35" s="120"/>
    </row>
    <row r="36" spans="2:19" customFormat="1" x14ac:dyDescent="0.2">
      <c r="B36" s="38">
        <v>60563100</v>
      </c>
      <c r="C36" s="25" t="s">
        <v>199</v>
      </c>
      <c r="D36">
        <v>147</v>
      </c>
      <c r="E36">
        <v>77</v>
      </c>
      <c r="F36">
        <v>61</v>
      </c>
      <c r="G36">
        <v>44</v>
      </c>
      <c r="H36">
        <f t="shared" si="0"/>
        <v>285</v>
      </c>
      <c r="J36">
        <v>19</v>
      </c>
      <c r="K36">
        <v>23</v>
      </c>
      <c r="L36">
        <f t="shared" si="1"/>
        <v>42</v>
      </c>
      <c r="S36" s="120"/>
    </row>
    <row r="37" spans="2:19" customFormat="1" x14ac:dyDescent="0.2">
      <c r="B37" s="38">
        <v>60574400</v>
      </c>
      <c r="C37" s="25" t="s">
        <v>201</v>
      </c>
      <c r="D37">
        <v>71</v>
      </c>
      <c r="E37">
        <v>36</v>
      </c>
      <c r="F37">
        <v>16</v>
      </c>
      <c r="G37">
        <v>7</v>
      </c>
      <c r="H37">
        <f t="shared" si="0"/>
        <v>123</v>
      </c>
      <c r="J37">
        <v>13</v>
      </c>
      <c r="K37">
        <v>3</v>
      </c>
      <c r="L37">
        <f t="shared" si="1"/>
        <v>16</v>
      </c>
      <c r="S37" s="120"/>
    </row>
    <row r="38" spans="2:19" customFormat="1" x14ac:dyDescent="0.2">
      <c r="B38" s="38">
        <v>60595200</v>
      </c>
      <c r="C38" s="25" t="s">
        <v>472</v>
      </c>
      <c r="D38">
        <v>122</v>
      </c>
      <c r="E38">
        <v>60</v>
      </c>
      <c r="F38">
        <v>57</v>
      </c>
      <c r="G38">
        <v>0</v>
      </c>
      <c r="H38">
        <f t="shared" si="0"/>
        <v>239</v>
      </c>
      <c r="J38">
        <v>20</v>
      </c>
      <c r="K38">
        <v>6</v>
      </c>
      <c r="L38">
        <f t="shared" si="1"/>
        <v>26</v>
      </c>
      <c r="S38" s="120"/>
    </row>
    <row r="39" spans="2:19" customFormat="1" x14ac:dyDescent="0.2">
      <c r="B39" s="38">
        <v>60595600</v>
      </c>
      <c r="C39" s="25" t="s">
        <v>473</v>
      </c>
      <c r="D39">
        <v>32</v>
      </c>
      <c r="E39">
        <v>25</v>
      </c>
      <c r="F39">
        <v>15</v>
      </c>
      <c r="G39">
        <v>14</v>
      </c>
      <c r="H39">
        <f t="shared" si="0"/>
        <v>72</v>
      </c>
      <c r="J39">
        <v>19</v>
      </c>
      <c r="K39">
        <v>3</v>
      </c>
      <c r="L39">
        <f t="shared" si="1"/>
        <v>22</v>
      </c>
      <c r="S39" s="120"/>
    </row>
    <row r="40" spans="2:19" customFormat="1" x14ac:dyDescent="0.2">
      <c r="B40" s="38">
        <v>60596500</v>
      </c>
      <c r="C40" s="25" t="s">
        <v>202</v>
      </c>
      <c r="D40">
        <v>55</v>
      </c>
      <c r="E40">
        <v>22</v>
      </c>
      <c r="F40">
        <v>14</v>
      </c>
      <c r="G40">
        <v>8</v>
      </c>
      <c r="H40">
        <f t="shared" si="0"/>
        <v>91</v>
      </c>
      <c r="J40">
        <v>14</v>
      </c>
      <c r="K40">
        <v>2</v>
      </c>
      <c r="L40">
        <f t="shared" si="1"/>
        <v>16</v>
      </c>
      <c r="S40" s="120"/>
    </row>
    <row r="41" spans="2:19" customFormat="1" x14ac:dyDescent="0.2">
      <c r="B41" s="38">
        <v>60610300</v>
      </c>
      <c r="C41" s="25" t="s">
        <v>204</v>
      </c>
      <c r="D41">
        <v>93</v>
      </c>
      <c r="E41">
        <v>66</v>
      </c>
      <c r="F41">
        <v>29</v>
      </c>
      <c r="G41">
        <v>40</v>
      </c>
      <c r="H41">
        <f t="shared" si="0"/>
        <v>188</v>
      </c>
      <c r="J41">
        <v>15</v>
      </c>
      <c r="K41">
        <v>8</v>
      </c>
      <c r="L41">
        <f t="shared" si="1"/>
        <v>23</v>
      </c>
      <c r="S41" s="120"/>
    </row>
    <row r="42" spans="2:19" customFormat="1" ht="27.75" x14ac:dyDescent="0.2">
      <c r="B42" s="165">
        <v>60611700</v>
      </c>
      <c r="C42" s="166" t="s">
        <v>206</v>
      </c>
      <c r="D42" s="167">
        <v>103</v>
      </c>
      <c r="E42" s="167">
        <v>98</v>
      </c>
      <c r="F42" s="167">
        <v>76</v>
      </c>
      <c r="G42" s="167">
        <v>47</v>
      </c>
      <c r="H42">
        <f t="shared" si="0"/>
        <v>277</v>
      </c>
      <c r="J42" s="167">
        <v>31</v>
      </c>
      <c r="K42" s="167">
        <v>14</v>
      </c>
      <c r="L42">
        <f t="shared" si="1"/>
        <v>45</v>
      </c>
      <c r="S42" s="120"/>
    </row>
    <row r="43" spans="2:19" customFormat="1" ht="27.75" x14ac:dyDescent="0.2">
      <c r="B43" s="165">
        <v>60643100</v>
      </c>
      <c r="C43" s="166" t="s">
        <v>611</v>
      </c>
      <c r="D43" s="167">
        <v>31</v>
      </c>
      <c r="E43" s="167">
        <v>21</v>
      </c>
      <c r="F43" s="167">
        <v>36</v>
      </c>
      <c r="G43" s="167">
        <v>25</v>
      </c>
      <c r="H43">
        <f t="shared" si="0"/>
        <v>88</v>
      </c>
      <c r="J43" s="167">
        <v>27</v>
      </c>
      <c r="K43" s="167">
        <v>6</v>
      </c>
      <c r="L43">
        <f t="shared" si="1"/>
        <v>33</v>
      </c>
      <c r="S43" s="120"/>
    </row>
    <row r="44" spans="2:19" customFormat="1" ht="27.75" x14ac:dyDescent="0.2">
      <c r="B44" s="165">
        <v>60652600</v>
      </c>
      <c r="C44" s="166" t="s">
        <v>208</v>
      </c>
      <c r="D44" s="167">
        <v>86</v>
      </c>
      <c r="E44" s="167">
        <v>55</v>
      </c>
      <c r="F44" s="167">
        <v>73</v>
      </c>
      <c r="G44" s="167">
        <v>29</v>
      </c>
      <c r="H44">
        <f t="shared" si="0"/>
        <v>214</v>
      </c>
      <c r="J44" s="167">
        <v>20</v>
      </c>
      <c r="K44" s="167">
        <v>14</v>
      </c>
      <c r="L44">
        <f t="shared" si="1"/>
        <v>34</v>
      </c>
      <c r="S44" s="120"/>
    </row>
    <row r="45" spans="2:19" customFormat="1" x14ac:dyDescent="0.2">
      <c r="B45" s="38">
        <v>60661000</v>
      </c>
      <c r="C45" s="25" t="s">
        <v>210</v>
      </c>
      <c r="D45">
        <v>0</v>
      </c>
      <c r="E45">
        <v>16</v>
      </c>
      <c r="F45">
        <v>0</v>
      </c>
      <c r="G45">
        <v>10</v>
      </c>
      <c r="H45">
        <f t="shared" si="0"/>
        <v>16</v>
      </c>
      <c r="J45">
        <v>5</v>
      </c>
      <c r="K45">
        <v>1</v>
      </c>
      <c r="L45">
        <f t="shared" si="1"/>
        <v>6</v>
      </c>
      <c r="S45" s="120"/>
    </row>
    <row r="46" spans="2:19" customFormat="1" x14ac:dyDescent="0.2">
      <c r="B46" s="165">
        <v>60670900</v>
      </c>
      <c r="C46" s="166" t="s">
        <v>212</v>
      </c>
      <c r="D46" s="167">
        <v>15</v>
      </c>
      <c r="E46" s="167">
        <v>16</v>
      </c>
      <c r="F46" s="167">
        <v>18</v>
      </c>
      <c r="G46" s="167">
        <v>11</v>
      </c>
      <c r="H46">
        <f t="shared" si="0"/>
        <v>49</v>
      </c>
      <c r="J46" s="167">
        <v>14</v>
      </c>
      <c r="K46" s="167">
        <v>3</v>
      </c>
      <c r="L46">
        <f t="shared" si="1"/>
        <v>17</v>
      </c>
      <c r="S46" s="120"/>
    </row>
    <row r="47" spans="2:19" customFormat="1" x14ac:dyDescent="0.2">
      <c r="B47" s="38">
        <v>60691500</v>
      </c>
      <c r="C47" s="25" t="s">
        <v>612</v>
      </c>
      <c r="D47">
        <v>26</v>
      </c>
      <c r="E47">
        <v>6</v>
      </c>
      <c r="F47">
        <v>6</v>
      </c>
      <c r="G47">
        <v>6</v>
      </c>
      <c r="H47">
        <f t="shared" si="0"/>
        <v>38</v>
      </c>
      <c r="J47">
        <v>12</v>
      </c>
      <c r="K47">
        <v>2</v>
      </c>
      <c r="L47">
        <f t="shared" si="1"/>
        <v>14</v>
      </c>
      <c r="S47" s="120"/>
    </row>
    <row r="48" spans="2:19" customFormat="1" ht="27.75" x14ac:dyDescent="0.2">
      <c r="B48" s="165">
        <v>60702400</v>
      </c>
      <c r="C48" s="166" t="s">
        <v>613</v>
      </c>
      <c r="D48" s="167">
        <v>43</v>
      </c>
      <c r="E48" s="167">
        <v>17</v>
      </c>
      <c r="F48" s="167">
        <v>18</v>
      </c>
      <c r="G48" s="167">
        <v>8</v>
      </c>
      <c r="H48">
        <f t="shared" si="0"/>
        <v>78</v>
      </c>
      <c r="J48" s="167">
        <v>14</v>
      </c>
      <c r="K48" s="167">
        <v>1</v>
      </c>
      <c r="L48">
        <f t="shared" si="1"/>
        <v>15</v>
      </c>
      <c r="S48" s="120"/>
    </row>
    <row r="49" spans="2:19" customFormat="1" x14ac:dyDescent="0.2">
      <c r="B49" s="38">
        <v>60738300</v>
      </c>
      <c r="C49" s="25" t="s">
        <v>216</v>
      </c>
      <c r="D49">
        <v>38</v>
      </c>
      <c r="E49">
        <v>8</v>
      </c>
      <c r="F49">
        <v>20</v>
      </c>
      <c r="G49">
        <v>0</v>
      </c>
      <c r="H49">
        <f t="shared" si="0"/>
        <v>66</v>
      </c>
      <c r="J49">
        <v>17</v>
      </c>
      <c r="K49">
        <v>3</v>
      </c>
      <c r="L49">
        <f t="shared" si="1"/>
        <v>20</v>
      </c>
      <c r="S49" s="120"/>
    </row>
    <row r="50" spans="2:19" customFormat="1" ht="27.75" x14ac:dyDescent="0.2">
      <c r="B50" s="38">
        <v>60767300</v>
      </c>
      <c r="C50" s="25" t="s">
        <v>614</v>
      </c>
      <c r="D50">
        <v>90</v>
      </c>
      <c r="E50">
        <v>70</v>
      </c>
      <c r="F50">
        <v>32</v>
      </c>
      <c r="G50">
        <v>36</v>
      </c>
      <c r="H50">
        <f t="shared" si="0"/>
        <v>192</v>
      </c>
      <c r="J50">
        <v>20</v>
      </c>
      <c r="K50">
        <v>7</v>
      </c>
      <c r="L50">
        <f t="shared" si="1"/>
        <v>27</v>
      </c>
      <c r="S50" s="120"/>
    </row>
    <row r="51" spans="2:19" customFormat="1" ht="27.75" x14ac:dyDescent="0.2">
      <c r="B51" s="38">
        <v>60770900</v>
      </c>
      <c r="C51" s="25" t="s">
        <v>615</v>
      </c>
      <c r="D51">
        <v>39</v>
      </c>
      <c r="E51">
        <v>18</v>
      </c>
      <c r="F51">
        <v>23</v>
      </c>
      <c r="G51">
        <v>2</v>
      </c>
      <c r="H51">
        <f t="shared" si="0"/>
        <v>80</v>
      </c>
      <c r="J51">
        <v>24</v>
      </c>
      <c r="K51">
        <v>3</v>
      </c>
      <c r="L51">
        <f t="shared" si="1"/>
        <v>27</v>
      </c>
      <c r="S51" s="120"/>
    </row>
    <row r="52" spans="2:19" customFormat="1" x14ac:dyDescent="0.2">
      <c r="B52" s="165">
        <v>60778000</v>
      </c>
      <c r="C52" s="166" t="s">
        <v>222</v>
      </c>
      <c r="D52" s="167">
        <v>50</v>
      </c>
      <c r="E52" s="167">
        <v>26</v>
      </c>
      <c r="F52" s="167">
        <v>24</v>
      </c>
      <c r="G52" s="167">
        <v>10</v>
      </c>
      <c r="H52">
        <f t="shared" si="0"/>
        <v>100</v>
      </c>
      <c r="J52" s="167">
        <v>10</v>
      </c>
      <c r="K52" s="167">
        <v>3</v>
      </c>
      <c r="L52">
        <f t="shared" si="1"/>
        <v>13</v>
      </c>
      <c r="S52" s="120"/>
    </row>
    <row r="53" spans="2:19" customFormat="1" x14ac:dyDescent="0.2">
      <c r="B53" s="38">
        <v>60786800</v>
      </c>
      <c r="C53" s="25" t="s">
        <v>224</v>
      </c>
      <c r="D53">
        <v>79</v>
      </c>
      <c r="E53">
        <v>37</v>
      </c>
      <c r="F53">
        <v>20</v>
      </c>
      <c r="G53">
        <v>27</v>
      </c>
      <c r="H53">
        <f t="shared" si="0"/>
        <v>136</v>
      </c>
      <c r="J53">
        <v>15</v>
      </c>
      <c r="K53">
        <v>3</v>
      </c>
      <c r="L53">
        <f t="shared" si="1"/>
        <v>18</v>
      </c>
      <c r="S53" s="120"/>
    </row>
    <row r="54" spans="2:19" customFormat="1" x14ac:dyDescent="0.2">
      <c r="B54" s="38">
        <v>60797800</v>
      </c>
      <c r="C54" s="25" t="s">
        <v>226</v>
      </c>
      <c r="D54">
        <v>39</v>
      </c>
      <c r="E54">
        <v>15</v>
      </c>
      <c r="F54">
        <v>0</v>
      </c>
      <c r="G54">
        <v>6</v>
      </c>
      <c r="H54">
        <f t="shared" si="0"/>
        <v>54</v>
      </c>
      <c r="J54">
        <v>12</v>
      </c>
      <c r="K54">
        <v>1</v>
      </c>
      <c r="L54">
        <f t="shared" si="1"/>
        <v>13</v>
      </c>
      <c r="S54" s="120"/>
    </row>
    <row r="55" spans="2:19" customFormat="1" ht="27.75" x14ac:dyDescent="0.2">
      <c r="B55" s="165">
        <v>60798600</v>
      </c>
      <c r="C55" s="25" t="s">
        <v>464</v>
      </c>
      <c r="D55" s="167">
        <v>0</v>
      </c>
      <c r="E55" s="167">
        <v>31</v>
      </c>
      <c r="F55" s="167">
        <v>39</v>
      </c>
      <c r="G55" s="167">
        <v>0</v>
      </c>
      <c r="H55">
        <f t="shared" si="0"/>
        <v>70</v>
      </c>
      <c r="J55" s="167">
        <v>10</v>
      </c>
      <c r="K55" s="167">
        <v>3</v>
      </c>
      <c r="L55">
        <f t="shared" si="1"/>
        <v>13</v>
      </c>
      <c r="S55" s="120"/>
    </row>
    <row r="56" spans="2:19" customFormat="1" ht="27.75" x14ac:dyDescent="0.2">
      <c r="B56" s="165">
        <v>60799700</v>
      </c>
      <c r="C56" s="166" t="s">
        <v>616</v>
      </c>
      <c r="D56" s="167">
        <v>69</v>
      </c>
      <c r="E56" s="167">
        <v>40</v>
      </c>
      <c r="F56" s="167">
        <v>31</v>
      </c>
      <c r="G56" s="167">
        <v>58</v>
      </c>
      <c r="H56">
        <f t="shared" si="0"/>
        <v>140</v>
      </c>
      <c r="J56" s="167">
        <v>14</v>
      </c>
      <c r="K56" s="167">
        <v>3</v>
      </c>
      <c r="L56">
        <f t="shared" si="1"/>
        <v>17</v>
      </c>
      <c r="S56" s="120"/>
    </row>
    <row r="57" spans="2:19" customFormat="1" x14ac:dyDescent="0.2">
      <c r="B57" s="168">
        <v>60807100</v>
      </c>
      <c r="C57" s="25" t="s">
        <v>229</v>
      </c>
      <c r="D57">
        <v>154</v>
      </c>
      <c r="E57">
        <v>125</v>
      </c>
      <c r="F57">
        <v>94</v>
      </c>
      <c r="G57">
        <v>154</v>
      </c>
      <c r="H57">
        <f t="shared" si="0"/>
        <v>373</v>
      </c>
      <c r="J57">
        <v>31</v>
      </c>
      <c r="K57">
        <v>14</v>
      </c>
      <c r="L57">
        <f t="shared" si="1"/>
        <v>45</v>
      </c>
      <c r="S57" s="120"/>
    </row>
    <row r="58" spans="2:19" customFormat="1" ht="27.75" x14ac:dyDescent="0.2">
      <c r="B58" s="165">
        <v>60831300</v>
      </c>
      <c r="C58" s="166" t="s">
        <v>617</v>
      </c>
      <c r="D58" s="167">
        <v>68</v>
      </c>
      <c r="E58" s="167">
        <v>90</v>
      </c>
      <c r="F58" s="167">
        <v>54</v>
      </c>
      <c r="G58" s="167">
        <v>25</v>
      </c>
      <c r="H58">
        <f t="shared" si="0"/>
        <v>212</v>
      </c>
      <c r="J58" s="167">
        <v>19</v>
      </c>
      <c r="K58" s="167">
        <v>9</v>
      </c>
      <c r="L58">
        <f t="shared" si="1"/>
        <v>28</v>
      </c>
      <c r="S58" s="120"/>
    </row>
    <row r="59" spans="2:19" customFormat="1" ht="27.75" x14ac:dyDescent="0.2">
      <c r="B59" s="38">
        <v>60845900</v>
      </c>
      <c r="C59" s="25" t="s">
        <v>618</v>
      </c>
      <c r="D59">
        <v>29</v>
      </c>
      <c r="E59">
        <v>15</v>
      </c>
      <c r="F59">
        <v>18</v>
      </c>
      <c r="G59">
        <v>3</v>
      </c>
      <c r="H59">
        <f t="shared" si="0"/>
        <v>62</v>
      </c>
      <c r="J59">
        <v>17</v>
      </c>
      <c r="K59">
        <v>3</v>
      </c>
      <c r="L59">
        <f t="shared" si="1"/>
        <v>20</v>
      </c>
      <c r="S59" s="120"/>
    </row>
    <row r="60" spans="2:19" customFormat="1" ht="27.75" x14ac:dyDescent="0.2">
      <c r="B60" s="165">
        <v>60863000</v>
      </c>
      <c r="C60" s="166" t="s">
        <v>233</v>
      </c>
      <c r="D60" s="167">
        <v>63</v>
      </c>
      <c r="E60" s="167">
        <v>44</v>
      </c>
      <c r="F60" s="167">
        <v>53</v>
      </c>
      <c r="G60" s="167">
        <v>38</v>
      </c>
      <c r="H60">
        <f t="shared" si="0"/>
        <v>160</v>
      </c>
      <c r="J60" s="167">
        <v>21</v>
      </c>
      <c r="K60" s="167">
        <v>14</v>
      </c>
      <c r="L60">
        <f t="shared" si="1"/>
        <v>35</v>
      </c>
      <c r="S60" s="120"/>
    </row>
    <row r="61" spans="2:19" customFormat="1" ht="27.75" x14ac:dyDescent="0.2">
      <c r="B61" s="165">
        <v>60877900</v>
      </c>
      <c r="C61" s="166" t="s">
        <v>452</v>
      </c>
      <c r="D61" s="167">
        <v>42</v>
      </c>
      <c r="E61" s="167">
        <v>18</v>
      </c>
      <c r="F61" s="167">
        <v>22</v>
      </c>
      <c r="G61" s="167">
        <v>7</v>
      </c>
      <c r="H61">
        <f t="shared" si="0"/>
        <v>82</v>
      </c>
      <c r="J61" s="167">
        <v>10</v>
      </c>
      <c r="K61" s="167">
        <v>4</v>
      </c>
      <c r="L61">
        <f t="shared" si="1"/>
        <v>14</v>
      </c>
      <c r="S61" s="120"/>
    </row>
    <row r="62" spans="2:19" customFormat="1" x14ac:dyDescent="0.2">
      <c r="B62" s="38">
        <v>60909700</v>
      </c>
      <c r="C62" s="25" t="s">
        <v>236</v>
      </c>
      <c r="D62">
        <v>0</v>
      </c>
      <c r="E62">
        <v>0</v>
      </c>
      <c r="F62">
        <v>26</v>
      </c>
      <c r="G62">
        <v>4</v>
      </c>
      <c r="H62">
        <f t="shared" si="0"/>
        <v>26</v>
      </c>
      <c r="J62">
        <v>7</v>
      </c>
      <c r="K62">
        <v>1</v>
      </c>
      <c r="L62">
        <f t="shared" si="1"/>
        <v>8</v>
      </c>
      <c r="S62" s="120"/>
    </row>
    <row r="63" spans="2:19" customFormat="1" x14ac:dyDescent="0.2">
      <c r="B63" s="165">
        <v>60932500</v>
      </c>
      <c r="C63" s="166" t="s">
        <v>237</v>
      </c>
      <c r="D63" s="167">
        <v>90</v>
      </c>
      <c r="E63" s="167">
        <v>60</v>
      </c>
      <c r="F63" s="167">
        <v>45</v>
      </c>
      <c r="G63" s="167">
        <v>37</v>
      </c>
      <c r="H63">
        <f t="shared" si="0"/>
        <v>195</v>
      </c>
      <c r="J63" s="167">
        <v>17</v>
      </c>
      <c r="K63" s="167">
        <v>6</v>
      </c>
      <c r="L63">
        <f t="shared" si="1"/>
        <v>23</v>
      </c>
      <c r="S63" s="120"/>
    </row>
    <row r="64" spans="2:19" customFormat="1" ht="27.75" x14ac:dyDescent="0.2">
      <c r="B64" s="38">
        <v>60950000</v>
      </c>
      <c r="C64" s="25" t="s">
        <v>619</v>
      </c>
      <c r="D64">
        <v>63</v>
      </c>
      <c r="E64">
        <v>0</v>
      </c>
      <c r="F64">
        <v>0</v>
      </c>
      <c r="G64">
        <v>22</v>
      </c>
      <c r="H64">
        <f t="shared" si="0"/>
        <v>63</v>
      </c>
      <c r="J64">
        <v>6</v>
      </c>
      <c r="K64">
        <v>1</v>
      </c>
      <c r="L64">
        <f t="shared" si="1"/>
        <v>7</v>
      </c>
      <c r="S64" s="120"/>
    </row>
    <row r="65" spans="2:19" customFormat="1" ht="27.75" x14ac:dyDescent="0.2">
      <c r="B65" s="38">
        <v>60956100</v>
      </c>
      <c r="C65" s="25" t="s">
        <v>620</v>
      </c>
      <c r="D65">
        <v>46</v>
      </c>
      <c r="E65">
        <v>20</v>
      </c>
      <c r="F65">
        <v>17</v>
      </c>
      <c r="G65">
        <v>16</v>
      </c>
      <c r="H65">
        <f t="shared" si="0"/>
        <v>83</v>
      </c>
      <c r="J65">
        <v>11</v>
      </c>
      <c r="K65">
        <v>2</v>
      </c>
      <c r="L65">
        <f t="shared" si="1"/>
        <v>13</v>
      </c>
    </row>
    <row r="66" spans="2:19" customFormat="1" x14ac:dyDescent="0.2">
      <c r="B66" s="38" t="s">
        <v>2581</v>
      </c>
      <c r="C66" s="25" t="s">
        <v>2537</v>
      </c>
      <c r="D66">
        <v>0</v>
      </c>
      <c r="E66">
        <v>36</v>
      </c>
      <c r="F66">
        <v>0</v>
      </c>
      <c r="G66">
        <v>0</v>
      </c>
      <c r="H66">
        <f t="shared" si="0"/>
        <v>36</v>
      </c>
      <c r="J66" s="169">
        <v>6</v>
      </c>
      <c r="K66" s="169">
        <v>2</v>
      </c>
      <c r="L66">
        <f t="shared" si="1"/>
        <v>8</v>
      </c>
      <c r="S66" s="120"/>
    </row>
    <row r="67" spans="2:19" customFormat="1" x14ac:dyDescent="0.2">
      <c r="B67" s="38">
        <v>60982700</v>
      </c>
      <c r="C67" s="25" t="s">
        <v>241</v>
      </c>
      <c r="D67">
        <v>42</v>
      </c>
      <c r="E67">
        <v>40</v>
      </c>
      <c r="F67">
        <v>28</v>
      </c>
      <c r="G67">
        <v>12</v>
      </c>
      <c r="H67">
        <f t="shared" si="0"/>
        <v>110</v>
      </c>
      <c r="J67">
        <v>13</v>
      </c>
      <c r="K67">
        <v>3</v>
      </c>
      <c r="L67">
        <f t="shared" si="1"/>
        <v>16</v>
      </c>
      <c r="S67" s="120"/>
    </row>
    <row r="68" spans="2:19" customFormat="1" x14ac:dyDescent="0.2">
      <c r="B68" s="165">
        <v>61045600</v>
      </c>
      <c r="C68" s="166" t="s">
        <v>243</v>
      </c>
      <c r="D68" s="167">
        <v>103</v>
      </c>
      <c r="E68" s="167">
        <v>35</v>
      </c>
      <c r="F68" s="167">
        <v>25</v>
      </c>
      <c r="G68" s="167">
        <v>23</v>
      </c>
      <c r="H68">
        <f t="shared" ref="H68:H131" si="2">SUM(D68:F68)</f>
        <v>163</v>
      </c>
      <c r="J68" s="167">
        <v>27</v>
      </c>
      <c r="K68" s="167">
        <v>3</v>
      </c>
      <c r="L68">
        <f t="shared" ref="L68:L131" si="3">SUM(J68:K68)</f>
        <v>30</v>
      </c>
      <c r="M68" s="121"/>
      <c r="S68" s="120"/>
    </row>
    <row r="69" spans="2:19" customFormat="1" x14ac:dyDescent="0.2">
      <c r="B69" s="38">
        <v>61128600</v>
      </c>
      <c r="C69" s="25" t="s">
        <v>621</v>
      </c>
      <c r="D69">
        <v>21</v>
      </c>
      <c r="E69">
        <v>0</v>
      </c>
      <c r="F69">
        <v>20</v>
      </c>
      <c r="G69">
        <v>9</v>
      </c>
      <c r="H69">
        <f t="shared" si="2"/>
        <v>41</v>
      </c>
      <c r="J69">
        <v>4</v>
      </c>
      <c r="K69">
        <v>1</v>
      </c>
      <c r="L69">
        <f t="shared" si="3"/>
        <v>5</v>
      </c>
      <c r="S69" s="120"/>
    </row>
    <row r="70" spans="2:19" customFormat="1" ht="27.75" x14ac:dyDescent="0.2">
      <c r="B70" s="38">
        <v>61172600</v>
      </c>
      <c r="C70" s="25" t="s">
        <v>622</v>
      </c>
      <c r="D70">
        <v>23</v>
      </c>
      <c r="E70">
        <v>13</v>
      </c>
      <c r="F70">
        <v>5</v>
      </c>
      <c r="G70">
        <v>6</v>
      </c>
      <c r="H70">
        <f t="shared" si="2"/>
        <v>41</v>
      </c>
      <c r="J70">
        <v>11</v>
      </c>
      <c r="K70">
        <v>2</v>
      </c>
      <c r="L70">
        <f t="shared" si="3"/>
        <v>13</v>
      </c>
      <c r="S70" s="120"/>
    </row>
    <row r="71" spans="2:19" customFormat="1" x14ac:dyDescent="0.2">
      <c r="B71" s="165">
        <v>61185300</v>
      </c>
      <c r="C71" s="166" t="s">
        <v>1868</v>
      </c>
      <c r="D71" s="167">
        <v>80</v>
      </c>
      <c r="E71" s="167">
        <v>56</v>
      </c>
      <c r="F71" s="167">
        <v>52</v>
      </c>
      <c r="G71" s="167">
        <v>63</v>
      </c>
      <c r="H71">
        <f t="shared" si="2"/>
        <v>188</v>
      </c>
      <c r="J71" s="167">
        <v>29</v>
      </c>
      <c r="K71" s="167">
        <v>15</v>
      </c>
      <c r="L71">
        <f t="shared" si="3"/>
        <v>44</v>
      </c>
      <c r="S71" s="120"/>
    </row>
    <row r="72" spans="2:19" customFormat="1" x14ac:dyDescent="0.2">
      <c r="B72" s="38">
        <v>61190300</v>
      </c>
      <c r="C72" s="25" t="s">
        <v>247</v>
      </c>
      <c r="D72">
        <v>25</v>
      </c>
      <c r="E72">
        <v>47</v>
      </c>
      <c r="F72">
        <v>0</v>
      </c>
      <c r="G72">
        <v>0</v>
      </c>
      <c r="H72">
        <f t="shared" si="2"/>
        <v>72</v>
      </c>
      <c r="J72">
        <v>12</v>
      </c>
      <c r="K72">
        <v>3</v>
      </c>
      <c r="L72">
        <f t="shared" si="3"/>
        <v>15</v>
      </c>
      <c r="S72" s="120"/>
    </row>
    <row r="73" spans="2:19" customFormat="1" x14ac:dyDescent="0.2">
      <c r="B73" s="79" t="s">
        <v>2315</v>
      </c>
      <c r="C73" s="25" t="s">
        <v>249</v>
      </c>
      <c r="D73" s="170">
        <v>0</v>
      </c>
      <c r="E73" s="170">
        <v>11</v>
      </c>
      <c r="F73" s="170">
        <v>27</v>
      </c>
      <c r="G73" s="170">
        <v>0</v>
      </c>
      <c r="H73">
        <f t="shared" si="2"/>
        <v>38</v>
      </c>
      <c r="I73" s="118"/>
      <c r="J73" s="118">
        <v>7</v>
      </c>
      <c r="K73" s="118">
        <v>1</v>
      </c>
      <c r="L73" s="118">
        <f t="shared" si="3"/>
        <v>8</v>
      </c>
      <c r="M73" s="118"/>
      <c r="N73" s="119"/>
      <c r="O73" s="119"/>
      <c r="P73" s="119"/>
      <c r="Q73" s="119"/>
      <c r="R73" s="119"/>
      <c r="S73" s="113"/>
    </row>
    <row r="74" spans="2:19" customFormat="1" x14ac:dyDescent="0.2">
      <c r="B74" s="165">
        <v>61233400</v>
      </c>
      <c r="C74" s="166" t="s">
        <v>251</v>
      </c>
      <c r="D74" s="167">
        <v>76</v>
      </c>
      <c r="E74" s="167">
        <v>68</v>
      </c>
      <c r="F74" s="167">
        <v>80</v>
      </c>
      <c r="G74" s="167">
        <v>42</v>
      </c>
      <c r="H74">
        <f t="shared" si="2"/>
        <v>224</v>
      </c>
      <c r="J74" s="167">
        <v>22</v>
      </c>
      <c r="K74" s="167">
        <v>13</v>
      </c>
      <c r="L74">
        <f t="shared" si="3"/>
        <v>35</v>
      </c>
      <c r="S74" s="120"/>
    </row>
    <row r="75" spans="2:19" customFormat="1" x14ac:dyDescent="0.2">
      <c r="B75" s="38">
        <v>61288800</v>
      </c>
      <c r="C75" s="25" t="s">
        <v>623</v>
      </c>
      <c r="D75">
        <v>147</v>
      </c>
      <c r="E75">
        <v>123</v>
      </c>
      <c r="F75">
        <v>119</v>
      </c>
      <c r="G75">
        <v>43</v>
      </c>
      <c r="H75">
        <f t="shared" si="2"/>
        <v>389</v>
      </c>
      <c r="J75">
        <v>23</v>
      </c>
      <c r="K75">
        <v>8</v>
      </c>
      <c r="L75">
        <f t="shared" si="3"/>
        <v>31</v>
      </c>
      <c r="S75" s="120"/>
    </row>
    <row r="76" spans="2:19" customFormat="1" x14ac:dyDescent="0.2">
      <c r="B76" s="38">
        <v>61302600</v>
      </c>
      <c r="C76" s="25" t="s">
        <v>254</v>
      </c>
      <c r="D76">
        <v>59</v>
      </c>
      <c r="E76">
        <v>23</v>
      </c>
      <c r="F76">
        <v>29</v>
      </c>
      <c r="G76">
        <v>25</v>
      </c>
      <c r="H76">
        <f t="shared" si="2"/>
        <v>111</v>
      </c>
      <c r="J76">
        <v>15</v>
      </c>
      <c r="K76">
        <v>2</v>
      </c>
      <c r="L76">
        <f t="shared" si="3"/>
        <v>17</v>
      </c>
      <c r="S76" s="120"/>
    </row>
    <row r="77" spans="2:19" customFormat="1" ht="27.75" x14ac:dyDescent="0.2">
      <c r="B77" s="165">
        <v>61337200</v>
      </c>
      <c r="C77" s="166" t="s">
        <v>624</v>
      </c>
      <c r="D77" s="167">
        <v>23</v>
      </c>
      <c r="E77" s="167">
        <v>17</v>
      </c>
      <c r="F77" s="167">
        <v>22</v>
      </c>
      <c r="G77" s="167">
        <v>11</v>
      </c>
      <c r="H77">
        <f t="shared" si="2"/>
        <v>62</v>
      </c>
      <c r="J77" s="167">
        <v>8</v>
      </c>
      <c r="K77" s="167">
        <v>5</v>
      </c>
      <c r="L77">
        <f t="shared" si="3"/>
        <v>13</v>
      </c>
      <c r="S77" s="120"/>
    </row>
    <row r="78" spans="2:19" customFormat="1" x14ac:dyDescent="0.2">
      <c r="B78" s="38">
        <v>61375800</v>
      </c>
      <c r="C78" s="25" t="s">
        <v>258</v>
      </c>
      <c r="D78">
        <v>0</v>
      </c>
      <c r="E78">
        <v>21</v>
      </c>
      <c r="F78">
        <v>0</v>
      </c>
      <c r="G78">
        <v>0</v>
      </c>
      <c r="H78">
        <f t="shared" si="2"/>
        <v>21</v>
      </c>
      <c r="J78">
        <v>7</v>
      </c>
      <c r="K78">
        <v>1</v>
      </c>
      <c r="L78">
        <f t="shared" si="3"/>
        <v>8</v>
      </c>
      <c r="S78" s="120"/>
    </row>
    <row r="79" spans="2:19" customFormat="1" ht="27.75" x14ac:dyDescent="0.2">
      <c r="B79" s="38">
        <v>61377800</v>
      </c>
      <c r="C79" s="25" t="s">
        <v>261</v>
      </c>
      <c r="D79" s="171">
        <v>0</v>
      </c>
      <c r="E79">
        <v>32</v>
      </c>
      <c r="F79" s="171">
        <v>0</v>
      </c>
      <c r="G79" s="171">
        <v>0</v>
      </c>
      <c r="H79">
        <f t="shared" si="2"/>
        <v>32</v>
      </c>
      <c r="J79">
        <v>7</v>
      </c>
      <c r="K79">
        <v>1</v>
      </c>
      <c r="L79">
        <f t="shared" si="3"/>
        <v>8</v>
      </c>
      <c r="S79" s="120"/>
    </row>
    <row r="80" spans="2:19" customFormat="1" x14ac:dyDescent="0.2">
      <c r="B80" s="165">
        <v>61578100</v>
      </c>
      <c r="C80" s="166" t="s">
        <v>625</v>
      </c>
      <c r="D80" s="167">
        <v>69</v>
      </c>
      <c r="E80" s="167">
        <v>58</v>
      </c>
      <c r="F80" s="167">
        <v>66</v>
      </c>
      <c r="G80" s="167">
        <v>36</v>
      </c>
      <c r="H80">
        <f t="shared" si="2"/>
        <v>193</v>
      </c>
      <c r="J80" s="167">
        <v>23</v>
      </c>
      <c r="K80" s="167">
        <v>11</v>
      </c>
      <c r="L80">
        <f t="shared" si="3"/>
        <v>34</v>
      </c>
      <c r="S80" s="120"/>
    </row>
    <row r="81" spans="2:19" customFormat="1" x14ac:dyDescent="0.2">
      <c r="B81" s="38">
        <v>61613900</v>
      </c>
      <c r="C81" s="25" t="s">
        <v>263</v>
      </c>
      <c r="D81">
        <v>80</v>
      </c>
      <c r="E81">
        <v>40</v>
      </c>
      <c r="F81">
        <v>36</v>
      </c>
      <c r="G81">
        <v>25</v>
      </c>
      <c r="H81">
        <f t="shared" si="2"/>
        <v>156</v>
      </c>
      <c r="J81">
        <v>15</v>
      </c>
      <c r="K81">
        <v>4</v>
      </c>
      <c r="L81">
        <f t="shared" si="3"/>
        <v>19</v>
      </c>
      <c r="S81" s="120"/>
    </row>
    <row r="82" spans="2:19" customFormat="1" x14ac:dyDescent="0.2">
      <c r="B82" s="38">
        <v>62056100</v>
      </c>
      <c r="C82" s="25" t="s">
        <v>265</v>
      </c>
      <c r="D82">
        <v>72</v>
      </c>
      <c r="E82">
        <v>48</v>
      </c>
      <c r="F82">
        <v>30</v>
      </c>
      <c r="G82">
        <v>9</v>
      </c>
      <c r="H82">
        <f t="shared" si="2"/>
        <v>150</v>
      </c>
      <c r="J82">
        <v>29</v>
      </c>
      <c r="K82">
        <v>9</v>
      </c>
      <c r="L82">
        <f t="shared" si="3"/>
        <v>38</v>
      </c>
      <c r="S82" s="120"/>
    </row>
    <row r="83" spans="2:19" customFormat="1" ht="27.75" x14ac:dyDescent="0.2">
      <c r="B83" s="165">
        <v>62111300</v>
      </c>
      <c r="C83" s="166" t="s">
        <v>268</v>
      </c>
      <c r="D83" s="167">
        <v>41</v>
      </c>
      <c r="E83" s="167">
        <v>37</v>
      </c>
      <c r="F83" s="167">
        <v>26</v>
      </c>
      <c r="G83" s="167">
        <v>12</v>
      </c>
      <c r="H83">
        <f t="shared" si="2"/>
        <v>104</v>
      </c>
      <c r="J83" s="167">
        <v>22</v>
      </c>
      <c r="K83" s="167">
        <v>10</v>
      </c>
      <c r="L83">
        <f t="shared" si="3"/>
        <v>32</v>
      </c>
      <c r="S83" s="120"/>
    </row>
    <row r="84" spans="2:19" customFormat="1" ht="27.75" x14ac:dyDescent="0.2">
      <c r="B84" s="165">
        <v>62210300</v>
      </c>
      <c r="C84" s="166" t="s">
        <v>626</v>
      </c>
      <c r="D84" s="167">
        <v>0</v>
      </c>
      <c r="E84" s="167">
        <v>2728</v>
      </c>
      <c r="F84" s="167">
        <v>2985</v>
      </c>
      <c r="G84" s="167">
        <v>0</v>
      </c>
      <c r="H84">
        <f t="shared" si="2"/>
        <v>5713</v>
      </c>
      <c r="J84" s="167">
        <v>808</v>
      </c>
      <c r="K84" s="167">
        <v>241</v>
      </c>
      <c r="L84">
        <f t="shared" si="3"/>
        <v>1049</v>
      </c>
      <c r="S84" s="120"/>
    </row>
    <row r="85" spans="2:19" customFormat="1" ht="27.75" x14ac:dyDescent="0.2">
      <c r="B85" s="165">
        <v>62210301</v>
      </c>
      <c r="C85" s="166" t="s">
        <v>627</v>
      </c>
      <c r="D85" s="167">
        <v>0</v>
      </c>
      <c r="E85" s="167">
        <v>0</v>
      </c>
      <c r="F85" s="167">
        <v>24</v>
      </c>
      <c r="G85" s="167">
        <v>9</v>
      </c>
      <c r="H85">
        <f t="shared" si="2"/>
        <v>24</v>
      </c>
      <c r="J85" s="167">
        <v>8</v>
      </c>
      <c r="K85" s="167">
        <v>3</v>
      </c>
      <c r="L85">
        <f t="shared" si="3"/>
        <v>11</v>
      </c>
      <c r="S85" s="120"/>
    </row>
    <row r="86" spans="2:19" customFormat="1" ht="27.75" x14ac:dyDescent="0.2">
      <c r="B86" s="165">
        <v>62210302</v>
      </c>
      <c r="C86" s="166" t="s">
        <v>628</v>
      </c>
      <c r="D86" s="167">
        <v>63</v>
      </c>
      <c r="E86" s="167">
        <v>55</v>
      </c>
      <c r="F86" s="167">
        <v>49</v>
      </c>
      <c r="G86" s="167">
        <v>26</v>
      </c>
      <c r="H86">
        <f t="shared" si="2"/>
        <v>167</v>
      </c>
      <c r="J86" s="167">
        <v>11</v>
      </c>
      <c r="K86" s="167">
        <v>5</v>
      </c>
      <c r="L86">
        <f t="shared" si="3"/>
        <v>16</v>
      </c>
      <c r="S86" s="120"/>
    </row>
    <row r="87" spans="2:19" customFormat="1" ht="27.75" x14ac:dyDescent="0.2">
      <c r="B87" s="165">
        <v>62210303</v>
      </c>
      <c r="C87" s="166" t="s">
        <v>2460</v>
      </c>
      <c r="D87" s="167">
        <v>62</v>
      </c>
      <c r="E87" s="167">
        <v>0</v>
      </c>
      <c r="F87" s="167">
        <v>0</v>
      </c>
      <c r="G87" s="167">
        <v>49</v>
      </c>
      <c r="H87">
        <f t="shared" si="2"/>
        <v>62</v>
      </c>
      <c r="J87" s="167">
        <v>10</v>
      </c>
      <c r="K87" s="167">
        <v>5</v>
      </c>
      <c r="L87">
        <f t="shared" si="3"/>
        <v>15</v>
      </c>
      <c r="S87" s="120"/>
    </row>
    <row r="88" spans="2:19" customFormat="1" ht="41.25" x14ac:dyDescent="0.2">
      <c r="B88" s="38" t="s">
        <v>2282</v>
      </c>
      <c r="C88" s="25" t="s">
        <v>2418</v>
      </c>
      <c r="D88">
        <v>0</v>
      </c>
      <c r="E88">
        <v>75</v>
      </c>
      <c r="F88">
        <v>49</v>
      </c>
      <c r="G88">
        <v>38</v>
      </c>
      <c r="H88">
        <f t="shared" si="2"/>
        <v>124</v>
      </c>
      <c r="J88" s="169">
        <v>20</v>
      </c>
      <c r="K88" s="169">
        <v>8</v>
      </c>
      <c r="L88">
        <f t="shared" si="3"/>
        <v>28</v>
      </c>
      <c r="S88" s="120"/>
    </row>
    <row r="89" spans="2:19" customFormat="1" ht="41.25" x14ac:dyDescent="0.2">
      <c r="B89" s="165">
        <v>62210305</v>
      </c>
      <c r="C89" s="166" t="s">
        <v>630</v>
      </c>
      <c r="D89" s="167">
        <v>0</v>
      </c>
      <c r="E89" s="167">
        <v>0</v>
      </c>
      <c r="F89" s="167">
        <v>56</v>
      </c>
      <c r="G89" s="167">
        <v>11</v>
      </c>
      <c r="H89">
        <f t="shared" si="2"/>
        <v>56</v>
      </c>
      <c r="J89" s="167">
        <v>10</v>
      </c>
      <c r="K89" s="167">
        <v>4</v>
      </c>
      <c r="L89">
        <f t="shared" si="3"/>
        <v>14</v>
      </c>
      <c r="S89" s="120"/>
    </row>
    <row r="90" spans="2:19" customFormat="1" ht="27.75" x14ac:dyDescent="0.2">
      <c r="B90" s="38">
        <v>62210306</v>
      </c>
      <c r="C90" s="25" t="s">
        <v>631</v>
      </c>
      <c r="D90">
        <v>0</v>
      </c>
      <c r="E90">
        <v>0</v>
      </c>
      <c r="F90">
        <v>35</v>
      </c>
      <c r="G90">
        <v>31</v>
      </c>
      <c r="H90">
        <f t="shared" si="2"/>
        <v>35</v>
      </c>
      <c r="J90">
        <v>8</v>
      </c>
      <c r="K90">
        <v>3</v>
      </c>
      <c r="L90">
        <f t="shared" si="3"/>
        <v>11</v>
      </c>
      <c r="S90" s="120"/>
    </row>
    <row r="91" spans="2:19" customFormat="1" ht="27.75" x14ac:dyDescent="0.2">
      <c r="B91" s="172">
        <v>62210307</v>
      </c>
      <c r="C91" s="173" t="s">
        <v>632</v>
      </c>
      <c r="D91" s="167">
        <v>0</v>
      </c>
      <c r="E91" s="167">
        <v>0</v>
      </c>
      <c r="F91" s="167">
        <v>38</v>
      </c>
      <c r="G91" s="167">
        <v>34</v>
      </c>
      <c r="H91">
        <f t="shared" si="2"/>
        <v>38</v>
      </c>
      <c r="J91" s="167">
        <v>9</v>
      </c>
      <c r="K91" s="167">
        <v>3</v>
      </c>
      <c r="L91">
        <f t="shared" si="3"/>
        <v>12</v>
      </c>
      <c r="S91" s="120"/>
    </row>
    <row r="92" spans="2:19" customFormat="1" ht="27.75" x14ac:dyDescent="0.2">
      <c r="B92" s="38" t="s">
        <v>2283</v>
      </c>
      <c r="C92" s="25" t="s">
        <v>633</v>
      </c>
      <c r="D92">
        <v>16</v>
      </c>
      <c r="E92">
        <v>37</v>
      </c>
      <c r="F92">
        <v>37</v>
      </c>
      <c r="G92">
        <v>25</v>
      </c>
      <c r="H92">
        <f t="shared" si="2"/>
        <v>90</v>
      </c>
      <c r="J92" s="169">
        <v>20</v>
      </c>
      <c r="K92" s="169">
        <v>6</v>
      </c>
      <c r="L92">
        <f t="shared" si="3"/>
        <v>26</v>
      </c>
    </row>
    <row r="93" spans="2:19" customFormat="1" x14ac:dyDescent="0.2">
      <c r="B93" s="174">
        <v>62210309</v>
      </c>
      <c r="C93" s="175" t="s">
        <v>634</v>
      </c>
      <c r="D93">
        <v>0</v>
      </c>
      <c r="E93">
        <v>0</v>
      </c>
      <c r="F93">
        <v>38</v>
      </c>
      <c r="G93">
        <v>0</v>
      </c>
      <c r="H93">
        <f t="shared" si="2"/>
        <v>38</v>
      </c>
      <c r="J93">
        <v>6</v>
      </c>
      <c r="K93">
        <v>4</v>
      </c>
      <c r="L93">
        <f t="shared" si="3"/>
        <v>10</v>
      </c>
      <c r="S93" s="120"/>
    </row>
    <row r="94" spans="2:19" customFormat="1" ht="27.75" x14ac:dyDescent="0.2">
      <c r="B94" s="165">
        <v>62210310</v>
      </c>
      <c r="C94" s="166" t="s">
        <v>635</v>
      </c>
      <c r="D94" s="167">
        <v>0</v>
      </c>
      <c r="E94" s="167">
        <v>33</v>
      </c>
      <c r="F94" s="167">
        <v>42</v>
      </c>
      <c r="G94" s="167">
        <v>35</v>
      </c>
      <c r="H94">
        <f t="shared" si="2"/>
        <v>75</v>
      </c>
      <c r="J94" s="167">
        <v>14</v>
      </c>
      <c r="K94" s="167">
        <v>6</v>
      </c>
      <c r="L94">
        <f t="shared" si="3"/>
        <v>20</v>
      </c>
      <c r="S94" s="120"/>
    </row>
    <row r="95" spans="2:19" customFormat="1" ht="27.75" x14ac:dyDescent="0.2">
      <c r="B95" s="38" t="s">
        <v>2284</v>
      </c>
      <c r="C95" s="25" t="s">
        <v>2473</v>
      </c>
      <c r="D95">
        <v>0</v>
      </c>
      <c r="E95">
        <v>28</v>
      </c>
      <c r="F95">
        <v>0</v>
      </c>
      <c r="G95">
        <v>24</v>
      </c>
      <c r="H95">
        <f t="shared" si="2"/>
        <v>28</v>
      </c>
      <c r="J95" s="169">
        <v>9</v>
      </c>
      <c r="K95" s="169">
        <v>2</v>
      </c>
      <c r="L95">
        <f t="shared" si="3"/>
        <v>11</v>
      </c>
      <c r="S95" s="120"/>
    </row>
    <row r="96" spans="2:19" customFormat="1" ht="27.75" x14ac:dyDescent="0.2">
      <c r="B96" s="38" t="s">
        <v>2285</v>
      </c>
      <c r="C96" s="25" t="s">
        <v>636</v>
      </c>
      <c r="D96">
        <v>0</v>
      </c>
      <c r="E96">
        <v>0</v>
      </c>
      <c r="F96">
        <v>0</v>
      </c>
      <c r="G96">
        <v>40</v>
      </c>
      <c r="H96">
        <f t="shared" si="2"/>
        <v>0</v>
      </c>
      <c r="J96" s="176">
        <v>0</v>
      </c>
      <c r="K96" s="176">
        <v>0</v>
      </c>
      <c r="L96">
        <f t="shared" si="3"/>
        <v>0</v>
      </c>
      <c r="S96" s="120"/>
    </row>
    <row r="97" spans="2:19" customFormat="1" x14ac:dyDescent="0.2">
      <c r="B97" s="38">
        <v>62230000</v>
      </c>
      <c r="C97" s="25" t="s">
        <v>280</v>
      </c>
      <c r="D97">
        <v>56</v>
      </c>
      <c r="E97">
        <v>43</v>
      </c>
      <c r="F97">
        <v>33</v>
      </c>
      <c r="G97">
        <v>21</v>
      </c>
      <c r="H97">
        <f t="shared" si="2"/>
        <v>132</v>
      </c>
      <c r="J97">
        <v>14</v>
      </c>
      <c r="K97">
        <v>3</v>
      </c>
      <c r="L97">
        <f t="shared" si="3"/>
        <v>17</v>
      </c>
      <c r="S97" s="120"/>
    </row>
    <row r="98" spans="2:19" customFormat="1" x14ac:dyDescent="0.2">
      <c r="B98" s="38">
        <v>62238400</v>
      </c>
      <c r="C98" s="25" t="s">
        <v>282</v>
      </c>
      <c r="D98">
        <v>53</v>
      </c>
      <c r="E98">
        <v>55</v>
      </c>
      <c r="F98">
        <v>37</v>
      </c>
      <c r="G98">
        <v>4</v>
      </c>
      <c r="H98">
        <f t="shared" si="2"/>
        <v>145</v>
      </c>
      <c r="J98">
        <v>15</v>
      </c>
      <c r="K98">
        <v>2</v>
      </c>
      <c r="L98">
        <f t="shared" si="3"/>
        <v>17</v>
      </c>
      <c r="S98" s="120"/>
    </row>
    <row r="99" spans="2:19" customFormat="1" x14ac:dyDescent="0.2">
      <c r="B99" s="38">
        <v>62242300</v>
      </c>
      <c r="C99" s="25" t="s">
        <v>284</v>
      </c>
      <c r="D99">
        <v>70</v>
      </c>
      <c r="E99">
        <v>47</v>
      </c>
      <c r="F99">
        <v>24</v>
      </c>
      <c r="G99">
        <v>13</v>
      </c>
      <c r="H99">
        <f t="shared" si="2"/>
        <v>141</v>
      </c>
      <c r="J99">
        <v>23</v>
      </c>
      <c r="K99">
        <v>5</v>
      </c>
      <c r="L99">
        <f t="shared" si="3"/>
        <v>28</v>
      </c>
      <c r="S99" s="120"/>
    </row>
    <row r="100" spans="2:19" customFormat="1" x14ac:dyDescent="0.2">
      <c r="B100" s="38">
        <v>62315000</v>
      </c>
      <c r="C100" s="25" t="s">
        <v>285</v>
      </c>
      <c r="D100">
        <v>0</v>
      </c>
      <c r="E100">
        <v>7</v>
      </c>
      <c r="F100">
        <v>9</v>
      </c>
      <c r="G100">
        <v>18</v>
      </c>
      <c r="H100">
        <f t="shared" si="2"/>
        <v>16</v>
      </c>
      <c r="J100">
        <v>8</v>
      </c>
      <c r="K100">
        <v>1</v>
      </c>
      <c r="L100">
        <f t="shared" si="3"/>
        <v>9</v>
      </c>
      <c r="S100" s="120"/>
    </row>
    <row r="101" spans="2:19" customFormat="1" x14ac:dyDescent="0.2">
      <c r="B101" s="38">
        <v>62318700</v>
      </c>
      <c r="C101" s="25" t="s">
        <v>288</v>
      </c>
      <c r="D101">
        <v>0</v>
      </c>
      <c r="E101">
        <v>24</v>
      </c>
      <c r="F101">
        <v>22</v>
      </c>
      <c r="G101">
        <v>24</v>
      </c>
      <c r="H101">
        <f t="shared" si="2"/>
        <v>46</v>
      </c>
      <c r="J101">
        <v>12</v>
      </c>
      <c r="K101">
        <v>2</v>
      </c>
      <c r="L101">
        <f t="shared" si="3"/>
        <v>14</v>
      </c>
      <c r="S101" s="120"/>
    </row>
    <row r="102" spans="2:19" customFormat="1" x14ac:dyDescent="0.2">
      <c r="B102" s="38">
        <v>62319200</v>
      </c>
      <c r="C102" s="25" t="s">
        <v>1100</v>
      </c>
      <c r="D102">
        <v>49</v>
      </c>
      <c r="E102">
        <v>53</v>
      </c>
      <c r="F102">
        <v>0</v>
      </c>
      <c r="G102">
        <v>0</v>
      </c>
      <c r="H102">
        <f t="shared" si="2"/>
        <v>102</v>
      </c>
      <c r="J102">
        <v>12</v>
      </c>
      <c r="K102">
        <v>2</v>
      </c>
      <c r="L102">
        <f t="shared" si="3"/>
        <v>14</v>
      </c>
      <c r="S102" s="120"/>
    </row>
    <row r="103" spans="2:19" customFormat="1" x14ac:dyDescent="0.2">
      <c r="B103" s="38">
        <v>62326400</v>
      </c>
      <c r="C103" s="25" t="s">
        <v>290</v>
      </c>
      <c r="D103">
        <v>36</v>
      </c>
      <c r="E103">
        <v>0</v>
      </c>
      <c r="F103">
        <v>13</v>
      </c>
      <c r="G103">
        <v>0</v>
      </c>
      <c r="H103">
        <f t="shared" si="2"/>
        <v>49</v>
      </c>
      <c r="J103">
        <v>14</v>
      </c>
      <c r="K103">
        <v>1</v>
      </c>
      <c r="L103">
        <f t="shared" si="3"/>
        <v>15</v>
      </c>
      <c r="S103" s="120"/>
    </row>
    <row r="104" spans="2:19" customFormat="1" x14ac:dyDescent="0.2">
      <c r="B104" s="38">
        <v>62341500</v>
      </c>
      <c r="C104" s="25" t="s">
        <v>293</v>
      </c>
      <c r="D104">
        <v>125</v>
      </c>
      <c r="E104">
        <v>80</v>
      </c>
      <c r="F104">
        <v>64</v>
      </c>
      <c r="G104">
        <v>28</v>
      </c>
      <c r="H104">
        <f t="shared" si="2"/>
        <v>269</v>
      </c>
      <c r="J104">
        <v>38</v>
      </c>
      <c r="K104">
        <v>15</v>
      </c>
      <c r="L104">
        <f t="shared" si="3"/>
        <v>53</v>
      </c>
      <c r="S104" s="120"/>
    </row>
    <row r="105" spans="2:19" customFormat="1" x14ac:dyDescent="0.2">
      <c r="B105" s="165">
        <v>62385500</v>
      </c>
      <c r="C105" s="166" t="s">
        <v>537</v>
      </c>
      <c r="D105" s="167">
        <v>46</v>
      </c>
      <c r="E105" s="167">
        <v>42</v>
      </c>
      <c r="F105" s="167">
        <v>20</v>
      </c>
      <c r="G105" s="167">
        <v>36</v>
      </c>
      <c r="H105">
        <f t="shared" si="2"/>
        <v>108</v>
      </c>
      <c r="J105" s="167">
        <v>13</v>
      </c>
      <c r="K105" s="167">
        <v>10</v>
      </c>
      <c r="L105">
        <f t="shared" si="3"/>
        <v>23</v>
      </c>
      <c r="S105" s="120"/>
    </row>
    <row r="106" spans="2:19" customFormat="1" x14ac:dyDescent="0.2">
      <c r="B106" s="38">
        <v>62420800</v>
      </c>
      <c r="C106" s="25" t="s">
        <v>637</v>
      </c>
      <c r="D106">
        <v>75</v>
      </c>
      <c r="E106">
        <v>43</v>
      </c>
      <c r="F106">
        <v>22</v>
      </c>
      <c r="G106">
        <v>29</v>
      </c>
      <c r="H106">
        <f t="shared" si="2"/>
        <v>140</v>
      </c>
      <c r="J106">
        <v>13</v>
      </c>
      <c r="K106">
        <v>2</v>
      </c>
      <c r="L106">
        <f t="shared" si="3"/>
        <v>15</v>
      </c>
      <c r="S106" s="120"/>
    </row>
    <row r="107" spans="2:19" customFormat="1" x14ac:dyDescent="0.2">
      <c r="B107" s="38">
        <v>62424000</v>
      </c>
      <c r="C107" s="25" t="s">
        <v>429</v>
      </c>
      <c r="D107">
        <v>0</v>
      </c>
      <c r="E107">
        <v>0</v>
      </c>
      <c r="F107">
        <v>21</v>
      </c>
      <c r="G107">
        <v>2</v>
      </c>
      <c r="H107">
        <f t="shared" si="2"/>
        <v>21</v>
      </c>
      <c r="J107">
        <v>5</v>
      </c>
      <c r="K107">
        <v>1</v>
      </c>
      <c r="L107">
        <f t="shared" si="3"/>
        <v>6</v>
      </c>
      <c r="S107" s="120"/>
    </row>
    <row r="108" spans="2:19" customFormat="1" x14ac:dyDescent="0.2">
      <c r="B108" s="38">
        <v>100011800</v>
      </c>
      <c r="C108" s="25" t="s">
        <v>1096</v>
      </c>
      <c r="D108">
        <v>75</v>
      </c>
      <c r="E108">
        <v>50</v>
      </c>
      <c r="F108">
        <v>30</v>
      </c>
      <c r="G108">
        <v>20</v>
      </c>
      <c r="H108">
        <f t="shared" si="2"/>
        <v>155</v>
      </c>
      <c r="J108">
        <v>25</v>
      </c>
      <c r="K108">
        <v>6</v>
      </c>
      <c r="L108">
        <f t="shared" si="3"/>
        <v>31</v>
      </c>
      <c r="S108" s="120"/>
    </row>
    <row r="109" spans="2:19" customFormat="1" x14ac:dyDescent="0.2">
      <c r="B109" s="38" t="s">
        <v>2286</v>
      </c>
      <c r="C109" s="25" t="s">
        <v>638</v>
      </c>
      <c r="D109">
        <v>47</v>
      </c>
      <c r="E109">
        <v>45</v>
      </c>
      <c r="F109">
        <v>47</v>
      </c>
      <c r="G109">
        <v>6</v>
      </c>
      <c r="H109">
        <f t="shared" si="2"/>
        <v>139</v>
      </c>
      <c r="J109" s="169">
        <v>30</v>
      </c>
      <c r="K109" s="169">
        <v>6</v>
      </c>
      <c r="L109">
        <f t="shared" si="3"/>
        <v>36</v>
      </c>
      <c r="S109" s="120"/>
    </row>
    <row r="110" spans="2:19" customFormat="1" x14ac:dyDescent="0.2">
      <c r="B110" s="38" t="s">
        <v>2380</v>
      </c>
      <c r="C110" s="25" t="s">
        <v>1094</v>
      </c>
      <c r="D110">
        <v>200</v>
      </c>
      <c r="E110">
        <v>85</v>
      </c>
      <c r="F110">
        <v>0</v>
      </c>
      <c r="G110">
        <v>0</v>
      </c>
      <c r="H110">
        <f t="shared" si="2"/>
        <v>285</v>
      </c>
      <c r="J110">
        <v>54</v>
      </c>
      <c r="K110">
        <v>6</v>
      </c>
      <c r="L110">
        <f t="shared" si="3"/>
        <v>60</v>
      </c>
      <c r="S110" s="120"/>
    </row>
    <row r="111" spans="2:19" customFormat="1" x14ac:dyDescent="0.2">
      <c r="B111" s="165">
        <v>100042200</v>
      </c>
      <c r="C111" s="166" t="s">
        <v>639</v>
      </c>
      <c r="D111" s="167">
        <v>71</v>
      </c>
      <c r="E111" s="167">
        <v>31</v>
      </c>
      <c r="F111" s="167">
        <v>39</v>
      </c>
      <c r="G111" s="167">
        <v>10</v>
      </c>
      <c r="H111">
        <f t="shared" si="2"/>
        <v>141</v>
      </c>
      <c r="J111" s="167">
        <v>23</v>
      </c>
      <c r="K111" s="167">
        <v>5</v>
      </c>
      <c r="L111">
        <f t="shared" si="3"/>
        <v>28</v>
      </c>
      <c r="S111" s="120"/>
    </row>
    <row r="112" spans="2:19" customFormat="1" x14ac:dyDescent="0.2">
      <c r="B112" s="38">
        <v>100042201</v>
      </c>
      <c r="C112" s="25" t="s">
        <v>640</v>
      </c>
      <c r="D112">
        <v>77</v>
      </c>
      <c r="E112">
        <v>26</v>
      </c>
      <c r="F112">
        <v>11</v>
      </c>
      <c r="G112">
        <v>9</v>
      </c>
      <c r="H112">
        <f t="shared" si="2"/>
        <v>114</v>
      </c>
      <c r="J112" s="169">
        <v>23</v>
      </c>
      <c r="K112" s="176">
        <v>5</v>
      </c>
      <c r="L112">
        <f t="shared" si="3"/>
        <v>28</v>
      </c>
      <c r="S112" s="120"/>
    </row>
    <row r="113" spans="2:19" customFormat="1" ht="27.75" x14ac:dyDescent="0.2">
      <c r="B113" s="165">
        <v>100042202</v>
      </c>
      <c r="C113" s="166" t="s">
        <v>1095</v>
      </c>
      <c r="D113" s="167">
        <v>23</v>
      </c>
      <c r="E113" s="167">
        <v>22</v>
      </c>
      <c r="F113" s="167">
        <v>7</v>
      </c>
      <c r="G113" s="167">
        <v>1</v>
      </c>
      <c r="H113">
        <f t="shared" si="2"/>
        <v>52</v>
      </c>
      <c r="J113" s="167">
        <v>23</v>
      </c>
      <c r="K113" s="167">
        <v>5</v>
      </c>
      <c r="L113">
        <f t="shared" si="3"/>
        <v>28</v>
      </c>
      <c r="S113" s="120"/>
    </row>
    <row r="114" spans="2:19" customFormat="1" x14ac:dyDescent="0.2">
      <c r="B114" s="165">
        <v>100062700</v>
      </c>
      <c r="C114" s="166" t="s">
        <v>296</v>
      </c>
      <c r="D114" s="167">
        <v>62</v>
      </c>
      <c r="E114" s="167">
        <v>33</v>
      </c>
      <c r="F114" s="167">
        <v>27</v>
      </c>
      <c r="G114" s="167">
        <v>9</v>
      </c>
      <c r="H114">
        <f t="shared" si="2"/>
        <v>122</v>
      </c>
      <c r="J114" s="167">
        <v>60</v>
      </c>
      <c r="K114" s="167">
        <v>8</v>
      </c>
      <c r="L114">
        <f t="shared" si="3"/>
        <v>68</v>
      </c>
      <c r="S114" s="120"/>
    </row>
    <row r="115" spans="2:19" customFormat="1" x14ac:dyDescent="0.2">
      <c r="B115" s="38" t="s">
        <v>2381</v>
      </c>
      <c r="C115" s="25" t="s">
        <v>297</v>
      </c>
      <c r="D115">
        <v>130</v>
      </c>
      <c r="E115">
        <v>110</v>
      </c>
      <c r="F115">
        <v>72</v>
      </c>
      <c r="G115">
        <v>60</v>
      </c>
      <c r="H115">
        <f t="shared" si="2"/>
        <v>312</v>
      </c>
      <c r="J115" s="169">
        <v>25</v>
      </c>
      <c r="K115" s="176">
        <v>6</v>
      </c>
      <c r="L115">
        <f t="shared" si="3"/>
        <v>31</v>
      </c>
      <c r="S115" s="120"/>
    </row>
    <row r="116" spans="2:19" customFormat="1" x14ac:dyDescent="0.2">
      <c r="B116" s="38">
        <v>100089900</v>
      </c>
      <c r="C116" s="25" t="s">
        <v>641</v>
      </c>
      <c r="D116">
        <v>160</v>
      </c>
      <c r="E116">
        <v>100</v>
      </c>
      <c r="F116">
        <v>46</v>
      </c>
      <c r="G116">
        <v>70</v>
      </c>
      <c r="H116">
        <f t="shared" si="2"/>
        <v>306</v>
      </c>
      <c r="J116">
        <v>45</v>
      </c>
      <c r="K116">
        <v>11</v>
      </c>
      <c r="L116">
        <f t="shared" si="3"/>
        <v>56</v>
      </c>
      <c r="S116" s="120"/>
    </row>
    <row r="117" spans="2:19" customFormat="1" x14ac:dyDescent="0.2">
      <c r="B117" s="38">
        <v>140068803</v>
      </c>
      <c r="C117" s="25" t="s">
        <v>154</v>
      </c>
      <c r="D117">
        <v>51</v>
      </c>
      <c r="E117">
        <v>0</v>
      </c>
      <c r="F117">
        <v>16</v>
      </c>
      <c r="G117">
        <v>13</v>
      </c>
      <c r="H117">
        <f t="shared" si="2"/>
        <v>67</v>
      </c>
      <c r="J117">
        <v>7</v>
      </c>
      <c r="K117">
        <v>1</v>
      </c>
      <c r="L117">
        <f t="shared" si="3"/>
        <v>8</v>
      </c>
      <c r="S117" s="120"/>
    </row>
    <row r="118" spans="2:19" customFormat="1" x14ac:dyDescent="0.2">
      <c r="B118" s="165">
        <v>140233600</v>
      </c>
      <c r="C118" s="166" t="s">
        <v>298</v>
      </c>
      <c r="D118" s="167">
        <v>15</v>
      </c>
      <c r="E118" s="167">
        <v>15</v>
      </c>
      <c r="F118" s="167">
        <v>14</v>
      </c>
      <c r="G118" s="167">
        <v>6</v>
      </c>
      <c r="H118">
        <f t="shared" si="2"/>
        <v>44</v>
      </c>
      <c r="J118" s="167">
        <v>14</v>
      </c>
      <c r="K118" s="167">
        <v>3</v>
      </c>
      <c r="L118">
        <f t="shared" si="3"/>
        <v>17</v>
      </c>
      <c r="S118" s="120"/>
    </row>
    <row r="119" spans="2:19" customFormat="1" x14ac:dyDescent="0.2">
      <c r="B119" s="165">
        <v>140240300</v>
      </c>
      <c r="C119" s="166" t="s">
        <v>476</v>
      </c>
      <c r="D119" s="167">
        <v>46</v>
      </c>
      <c r="E119" s="167">
        <v>33</v>
      </c>
      <c r="F119" s="167">
        <v>22</v>
      </c>
      <c r="G119" s="167">
        <v>0</v>
      </c>
      <c r="H119">
        <f t="shared" si="2"/>
        <v>101</v>
      </c>
      <c r="J119" s="167">
        <v>10</v>
      </c>
      <c r="K119" s="167">
        <v>3</v>
      </c>
      <c r="L119">
        <f t="shared" si="3"/>
        <v>13</v>
      </c>
      <c r="S119" s="120"/>
    </row>
    <row r="120" spans="2:19" customFormat="1" x14ac:dyDescent="0.2">
      <c r="B120" s="38">
        <v>140253500</v>
      </c>
      <c r="C120" s="25" t="s">
        <v>642</v>
      </c>
      <c r="D120">
        <v>106</v>
      </c>
      <c r="E120">
        <v>52</v>
      </c>
      <c r="F120">
        <v>68</v>
      </c>
      <c r="G120">
        <v>20</v>
      </c>
      <c r="H120">
        <f t="shared" si="2"/>
        <v>226</v>
      </c>
      <c r="J120">
        <v>20</v>
      </c>
      <c r="K120">
        <v>7</v>
      </c>
      <c r="L120">
        <f t="shared" si="3"/>
        <v>27</v>
      </c>
      <c r="S120" s="120"/>
    </row>
    <row r="121" spans="2:19" customFormat="1" x14ac:dyDescent="0.2">
      <c r="B121" s="174" t="s">
        <v>2382</v>
      </c>
      <c r="C121" s="175" t="s">
        <v>2624</v>
      </c>
      <c r="D121">
        <v>59</v>
      </c>
      <c r="E121">
        <v>37</v>
      </c>
      <c r="F121">
        <v>40</v>
      </c>
      <c r="G121">
        <v>18</v>
      </c>
      <c r="H121">
        <f t="shared" si="2"/>
        <v>136</v>
      </c>
      <c r="J121">
        <v>9</v>
      </c>
      <c r="K121">
        <v>2</v>
      </c>
      <c r="L121">
        <f t="shared" si="3"/>
        <v>11</v>
      </c>
      <c r="S121" s="120"/>
    </row>
    <row r="122" spans="2:19" customFormat="1" x14ac:dyDescent="0.2">
      <c r="B122" s="165">
        <v>140261700</v>
      </c>
      <c r="C122" s="166" t="s">
        <v>643</v>
      </c>
      <c r="D122" s="167">
        <v>0</v>
      </c>
      <c r="E122" s="167">
        <v>0</v>
      </c>
      <c r="F122" s="167">
        <v>28</v>
      </c>
      <c r="G122" s="167">
        <v>0</v>
      </c>
      <c r="H122">
        <f t="shared" si="2"/>
        <v>28</v>
      </c>
      <c r="J122" s="167">
        <v>4</v>
      </c>
      <c r="K122" s="167">
        <v>1</v>
      </c>
      <c r="L122">
        <f t="shared" si="3"/>
        <v>5</v>
      </c>
    </row>
    <row r="123" spans="2:19" customFormat="1" x14ac:dyDescent="0.2">
      <c r="B123" s="174" t="s">
        <v>2383</v>
      </c>
      <c r="C123" s="175" t="s">
        <v>644</v>
      </c>
      <c r="D123">
        <v>42</v>
      </c>
      <c r="E123">
        <v>43</v>
      </c>
      <c r="F123">
        <v>45</v>
      </c>
      <c r="G123">
        <v>0</v>
      </c>
      <c r="H123">
        <f t="shared" si="2"/>
        <v>130</v>
      </c>
      <c r="J123">
        <v>33</v>
      </c>
      <c r="K123">
        <v>3</v>
      </c>
      <c r="L123">
        <f t="shared" si="3"/>
        <v>36</v>
      </c>
      <c r="S123" s="120"/>
    </row>
    <row r="124" spans="2:19" customFormat="1" x14ac:dyDescent="0.2">
      <c r="B124" s="38">
        <v>140312400</v>
      </c>
      <c r="C124" s="25" t="s">
        <v>477</v>
      </c>
      <c r="D124">
        <v>0</v>
      </c>
      <c r="E124">
        <v>0</v>
      </c>
      <c r="F124">
        <v>14</v>
      </c>
      <c r="G124">
        <v>5</v>
      </c>
      <c r="H124">
        <f t="shared" si="2"/>
        <v>14</v>
      </c>
      <c r="J124">
        <v>3</v>
      </c>
      <c r="K124">
        <v>1</v>
      </c>
      <c r="L124">
        <f t="shared" si="3"/>
        <v>4</v>
      </c>
      <c r="S124" s="120"/>
    </row>
    <row r="125" spans="2:19" customFormat="1" x14ac:dyDescent="0.2">
      <c r="B125" s="38" t="s">
        <v>2384</v>
      </c>
      <c r="C125" s="25" t="s">
        <v>478</v>
      </c>
      <c r="D125">
        <v>21</v>
      </c>
      <c r="E125">
        <v>13</v>
      </c>
      <c r="F125">
        <v>22</v>
      </c>
      <c r="G125">
        <v>18</v>
      </c>
      <c r="H125">
        <f t="shared" si="2"/>
        <v>56</v>
      </c>
      <c r="J125" s="169">
        <v>15</v>
      </c>
      <c r="K125" s="169">
        <v>3</v>
      </c>
      <c r="L125">
        <f t="shared" si="3"/>
        <v>18</v>
      </c>
    </row>
    <row r="126" spans="2:19" customFormat="1" x14ac:dyDescent="0.2">
      <c r="B126" s="174">
        <v>140319900</v>
      </c>
      <c r="C126" s="175" t="s">
        <v>157</v>
      </c>
      <c r="D126">
        <v>159</v>
      </c>
      <c r="E126">
        <v>103</v>
      </c>
      <c r="F126">
        <v>20</v>
      </c>
      <c r="G126">
        <v>15</v>
      </c>
      <c r="H126">
        <f t="shared" si="2"/>
        <v>282</v>
      </c>
      <c r="J126">
        <v>18</v>
      </c>
      <c r="K126">
        <v>5</v>
      </c>
      <c r="L126">
        <f t="shared" si="3"/>
        <v>23</v>
      </c>
      <c r="S126" s="120"/>
    </row>
    <row r="127" spans="2:19" customFormat="1" x14ac:dyDescent="0.2">
      <c r="B127" s="38" t="s">
        <v>2385</v>
      </c>
      <c r="C127" s="25" t="s">
        <v>301</v>
      </c>
      <c r="D127">
        <v>40</v>
      </c>
      <c r="E127">
        <v>30</v>
      </c>
      <c r="F127">
        <v>40</v>
      </c>
      <c r="G127">
        <v>27</v>
      </c>
      <c r="H127">
        <f t="shared" si="2"/>
        <v>110</v>
      </c>
      <c r="J127" s="169">
        <v>11</v>
      </c>
      <c r="K127" s="169">
        <v>3</v>
      </c>
      <c r="L127">
        <f t="shared" si="3"/>
        <v>14</v>
      </c>
      <c r="S127" s="120"/>
    </row>
    <row r="128" spans="2:19" customFormat="1" x14ac:dyDescent="0.2">
      <c r="B128" s="165">
        <v>140333900</v>
      </c>
      <c r="C128" s="166" t="s">
        <v>161</v>
      </c>
      <c r="D128" s="167">
        <v>96</v>
      </c>
      <c r="E128" s="167">
        <v>63</v>
      </c>
      <c r="F128" s="167">
        <v>57</v>
      </c>
      <c r="G128" s="167">
        <v>77</v>
      </c>
      <c r="H128">
        <f t="shared" si="2"/>
        <v>216</v>
      </c>
      <c r="J128" s="167">
        <v>16</v>
      </c>
      <c r="K128" s="167">
        <v>5</v>
      </c>
      <c r="L128">
        <f t="shared" si="3"/>
        <v>21</v>
      </c>
      <c r="S128" s="120"/>
    </row>
    <row r="129" spans="2:19" customFormat="1" x14ac:dyDescent="0.2">
      <c r="B129" s="165">
        <v>140337300</v>
      </c>
      <c r="C129" s="166" t="s">
        <v>159</v>
      </c>
      <c r="D129" s="167">
        <v>85</v>
      </c>
      <c r="E129" s="167">
        <v>30</v>
      </c>
      <c r="F129" s="167">
        <v>20</v>
      </c>
      <c r="G129" s="167">
        <v>27</v>
      </c>
      <c r="H129">
        <f t="shared" si="2"/>
        <v>135</v>
      </c>
      <c r="J129" s="167">
        <v>19</v>
      </c>
      <c r="K129" s="167">
        <v>7</v>
      </c>
      <c r="L129">
        <f t="shared" si="3"/>
        <v>26</v>
      </c>
      <c r="S129" s="120"/>
    </row>
    <row r="130" spans="2:19" customFormat="1" x14ac:dyDescent="0.2">
      <c r="B130" s="38">
        <v>140359300</v>
      </c>
      <c r="C130" s="25" t="s">
        <v>645</v>
      </c>
      <c r="D130">
        <v>242</v>
      </c>
      <c r="E130">
        <v>208</v>
      </c>
      <c r="F130">
        <v>84</v>
      </c>
      <c r="G130">
        <v>15</v>
      </c>
      <c r="H130">
        <f t="shared" si="2"/>
        <v>534</v>
      </c>
      <c r="J130">
        <v>23</v>
      </c>
      <c r="K130">
        <v>10</v>
      </c>
      <c r="L130">
        <f t="shared" si="3"/>
        <v>33</v>
      </c>
      <c r="S130" s="120"/>
    </row>
    <row r="131" spans="2:19" customFormat="1" x14ac:dyDescent="0.2">
      <c r="B131" s="165">
        <v>140443800</v>
      </c>
      <c r="C131" s="166" t="s">
        <v>646</v>
      </c>
      <c r="D131" s="167">
        <v>69</v>
      </c>
      <c r="E131" s="167">
        <v>61</v>
      </c>
      <c r="F131" s="167">
        <v>91</v>
      </c>
      <c r="G131" s="167">
        <v>19</v>
      </c>
      <c r="H131">
        <f t="shared" si="2"/>
        <v>221</v>
      </c>
      <c r="J131" s="167">
        <v>10</v>
      </c>
      <c r="K131" s="167">
        <v>8</v>
      </c>
      <c r="L131">
        <f t="shared" si="3"/>
        <v>18</v>
      </c>
      <c r="S131" s="120"/>
    </row>
    <row r="132" spans="2:19" customFormat="1" x14ac:dyDescent="0.2">
      <c r="B132" s="165">
        <v>140463300</v>
      </c>
      <c r="C132" s="166" t="s">
        <v>568</v>
      </c>
      <c r="D132" s="167">
        <v>60</v>
      </c>
      <c r="E132" s="167">
        <v>46</v>
      </c>
      <c r="F132" s="167">
        <v>43</v>
      </c>
      <c r="G132" s="167">
        <v>30</v>
      </c>
      <c r="H132">
        <f t="shared" ref="H132:H195" si="4">SUM(D132:F132)</f>
        <v>149</v>
      </c>
      <c r="J132" s="167">
        <v>16</v>
      </c>
      <c r="K132" s="167">
        <v>4</v>
      </c>
      <c r="L132">
        <f t="shared" ref="L132:L195" si="5">SUM(J132:K132)</f>
        <v>20</v>
      </c>
      <c r="S132" s="120"/>
    </row>
    <row r="133" spans="2:19" customFormat="1" x14ac:dyDescent="0.2">
      <c r="B133" s="165" t="s">
        <v>2386</v>
      </c>
      <c r="C133" s="166" t="s">
        <v>647</v>
      </c>
      <c r="D133" s="167">
        <v>33</v>
      </c>
      <c r="E133" s="167">
        <v>27</v>
      </c>
      <c r="F133" s="167">
        <v>32</v>
      </c>
      <c r="G133" s="167">
        <v>14</v>
      </c>
      <c r="H133">
        <f t="shared" si="4"/>
        <v>92</v>
      </c>
      <c r="J133" s="167">
        <v>11</v>
      </c>
      <c r="K133" s="167">
        <v>3</v>
      </c>
      <c r="L133">
        <f t="shared" si="5"/>
        <v>14</v>
      </c>
      <c r="S133" s="120"/>
    </row>
    <row r="134" spans="2:19" customFormat="1" x14ac:dyDescent="0.2">
      <c r="B134" s="165">
        <v>140510100</v>
      </c>
      <c r="C134" s="166" t="s">
        <v>648</v>
      </c>
      <c r="D134" s="167">
        <v>177</v>
      </c>
      <c r="E134" s="167">
        <v>88</v>
      </c>
      <c r="F134" s="167">
        <v>126</v>
      </c>
      <c r="G134" s="167">
        <v>128</v>
      </c>
      <c r="H134">
        <f t="shared" si="4"/>
        <v>391</v>
      </c>
      <c r="J134" s="167">
        <v>92</v>
      </c>
      <c r="K134" s="167">
        <v>14</v>
      </c>
      <c r="L134">
        <f t="shared" si="5"/>
        <v>106</v>
      </c>
      <c r="S134" s="120"/>
    </row>
    <row r="135" spans="2:19" customFormat="1" x14ac:dyDescent="0.2">
      <c r="B135" s="165">
        <v>140510101</v>
      </c>
      <c r="C135" s="166" t="s">
        <v>164</v>
      </c>
      <c r="D135" s="167">
        <v>58</v>
      </c>
      <c r="E135" s="167">
        <v>27</v>
      </c>
      <c r="F135" s="167">
        <v>56</v>
      </c>
      <c r="G135" s="167">
        <v>26</v>
      </c>
      <c r="H135">
        <f t="shared" si="4"/>
        <v>141</v>
      </c>
      <c r="J135" s="167">
        <v>7</v>
      </c>
      <c r="K135" s="167">
        <v>2</v>
      </c>
      <c r="L135">
        <f t="shared" si="5"/>
        <v>9</v>
      </c>
    </row>
    <row r="136" spans="2:19" customFormat="1" x14ac:dyDescent="0.2">
      <c r="B136" s="165">
        <v>140510102</v>
      </c>
      <c r="C136" s="166" t="s">
        <v>178</v>
      </c>
      <c r="D136" s="167">
        <v>41</v>
      </c>
      <c r="E136" s="167">
        <v>37</v>
      </c>
      <c r="F136" s="167">
        <v>40</v>
      </c>
      <c r="G136" s="167">
        <v>32</v>
      </c>
      <c r="H136">
        <f t="shared" si="4"/>
        <v>118</v>
      </c>
      <c r="J136" s="167">
        <v>9</v>
      </c>
      <c r="K136" s="167">
        <v>2</v>
      </c>
      <c r="L136">
        <f t="shared" si="5"/>
        <v>11</v>
      </c>
      <c r="M136" s="118"/>
      <c r="N136" s="119"/>
      <c r="O136" s="119"/>
      <c r="P136" s="119"/>
      <c r="Q136" s="119"/>
      <c r="R136" s="119"/>
      <c r="S136" s="113"/>
    </row>
    <row r="137" spans="2:19" customFormat="1" x14ac:dyDescent="0.2">
      <c r="B137" s="79" t="s">
        <v>2387</v>
      </c>
      <c r="C137" s="25" t="s">
        <v>180</v>
      </c>
      <c r="D137" s="170">
        <v>18</v>
      </c>
      <c r="E137" s="170">
        <v>14</v>
      </c>
      <c r="F137" s="170">
        <v>16</v>
      </c>
      <c r="G137" s="170">
        <v>15</v>
      </c>
      <c r="H137">
        <f t="shared" si="4"/>
        <v>48</v>
      </c>
      <c r="I137" s="118"/>
      <c r="J137" s="118">
        <v>10</v>
      </c>
      <c r="K137" s="118">
        <v>1</v>
      </c>
      <c r="L137" s="118">
        <f t="shared" si="5"/>
        <v>11</v>
      </c>
      <c r="M137" s="118"/>
      <c r="N137" s="119"/>
      <c r="O137" s="119"/>
      <c r="P137" s="119"/>
      <c r="Q137" s="119"/>
      <c r="R137" s="119"/>
      <c r="S137" s="113"/>
    </row>
    <row r="138" spans="2:19" customFormat="1" x14ac:dyDescent="0.2">
      <c r="B138" s="79" t="s">
        <v>2388</v>
      </c>
      <c r="C138" s="25" t="s">
        <v>179</v>
      </c>
      <c r="D138" s="170">
        <v>52</v>
      </c>
      <c r="E138" s="170">
        <v>46</v>
      </c>
      <c r="F138" s="170">
        <v>36</v>
      </c>
      <c r="G138" s="170">
        <v>29</v>
      </c>
      <c r="H138">
        <f t="shared" si="4"/>
        <v>134</v>
      </c>
      <c r="I138" s="118"/>
      <c r="J138" s="118">
        <v>14</v>
      </c>
      <c r="K138" s="118">
        <v>3</v>
      </c>
      <c r="L138" s="118">
        <f t="shared" si="5"/>
        <v>17</v>
      </c>
      <c r="S138" s="120"/>
    </row>
    <row r="139" spans="2:19" customFormat="1" x14ac:dyDescent="0.2">
      <c r="B139" s="38">
        <v>140510105</v>
      </c>
      <c r="C139" s="25" t="s">
        <v>179</v>
      </c>
      <c r="D139">
        <v>17</v>
      </c>
      <c r="E139">
        <v>16</v>
      </c>
      <c r="F139">
        <v>12</v>
      </c>
      <c r="G139">
        <v>20</v>
      </c>
      <c r="H139">
        <f t="shared" si="4"/>
        <v>45</v>
      </c>
      <c r="J139">
        <v>8</v>
      </c>
      <c r="K139">
        <v>1</v>
      </c>
      <c r="L139">
        <f t="shared" si="5"/>
        <v>9</v>
      </c>
      <c r="S139" s="120"/>
    </row>
    <row r="140" spans="2:19" customFormat="1" x14ac:dyDescent="0.2">
      <c r="B140" s="38" t="s">
        <v>2389</v>
      </c>
      <c r="C140" s="25" t="s">
        <v>165</v>
      </c>
      <c r="D140">
        <v>41</v>
      </c>
      <c r="E140">
        <v>40</v>
      </c>
      <c r="F140">
        <v>30</v>
      </c>
      <c r="G140">
        <v>25</v>
      </c>
      <c r="H140">
        <f t="shared" si="4"/>
        <v>111</v>
      </c>
      <c r="J140" s="169">
        <v>11</v>
      </c>
      <c r="K140" s="169">
        <v>1</v>
      </c>
      <c r="L140">
        <f t="shared" si="5"/>
        <v>12</v>
      </c>
      <c r="S140" s="120"/>
    </row>
    <row r="141" spans="2:19" customFormat="1" x14ac:dyDescent="0.2">
      <c r="B141" s="165">
        <v>140510107</v>
      </c>
      <c r="C141" s="166" t="s">
        <v>181</v>
      </c>
      <c r="D141" s="167">
        <v>25</v>
      </c>
      <c r="E141" s="167">
        <v>11</v>
      </c>
      <c r="F141" s="167">
        <v>11</v>
      </c>
      <c r="G141" s="167">
        <v>20</v>
      </c>
      <c r="H141">
        <f t="shared" si="4"/>
        <v>47</v>
      </c>
      <c r="J141" s="167">
        <v>11</v>
      </c>
      <c r="K141" s="167">
        <v>1</v>
      </c>
      <c r="L141">
        <f t="shared" si="5"/>
        <v>12</v>
      </c>
      <c r="S141" s="120"/>
    </row>
    <row r="142" spans="2:19" customFormat="1" x14ac:dyDescent="0.2">
      <c r="B142" s="165">
        <v>140510108</v>
      </c>
      <c r="C142" s="166" t="s">
        <v>564</v>
      </c>
      <c r="D142" s="167">
        <v>29</v>
      </c>
      <c r="E142" s="167">
        <v>19</v>
      </c>
      <c r="F142" s="167">
        <v>27</v>
      </c>
      <c r="G142" s="167">
        <v>30</v>
      </c>
      <c r="H142">
        <f t="shared" si="4"/>
        <v>75</v>
      </c>
      <c r="J142" s="167">
        <v>9</v>
      </c>
      <c r="K142" s="167">
        <v>2</v>
      </c>
      <c r="L142">
        <f t="shared" si="5"/>
        <v>11</v>
      </c>
      <c r="S142" s="120"/>
    </row>
    <row r="143" spans="2:19" customFormat="1" x14ac:dyDescent="0.2">
      <c r="B143" s="38">
        <v>140510300</v>
      </c>
      <c r="C143" s="25" t="s">
        <v>1758</v>
      </c>
      <c r="D143">
        <v>136</v>
      </c>
      <c r="E143">
        <v>84</v>
      </c>
      <c r="F143">
        <v>25</v>
      </c>
      <c r="G143">
        <v>7</v>
      </c>
      <c r="H143">
        <f t="shared" si="4"/>
        <v>245</v>
      </c>
      <c r="J143">
        <v>14</v>
      </c>
      <c r="K143">
        <v>3</v>
      </c>
      <c r="L143">
        <f t="shared" si="5"/>
        <v>17</v>
      </c>
      <c r="S143" s="120"/>
    </row>
    <row r="144" spans="2:19" customFormat="1" x14ac:dyDescent="0.2">
      <c r="B144" s="38" t="s">
        <v>2390</v>
      </c>
      <c r="C144" s="25" t="s">
        <v>479</v>
      </c>
      <c r="D144">
        <v>39</v>
      </c>
      <c r="E144">
        <v>31</v>
      </c>
      <c r="F144">
        <v>27</v>
      </c>
      <c r="G144">
        <v>24</v>
      </c>
      <c r="H144">
        <f t="shared" si="4"/>
        <v>97</v>
      </c>
      <c r="J144" s="169">
        <v>15</v>
      </c>
      <c r="K144" s="169">
        <v>3</v>
      </c>
      <c r="L144">
        <f t="shared" si="5"/>
        <v>18</v>
      </c>
      <c r="S144" s="120"/>
    </row>
    <row r="145" spans="2:19" customFormat="1" x14ac:dyDescent="0.2">
      <c r="B145" s="165" t="s">
        <v>2391</v>
      </c>
      <c r="C145" s="166" t="s">
        <v>650</v>
      </c>
      <c r="D145" s="167">
        <v>0</v>
      </c>
      <c r="E145" s="167">
        <v>0</v>
      </c>
      <c r="F145" s="167">
        <v>0</v>
      </c>
      <c r="G145" s="167">
        <v>24</v>
      </c>
      <c r="H145">
        <f t="shared" si="4"/>
        <v>0</v>
      </c>
      <c r="J145" s="167">
        <v>6</v>
      </c>
      <c r="K145" s="167">
        <v>2</v>
      </c>
      <c r="L145">
        <f t="shared" si="5"/>
        <v>8</v>
      </c>
      <c r="S145" s="120"/>
    </row>
    <row r="146" spans="2:19" customFormat="1" x14ac:dyDescent="0.2">
      <c r="B146" s="165" t="s">
        <v>2392</v>
      </c>
      <c r="C146" s="166" t="s">
        <v>308</v>
      </c>
      <c r="D146" s="167">
        <v>0</v>
      </c>
      <c r="E146" s="167">
        <v>0</v>
      </c>
      <c r="F146" s="167">
        <v>0</v>
      </c>
      <c r="G146" s="167">
        <v>0</v>
      </c>
      <c r="H146">
        <f t="shared" si="4"/>
        <v>0</v>
      </c>
      <c r="J146" s="167">
        <v>7</v>
      </c>
      <c r="K146" s="167">
        <v>1</v>
      </c>
      <c r="L146">
        <f t="shared" si="5"/>
        <v>8</v>
      </c>
      <c r="S146" s="120"/>
    </row>
    <row r="147" spans="2:19" customFormat="1" x14ac:dyDescent="0.2">
      <c r="B147" s="165">
        <v>140544101</v>
      </c>
      <c r="C147" s="166" t="s">
        <v>309</v>
      </c>
      <c r="D147" s="167">
        <v>65</v>
      </c>
      <c r="E147" s="167">
        <v>67</v>
      </c>
      <c r="F147" s="167">
        <v>46</v>
      </c>
      <c r="G147" s="167">
        <v>35</v>
      </c>
      <c r="H147">
        <f t="shared" si="4"/>
        <v>178</v>
      </c>
      <c r="J147" s="167">
        <v>21</v>
      </c>
      <c r="K147" s="167">
        <v>6</v>
      </c>
      <c r="L147">
        <f t="shared" si="5"/>
        <v>27</v>
      </c>
      <c r="S147" s="120"/>
    </row>
    <row r="148" spans="2:19" customFormat="1" x14ac:dyDescent="0.2">
      <c r="B148" s="38">
        <v>140544105</v>
      </c>
      <c r="C148" s="25" t="s">
        <v>310</v>
      </c>
      <c r="D148">
        <v>181</v>
      </c>
      <c r="E148">
        <v>82</v>
      </c>
      <c r="F148">
        <v>57</v>
      </c>
      <c r="G148">
        <v>30</v>
      </c>
      <c r="H148">
        <f t="shared" si="4"/>
        <v>320</v>
      </c>
      <c r="J148">
        <v>25</v>
      </c>
      <c r="K148">
        <v>7</v>
      </c>
      <c r="L148">
        <f t="shared" si="5"/>
        <v>32</v>
      </c>
      <c r="S148" s="120"/>
    </row>
    <row r="149" spans="2:19" customFormat="1" x14ac:dyDescent="0.2">
      <c r="B149" s="165">
        <v>140544107</v>
      </c>
      <c r="C149" s="166" t="s">
        <v>312</v>
      </c>
      <c r="D149" s="167">
        <v>95</v>
      </c>
      <c r="E149" s="167">
        <v>82</v>
      </c>
      <c r="F149" s="167">
        <v>95</v>
      </c>
      <c r="G149" s="167">
        <v>67</v>
      </c>
      <c r="H149">
        <f t="shared" si="4"/>
        <v>272</v>
      </c>
      <c r="J149" s="167">
        <v>23</v>
      </c>
      <c r="K149" s="167">
        <v>8</v>
      </c>
      <c r="L149">
        <f t="shared" si="5"/>
        <v>31</v>
      </c>
    </row>
    <row r="150" spans="2:19" customFormat="1" x14ac:dyDescent="0.2">
      <c r="B150" s="165">
        <v>140575200</v>
      </c>
      <c r="C150" s="166" t="s">
        <v>2762</v>
      </c>
      <c r="D150" s="167">
        <v>0</v>
      </c>
      <c r="E150" s="167">
        <v>40</v>
      </c>
      <c r="F150" s="167">
        <v>0</v>
      </c>
      <c r="G150" s="167">
        <v>0</v>
      </c>
      <c r="H150">
        <f t="shared" si="4"/>
        <v>40</v>
      </c>
      <c r="J150" s="167">
        <v>6</v>
      </c>
      <c r="K150" s="167">
        <v>1</v>
      </c>
      <c r="L150">
        <f t="shared" si="5"/>
        <v>7</v>
      </c>
      <c r="S150" s="120"/>
    </row>
    <row r="151" spans="2:19" customFormat="1" ht="27.75" x14ac:dyDescent="0.2">
      <c r="B151" s="165">
        <v>180041100</v>
      </c>
      <c r="C151" s="166" t="s">
        <v>651</v>
      </c>
      <c r="D151" s="167">
        <v>278</v>
      </c>
      <c r="E151" s="167">
        <v>253</v>
      </c>
      <c r="F151" s="167">
        <v>186</v>
      </c>
      <c r="G151" s="167">
        <v>114</v>
      </c>
      <c r="H151">
        <f t="shared" si="4"/>
        <v>717</v>
      </c>
      <c r="J151" s="167">
        <v>30</v>
      </c>
      <c r="K151" s="167">
        <v>9</v>
      </c>
      <c r="L151">
        <f t="shared" si="5"/>
        <v>39</v>
      </c>
      <c r="S151" s="120"/>
    </row>
    <row r="152" spans="2:19" customFormat="1" x14ac:dyDescent="0.2">
      <c r="B152" s="162" t="s">
        <v>2790</v>
      </c>
      <c r="C152" s="25" t="s">
        <v>2789</v>
      </c>
      <c r="D152" s="164">
        <v>64</v>
      </c>
      <c r="E152" s="164">
        <v>52</v>
      </c>
      <c r="F152" s="164">
        <v>30</v>
      </c>
      <c r="G152" s="164">
        <v>18</v>
      </c>
      <c r="H152">
        <f t="shared" si="4"/>
        <v>146</v>
      </c>
      <c r="J152" s="164">
        <v>20</v>
      </c>
      <c r="K152" s="164">
        <v>3</v>
      </c>
      <c r="L152">
        <f t="shared" si="5"/>
        <v>23</v>
      </c>
      <c r="S152" s="120"/>
    </row>
    <row r="153" spans="2:19" customFormat="1" x14ac:dyDescent="0.2">
      <c r="B153" s="165">
        <v>180121600</v>
      </c>
      <c r="C153" s="166" t="s">
        <v>652</v>
      </c>
      <c r="D153" s="167">
        <v>40</v>
      </c>
      <c r="E153" s="167">
        <v>43</v>
      </c>
      <c r="F153" s="167">
        <v>26</v>
      </c>
      <c r="G153" s="167">
        <v>21</v>
      </c>
      <c r="H153">
        <f t="shared" si="4"/>
        <v>109</v>
      </c>
      <c r="J153" s="167">
        <v>19</v>
      </c>
      <c r="K153" s="167">
        <v>3</v>
      </c>
      <c r="L153">
        <f t="shared" si="5"/>
        <v>22</v>
      </c>
      <c r="S153" s="120"/>
    </row>
    <row r="154" spans="2:19" customFormat="1" x14ac:dyDescent="0.2">
      <c r="B154" s="165">
        <v>180141300</v>
      </c>
      <c r="C154" s="166" t="s">
        <v>653</v>
      </c>
      <c r="D154" s="167">
        <v>72</v>
      </c>
      <c r="E154" s="167">
        <v>52</v>
      </c>
      <c r="F154" s="167">
        <v>27</v>
      </c>
      <c r="G154" s="167">
        <v>12</v>
      </c>
      <c r="H154">
        <f t="shared" si="4"/>
        <v>151</v>
      </c>
      <c r="J154" s="167">
        <v>17</v>
      </c>
      <c r="K154" s="167">
        <v>3</v>
      </c>
      <c r="L154">
        <f t="shared" si="5"/>
        <v>20</v>
      </c>
      <c r="S154" s="120"/>
    </row>
    <row r="155" spans="2:19" customFormat="1" x14ac:dyDescent="0.2">
      <c r="B155" s="38" t="s">
        <v>2394</v>
      </c>
      <c r="C155" s="25" t="s">
        <v>654</v>
      </c>
      <c r="D155">
        <v>51</v>
      </c>
      <c r="E155">
        <v>46</v>
      </c>
      <c r="F155">
        <v>38</v>
      </c>
      <c r="G155">
        <v>14</v>
      </c>
      <c r="H155">
        <f t="shared" si="4"/>
        <v>135</v>
      </c>
      <c r="J155">
        <v>16</v>
      </c>
      <c r="K155">
        <v>2</v>
      </c>
      <c r="L155">
        <f t="shared" si="5"/>
        <v>18</v>
      </c>
      <c r="S155" s="120"/>
    </row>
    <row r="156" spans="2:19" customFormat="1" x14ac:dyDescent="0.2">
      <c r="B156" s="38">
        <v>180141500</v>
      </c>
      <c r="C156" s="25" t="s">
        <v>655</v>
      </c>
      <c r="D156">
        <v>82</v>
      </c>
      <c r="E156">
        <v>35</v>
      </c>
      <c r="F156">
        <v>12</v>
      </c>
      <c r="G156">
        <v>6</v>
      </c>
      <c r="H156">
        <f t="shared" si="4"/>
        <v>129</v>
      </c>
      <c r="J156">
        <v>12</v>
      </c>
      <c r="K156">
        <v>2</v>
      </c>
      <c r="L156">
        <f t="shared" si="5"/>
        <v>14</v>
      </c>
    </row>
    <row r="157" spans="2:19" customFormat="1" ht="27.75" x14ac:dyDescent="0.2">
      <c r="B157" s="165">
        <v>180143000</v>
      </c>
      <c r="C157" s="166" t="s">
        <v>656</v>
      </c>
      <c r="D157" s="167">
        <v>97</v>
      </c>
      <c r="E157" s="167">
        <v>75</v>
      </c>
      <c r="F157" s="167">
        <v>65</v>
      </c>
      <c r="G157" s="167">
        <v>52</v>
      </c>
      <c r="H157">
        <f t="shared" si="4"/>
        <v>237</v>
      </c>
      <c r="J157" s="167">
        <v>29</v>
      </c>
      <c r="K157" s="167">
        <v>14</v>
      </c>
      <c r="L157">
        <f t="shared" si="5"/>
        <v>43</v>
      </c>
      <c r="S157" s="120"/>
    </row>
    <row r="158" spans="2:19" customFormat="1" x14ac:dyDescent="0.2">
      <c r="B158" s="38">
        <v>180145100</v>
      </c>
      <c r="C158" s="25" t="s">
        <v>318</v>
      </c>
      <c r="D158">
        <v>51</v>
      </c>
      <c r="E158">
        <v>45</v>
      </c>
      <c r="F158">
        <v>24</v>
      </c>
      <c r="G158">
        <v>9</v>
      </c>
      <c r="H158">
        <f t="shared" si="4"/>
        <v>120</v>
      </c>
      <c r="J158">
        <v>17</v>
      </c>
      <c r="K158">
        <v>2</v>
      </c>
      <c r="L158">
        <f t="shared" si="5"/>
        <v>19</v>
      </c>
      <c r="S158" s="120"/>
    </row>
    <row r="159" spans="2:19" customFormat="1" x14ac:dyDescent="0.2">
      <c r="B159" s="38">
        <v>180146600</v>
      </c>
      <c r="C159" s="25" t="s">
        <v>657</v>
      </c>
      <c r="D159">
        <v>59</v>
      </c>
      <c r="E159">
        <v>26</v>
      </c>
      <c r="F159">
        <v>36</v>
      </c>
      <c r="G159">
        <v>15</v>
      </c>
      <c r="H159">
        <f t="shared" si="4"/>
        <v>121</v>
      </c>
      <c r="J159">
        <v>18</v>
      </c>
      <c r="K159">
        <v>3</v>
      </c>
      <c r="L159">
        <f t="shared" si="5"/>
        <v>21</v>
      </c>
      <c r="S159" s="120"/>
    </row>
    <row r="160" spans="2:19" customFormat="1" ht="27.75" x14ac:dyDescent="0.2">
      <c r="B160" s="38">
        <v>180146700</v>
      </c>
      <c r="C160" s="25" t="s">
        <v>658</v>
      </c>
      <c r="D160">
        <v>60</v>
      </c>
      <c r="E160">
        <v>38</v>
      </c>
      <c r="F160">
        <v>23</v>
      </c>
      <c r="G160">
        <v>17</v>
      </c>
      <c r="H160">
        <f t="shared" si="4"/>
        <v>121</v>
      </c>
      <c r="J160">
        <v>14</v>
      </c>
      <c r="K160">
        <v>2</v>
      </c>
      <c r="L160">
        <f t="shared" si="5"/>
        <v>16</v>
      </c>
      <c r="S160" s="120"/>
    </row>
    <row r="161" spans="2:19" customFormat="1" x14ac:dyDescent="0.2">
      <c r="B161" s="174" t="s">
        <v>2396</v>
      </c>
      <c r="C161" s="175" t="s">
        <v>322</v>
      </c>
      <c r="D161">
        <v>29</v>
      </c>
      <c r="E161">
        <v>21</v>
      </c>
      <c r="F161">
        <v>24</v>
      </c>
      <c r="G161">
        <v>17</v>
      </c>
      <c r="H161">
        <f t="shared" si="4"/>
        <v>74</v>
      </c>
      <c r="J161">
        <v>15</v>
      </c>
      <c r="K161">
        <v>2</v>
      </c>
      <c r="L161">
        <f t="shared" si="5"/>
        <v>17</v>
      </c>
      <c r="S161" s="120"/>
    </row>
    <row r="162" spans="2:19" customFormat="1" x14ac:dyDescent="0.2">
      <c r="B162" s="38">
        <v>180176600</v>
      </c>
      <c r="C162" s="25" t="s">
        <v>659</v>
      </c>
      <c r="D162">
        <v>41</v>
      </c>
      <c r="E162">
        <v>47</v>
      </c>
      <c r="F162">
        <v>48</v>
      </c>
      <c r="G162">
        <v>18</v>
      </c>
      <c r="H162">
        <f t="shared" si="4"/>
        <v>136</v>
      </c>
      <c r="J162">
        <v>15</v>
      </c>
      <c r="K162">
        <v>2</v>
      </c>
      <c r="L162">
        <f t="shared" si="5"/>
        <v>17</v>
      </c>
      <c r="S162" s="120"/>
    </row>
    <row r="163" spans="2:19" customFormat="1" x14ac:dyDescent="0.2">
      <c r="B163" s="174" t="s">
        <v>2397</v>
      </c>
      <c r="C163" s="175" t="s">
        <v>2656</v>
      </c>
      <c r="D163">
        <v>0</v>
      </c>
      <c r="E163">
        <v>46</v>
      </c>
      <c r="F163">
        <v>0</v>
      </c>
      <c r="G163">
        <v>0</v>
      </c>
      <c r="H163">
        <f t="shared" si="4"/>
        <v>46</v>
      </c>
      <c r="J163">
        <v>5</v>
      </c>
      <c r="K163">
        <v>1</v>
      </c>
      <c r="L163">
        <f t="shared" si="5"/>
        <v>6</v>
      </c>
      <c r="S163" s="120"/>
    </row>
    <row r="164" spans="2:19" customFormat="1" x14ac:dyDescent="0.2">
      <c r="B164" s="38">
        <v>220089900</v>
      </c>
      <c r="C164" s="25" t="s">
        <v>167</v>
      </c>
      <c r="D164">
        <v>312</v>
      </c>
      <c r="E164">
        <v>239</v>
      </c>
      <c r="F164">
        <v>279</v>
      </c>
      <c r="G164">
        <v>97</v>
      </c>
      <c r="H164">
        <f t="shared" si="4"/>
        <v>830</v>
      </c>
      <c r="J164">
        <v>64</v>
      </c>
      <c r="K164">
        <v>7</v>
      </c>
      <c r="L164">
        <f t="shared" si="5"/>
        <v>71</v>
      </c>
      <c r="O164" s="121"/>
      <c r="P164" s="121"/>
      <c r="Q164" s="121"/>
      <c r="S164" s="120"/>
    </row>
    <row r="165" spans="2:19" customFormat="1" ht="27.75" x14ac:dyDescent="0.2">
      <c r="B165" s="38">
        <v>220089901</v>
      </c>
      <c r="C165" s="25" t="s">
        <v>660</v>
      </c>
      <c r="D165">
        <v>140</v>
      </c>
      <c r="E165">
        <v>52</v>
      </c>
      <c r="F165">
        <v>90</v>
      </c>
      <c r="G165">
        <v>21</v>
      </c>
      <c r="H165">
        <f t="shared" si="4"/>
        <v>282</v>
      </c>
      <c r="J165">
        <v>21</v>
      </c>
      <c r="K165">
        <v>3</v>
      </c>
      <c r="L165">
        <f t="shared" si="5"/>
        <v>24</v>
      </c>
      <c r="M165" s="121"/>
      <c r="S165" s="120"/>
    </row>
    <row r="166" spans="2:19" customFormat="1" ht="27.75" x14ac:dyDescent="0.2">
      <c r="B166" s="38">
        <v>220089902</v>
      </c>
      <c r="C166" s="25" t="s">
        <v>168</v>
      </c>
      <c r="D166">
        <v>0</v>
      </c>
      <c r="E166">
        <v>0</v>
      </c>
      <c r="F166">
        <v>35</v>
      </c>
      <c r="G166">
        <v>0</v>
      </c>
      <c r="H166">
        <f t="shared" si="4"/>
        <v>35</v>
      </c>
      <c r="J166">
        <v>6</v>
      </c>
      <c r="K166">
        <v>1</v>
      </c>
      <c r="L166">
        <f t="shared" si="5"/>
        <v>7</v>
      </c>
      <c r="S166" s="120"/>
    </row>
    <row r="167" spans="2:19" customFormat="1" ht="27.75" x14ac:dyDescent="0.2">
      <c r="B167" s="38">
        <v>220089903</v>
      </c>
      <c r="C167" s="25" t="s">
        <v>169</v>
      </c>
      <c r="D167">
        <v>87</v>
      </c>
      <c r="E167">
        <v>21</v>
      </c>
      <c r="F167">
        <v>20</v>
      </c>
      <c r="G167">
        <v>0</v>
      </c>
      <c r="H167">
        <f t="shared" si="4"/>
        <v>128</v>
      </c>
      <c r="J167">
        <v>23</v>
      </c>
      <c r="K167">
        <v>1</v>
      </c>
      <c r="L167">
        <f t="shared" si="5"/>
        <v>24</v>
      </c>
      <c r="S167" s="120"/>
    </row>
    <row r="168" spans="2:19" customFormat="1" ht="27.75" x14ac:dyDescent="0.2">
      <c r="B168" s="38">
        <v>220089904</v>
      </c>
      <c r="C168" s="25" t="s">
        <v>170</v>
      </c>
      <c r="D168">
        <v>41</v>
      </c>
      <c r="E168">
        <v>39</v>
      </c>
      <c r="F168">
        <v>59</v>
      </c>
      <c r="G168">
        <v>0</v>
      </c>
      <c r="H168">
        <f t="shared" si="4"/>
        <v>139</v>
      </c>
      <c r="J168">
        <v>14</v>
      </c>
      <c r="K168">
        <v>1</v>
      </c>
      <c r="L168">
        <f t="shared" si="5"/>
        <v>15</v>
      </c>
      <c r="S168" s="120"/>
    </row>
    <row r="169" spans="2:19" customFormat="1" ht="27.75" x14ac:dyDescent="0.2">
      <c r="B169" s="38">
        <v>220089905</v>
      </c>
      <c r="C169" s="25" t="s">
        <v>171</v>
      </c>
      <c r="D169">
        <v>144</v>
      </c>
      <c r="E169">
        <v>0</v>
      </c>
      <c r="F169">
        <v>0</v>
      </c>
      <c r="G169">
        <v>36</v>
      </c>
      <c r="H169">
        <f t="shared" si="4"/>
        <v>144</v>
      </c>
      <c r="J169">
        <v>8</v>
      </c>
      <c r="K169">
        <v>1</v>
      </c>
      <c r="L169">
        <f t="shared" si="5"/>
        <v>9</v>
      </c>
      <c r="S169" s="120"/>
    </row>
    <row r="170" spans="2:19" customFormat="1" ht="27.75" x14ac:dyDescent="0.2">
      <c r="B170" s="38">
        <v>220089907</v>
      </c>
      <c r="C170" s="25" t="s">
        <v>661</v>
      </c>
      <c r="D170">
        <v>0</v>
      </c>
      <c r="E170">
        <v>0</v>
      </c>
      <c r="F170">
        <v>39</v>
      </c>
      <c r="G170">
        <v>0</v>
      </c>
      <c r="H170">
        <f t="shared" si="4"/>
        <v>39</v>
      </c>
      <c r="J170">
        <v>7</v>
      </c>
      <c r="K170">
        <v>1</v>
      </c>
      <c r="L170">
        <f t="shared" si="5"/>
        <v>8</v>
      </c>
      <c r="S170" s="120"/>
    </row>
    <row r="171" spans="2:19" customFormat="1" ht="27.75" x14ac:dyDescent="0.2">
      <c r="B171" s="38">
        <v>220089908</v>
      </c>
      <c r="C171" s="25" t="s">
        <v>662</v>
      </c>
      <c r="D171">
        <v>0</v>
      </c>
      <c r="E171">
        <v>53</v>
      </c>
      <c r="F171">
        <v>48</v>
      </c>
      <c r="G171">
        <v>0</v>
      </c>
      <c r="H171">
        <f t="shared" si="4"/>
        <v>101</v>
      </c>
      <c r="J171">
        <v>14</v>
      </c>
      <c r="K171">
        <v>1</v>
      </c>
      <c r="L171">
        <f t="shared" si="5"/>
        <v>15</v>
      </c>
      <c r="S171" s="120"/>
    </row>
    <row r="172" spans="2:19" customFormat="1" ht="27.75" x14ac:dyDescent="0.2">
      <c r="B172" s="38">
        <v>220089909</v>
      </c>
      <c r="C172" s="25" t="s">
        <v>663</v>
      </c>
      <c r="D172">
        <v>0</v>
      </c>
      <c r="E172">
        <v>25</v>
      </c>
      <c r="F172">
        <v>0</v>
      </c>
      <c r="G172">
        <v>0</v>
      </c>
      <c r="H172">
        <f t="shared" si="4"/>
        <v>25</v>
      </c>
      <c r="J172">
        <v>5</v>
      </c>
      <c r="K172">
        <v>1</v>
      </c>
      <c r="L172">
        <f t="shared" si="5"/>
        <v>6</v>
      </c>
      <c r="S172" s="120"/>
    </row>
    <row r="173" spans="2:19" customFormat="1" ht="27.75" x14ac:dyDescent="0.2">
      <c r="B173" s="38">
        <v>220089910</v>
      </c>
      <c r="C173" s="25" t="s">
        <v>727</v>
      </c>
      <c r="D173">
        <v>0</v>
      </c>
      <c r="E173">
        <v>50</v>
      </c>
      <c r="F173">
        <v>38</v>
      </c>
      <c r="G173">
        <v>21</v>
      </c>
      <c r="H173">
        <f t="shared" si="4"/>
        <v>88</v>
      </c>
      <c r="J173">
        <v>12</v>
      </c>
      <c r="K173">
        <v>2</v>
      </c>
      <c r="L173">
        <f t="shared" si="5"/>
        <v>14</v>
      </c>
      <c r="S173" s="120"/>
    </row>
    <row r="174" spans="2:19" customFormat="1" ht="27.75" x14ac:dyDescent="0.2">
      <c r="B174" s="38">
        <v>220089911</v>
      </c>
      <c r="C174" s="25" t="s">
        <v>729</v>
      </c>
      <c r="D174">
        <v>0</v>
      </c>
      <c r="E174">
        <v>0</v>
      </c>
      <c r="F174">
        <v>68</v>
      </c>
      <c r="G174">
        <v>0</v>
      </c>
      <c r="H174">
        <f t="shared" si="4"/>
        <v>68</v>
      </c>
      <c r="J174">
        <v>6</v>
      </c>
      <c r="K174">
        <v>1</v>
      </c>
      <c r="L174">
        <f t="shared" si="5"/>
        <v>7</v>
      </c>
      <c r="S174" s="120"/>
    </row>
    <row r="175" spans="2:19" customFormat="1" x14ac:dyDescent="0.2">
      <c r="B175" s="174" t="s">
        <v>2398</v>
      </c>
      <c r="C175" s="175" t="s">
        <v>480</v>
      </c>
      <c r="D175">
        <v>94</v>
      </c>
      <c r="E175">
        <v>76</v>
      </c>
      <c r="F175">
        <v>82</v>
      </c>
      <c r="G175">
        <v>56</v>
      </c>
      <c r="H175">
        <f t="shared" si="4"/>
        <v>252</v>
      </c>
      <c r="J175">
        <v>24</v>
      </c>
      <c r="K175">
        <v>6</v>
      </c>
      <c r="L175">
        <f t="shared" si="5"/>
        <v>30</v>
      </c>
      <c r="S175" s="120"/>
    </row>
    <row r="176" spans="2:19" customFormat="1" x14ac:dyDescent="0.2">
      <c r="B176" s="174" t="s">
        <v>2399</v>
      </c>
      <c r="C176" s="175" t="s">
        <v>480</v>
      </c>
      <c r="D176">
        <v>42</v>
      </c>
      <c r="E176">
        <v>30</v>
      </c>
      <c r="F176">
        <v>28</v>
      </c>
      <c r="G176">
        <v>26</v>
      </c>
      <c r="H176">
        <f t="shared" si="4"/>
        <v>100</v>
      </c>
      <c r="J176">
        <v>18</v>
      </c>
      <c r="K176">
        <v>6</v>
      </c>
      <c r="L176">
        <f t="shared" si="5"/>
        <v>24</v>
      </c>
      <c r="S176" s="120"/>
    </row>
    <row r="177" spans="2:20" customFormat="1" x14ac:dyDescent="0.2">
      <c r="B177" s="165">
        <v>300029300</v>
      </c>
      <c r="C177" s="166" t="s">
        <v>574</v>
      </c>
      <c r="D177" s="167">
        <v>76</v>
      </c>
      <c r="E177" s="167">
        <v>77</v>
      </c>
      <c r="F177" s="167">
        <v>80</v>
      </c>
      <c r="G177" s="167">
        <v>39</v>
      </c>
      <c r="H177">
        <f t="shared" si="4"/>
        <v>233</v>
      </c>
      <c r="J177" s="167">
        <v>35</v>
      </c>
      <c r="K177" s="167">
        <v>9</v>
      </c>
      <c r="L177">
        <f t="shared" si="5"/>
        <v>44</v>
      </c>
      <c r="S177" s="120"/>
    </row>
    <row r="178" spans="2:20" customFormat="1" x14ac:dyDescent="0.2">
      <c r="B178" s="38">
        <v>300078400</v>
      </c>
      <c r="C178" s="25" t="s">
        <v>664</v>
      </c>
      <c r="D178">
        <v>114</v>
      </c>
      <c r="E178">
        <v>77</v>
      </c>
      <c r="F178">
        <v>55</v>
      </c>
      <c r="G178">
        <v>21</v>
      </c>
      <c r="H178">
        <f t="shared" si="4"/>
        <v>246</v>
      </c>
      <c r="J178">
        <v>19</v>
      </c>
      <c r="K178">
        <v>1</v>
      </c>
      <c r="L178">
        <f t="shared" si="5"/>
        <v>20</v>
      </c>
      <c r="S178" s="120"/>
    </row>
    <row r="179" spans="2:20" customFormat="1" x14ac:dyDescent="0.2">
      <c r="B179" s="38">
        <v>300122100</v>
      </c>
      <c r="C179" s="25" t="s">
        <v>665</v>
      </c>
      <c r="D179">
        <v>58</v>
      </c>
      <c r="E179">
        <v>31</v>
      </c>
      <c r="F179">
        <v>34</v>
      </c>
      <c r="G179">
        <v>8</v>
      </c>
      <c r="H179">
        <f t="shared" si="4"/>
        <v>123</v>
      </c>
      <c r="J179">
        <v>36</v>
      </c>
      <c r="K179">
        <v>5</v>
      </c>
      <c r="L179">
        <f t="shared" si="5"/>
        <v>41</v>
      </c>
      <c r="S179" s="120"/>
    </row>
    <row r="180" spans="2:20" customFormat="1" x14ac:dyDescent="0.2">
      <c r="B180" s="38">
        <v>300129700</v>
      </c>
      <c r="C180" s="25" t="s">
        <v>459</v>
      </c>
      <c r="D180">
        <v>0</v>
      </c>
      <c r="E180">
        <v>45</v>
      </c>
      <c r="F180">
        <v>45</v>
      </c>
      <c r="G180">
        <v>48</v>
      </c>
      <c r="H180">
        <f t="shared" si="4"/>
        <v>90</v>
      </c>
      <c r="J180">
        <v>21</v>
      </c>
      <c r="K180">
        <v>7</v>
      </c>
      <c r="L180">
        <f t="shared" si="5"/>
        <v>28</v>
      </c>
      <c r="S180" s="120"/>
    </row>
    <row r="181" spans="2:20" customFormat="1" x14ac:dyDescent="0.2">
      <c r="B181" s="38" t="s">
        <v>2400</v>
      </c>
      <c r="C181" s="25" t="s">
        <v>666</v>
      </c>
      <c r="D181">
        <v>35</v>
      </c>
      <c r="E181">
        <v>33</v>
      </c>
      <c r="F181">
        <v>40</v>
      </c>
      <c r="G181">
        <v>14</v>
      </c>
      <c r="H181">
        <f t="shared" si="4"/>
        <v>108</v>
      </c>
      <c r="J181">
        <v>20</v>
      </c>
      <c r="K181">
        <v>6</v>
      </c>
      <c r="L181">
        <f t="shared" si="5"/>
        <v>26</v>
      </c>
    </row>
    <row r="182" spans="2:20" customFormat="1" x14ac:dyDescent="0.2">
      <c r="B182" s="38">
        <v>300152300</v>
      </c>
      <c r="C182" s="25" t="s">
        <v>667</v>
      </c>
      <c r="D182">
        <v>85</v>
      </c>
      <c r="E182">
        <v>55</v>
      </c>
      <c r="F182">
        <v>47</v>
      </c>
      <c r="G182">
        <v>24</v>
      </c>
      <c r="H182">
        <f t="shared" si="4"/>
        <v>187</v>
      </c>
      <c r="J182">
        <v>22</v>
      </c>
      <c r="K182">
        <v>3</v>
      </c>
      <c r="L182">
        <f t="shared" si="5"/>
        <v>25</v>
      </c>
      <c r="T182" s="120"/>
    </row>
    <row r="183" spans="2:20" customFormat="1" x14ac:dyDescent="0.2">
      <c r="B183" s="165">
        <v>300155100</v>
      </c>
      <c r="C183" s="166" t="s">
        <v>668</v>
      </c>
      <c r="D183" s="167">
        <v>63</v>
      </c>
      <c r="E183" s="167">
        <v>76</v>
      </c>
      <c r="F183" s="167">
        <v>52</v>
      </c>
      <c r="G183" s="167">
        <v>26</v>
      </c>
      <c r="H183">
        <f t="shared" si="4"/>
        <v>191</v>
      </c>
      <c r="J183" s="167">
        <v>33</v>
      </c>
      <c r="K183" s="167">
        <v>11</v>
      </c>
      <c r="L183">
        <f t="shared" si="5"/>
        <v>44</v>
      </c>
      <c r="T183" s="120"/>
    </row>
    <row r="184" spans="2:20" customFormat="1" ht="27.75" x14ac:dyDescent="0.2">
      <c r="B184" s="38">
        <v>300164300</v>
      </c>
      <c r="C184" s="25" t="s">
        <v>455</v>
      </c>
      <c r="D184">
        <v>107</v>
      </c>
      <c r="E184">
        <v>99</v>
      </c>
      <c r="F184">
        <v>76</v>
      </c>
      <c r="G184">
        <v>40</v>
      </c>
      <c r="H184">
        <f t="shared" si="4"/>
        <v>282</v>
      </c>
      <c r="J184">
        <v>19</v>
      </c>
      <c r="K184">
        <v>13</v>
      </c>
      <c r="L184">
        <f t="shared" si="5"/>
        <v>32</v>
      </c>
      <c r="T184" s="120"/>
    </row>
    <row r="185" spans="2:20" customFormat="1" ht="27.75" x14ac:dyDescent="0.2">
      <c r="B185" s="38" t="s">
        <v>2401</v>
      </c>
      <c r="C185" s="25" t="s">
        <v>669</v>
      </c>
      <c r="D185">
        <v>100</v>
      </c>
      <c r="E185">
        <v>114</v>
      </c>
      <c r="F185">
        <v>89</v>
      </c>
      <c r="G185">
        <v>23</v>
      </c>
      <c r="H185">
        <f t="shared" si="4"/>
        <v>303</v>
      </c>
      <c r="J185">
        <v>25</v>
      </c>
      <c r="K185">
        <v>6</v>
      </c>
      <c r="L185">
        <f t="shared" si="5"/>
        <v>31</v>
      </c>
      <c r="T185" s="120"/>
    </row>
    <row r="186" spans="2:20" customFormat="1" x14ac:dyDescent="0.2">
      <c r="B186" s="165">
        <v>300178300</v>
      </c>
      <c r="C186" s="166" t="s">
        <v>335</v>
      </c>
      <c r="D186" s="167">
        <v>43</v>
      </c>
      <c r="E186" s="167">
        <v>31</v>
      </c>
      <c r="F186" s="167">
        <v>46</v>
      </c>
      <c r="G186" s="167">
        <v>33</v>
      </c>
      <c r="H186">
        <f t="shared" si="4"/>
        <v>120</v>
      </c>
      <c r="J186" s="167">
        <v>20</v>
      </c>
      <c r="K186" s="167">
        <v>3</v>
      </c>
      <c r="L186">
        <f t="shared" si="5"/>
        <v>23</v>
      </c>
      <c r="M186" s="121"/>
      <c r="N186" s="121"/>
      <c r="T186" s="120"/>
    </row>
    <row r="187" spans="2:20" customFormat="1" x14ac:dyDescent="0.2">
      <c r="B187" s="165">
        <v>300185800</v>
      </c>
      <c r="C187" s="166" t="s">
        <v>670</v>
      </c>
      <c r="D187" s="167">
        <v>42</v>
      </c>
      <c r="E187" s="167">
        <v>34</v>
      </c>
      <c r="F187" s="167">
        <v>45</v>
      </c>
      <c r="G187" s="167">
        <v>24</v>
      </c>
      <c r="H187">
        <f t="shared" si="4"/>
        <v>121</v>
      </c>
      <c r="J187" s="167">
        <v>20</v>
      </c>
      <c r="K187" s="167">
        <v>3</v>
      </c>
      <c r="L187">
        <f t="shared" si="5"/>
        <v>23</v>
      </c>
      <c r="T187" s="120"/>
    </row>
    <row r="188" spans="2:20" customFormat="1" ht="27.75" x14ac:dyDescent="0.2">
      <c r="B188" s="165">
        <v>300201100</v>
      </c>
      <c r="C188" s="166" t="s">
        <v>671</v>
      </c>
      <c r="D188" s="167">
        <v>66</v>
      </c>
      <c r="E188" s="167">
        <v>69</v>
      </c>
      <c r="F188" s="167">
        <v>53</v>
      </c>
      <c r="G188" s="167">
        <v>58</v>
      </c>
      <c r="H188">
        <f t="shared" si="4"/>
        <v>188</v>
      </c>
      <c r="J188" s="167">
        <v>23</v>
      </c>
      <c r="K188" s="167">
        <v>9</v>
      </c>
      <c r="L188">
        <f t="shared" si="5"/>
        <v>32</v>
      </c>
      <c r="T188" s="120"/>
    </row>
    <row r="189" spans="2:20" customFormat="1" x14ac:dyDescent="0.2">
      <c r="B189" s="165">
        <v>300251300</v>
      </c>
      <c r="C189" s="166" t="s">
        <v>672</v>
      </c>
      <c r="D189" s="167">
        <v>50</v>
      </c>
      <c r="E189" s="167">
        <v>43</v>
      </c>
      <c r="F189" s="167">
        <v>42</v>
      </c>
      <c r="G189" s="167">
        <v>14</v>
      </c>
      <c r="H189">
        <f t="shared" si="4"/>
        <v>135</v>
      </c>
      <c r="J189" s="167">
        <v>19</v>
      </c>
      <c r="K189" s="167">
        <v>4</v>
      </c>
      <c r="L189">
        <f t="shared" si="5"/>
        <v>23</v>
      </c>
      <c r="T189" s="120"/>
    </row>
    <row r="190" spans="2:20" customFormat="1" x14ac:dyDescent="0.2">
      <c r="B190" s="38">
        <v>300306900</v>
      </c>
      <c r="C190" s="25" t="s">
        <v>338</v>
      </c>
      <c r="D190">
        <v>56</v>
      </c>
      <c r="E190">
        <v>42</v>
      </c>
      <c r="F190">
        <v>39</v>
      </c>
      <c r="G190">
        <v>14</v>
      </c>
      <c r="H190">
        <f t="shared" si="4"/>
        <v>137</v>
      </c>
      <c r="J190">
        <v>22</v>
      </c>
      <c r="K190">
        <v>3</v>
      </c>
      <c r="L190">
        <f t="shared" si="5"/>
        <v>25</v>
      </c>
      <c r="T190" s="120"/>
    </row>
    <row r="191" spans="2:20" customFormat="1" x14ac:dyDescent="0.2">
      <c r="B191" s="38" t="s">
        <v>2776</v>
      </c>
      <c r="C191" s="25" t="s">
        <v>2777</v>
      </c>
      <c r="D191">
        <v>45</v>
      </c>
      <c r="E191">
        <v>0</v>
      </c>
      <c r="F191">
        <v>0</v>
      </c>
      <c r="G191">
        <v>0</v>
      </c>
      <c r="H191">
        <f t="shared" si="4"/>
        <v>45</v>
      </c>
      <c r="J191">
        <v>6</v>
      </c>
      <c r="K191">
        <v>1</v>
      </c>
      <c r="L191">
        <f t="shared" si="5"/>
        <v>7</v>
      </c>
      <c r="T191" s="120"/>
    </row>
    <row r="192" spans="2:20" customFormat="1" x14ac:dyDescent="0.2">
      <c r="B192" s="165">
        <v>380052001</v>
      </c>
      <c r="C192" s="166" t="s">
        <v>1101</v>
      </c>
      <c r="D192" s="167">
        <v>60</v>
      </c>
      <c r="E192" s="167">
        <v>57</v>
      </c>
      <c r="F192" s="167">
        <v>0</v>
      </c>
      <c r="G192" s="167">
        <v>0</v>
      </c>
      <c r="H192">
        <f t="shared" si="4"/>
        <v>117</v>
      </c>
      <c r="J192" s="167">
        <v>10</v>
      </c>
      <c r="K192" s="167">
        <v>2</v>
      </c>
      <c r="L192">
        <f t="shared" si="5"/>
        <v>12</v>
      </c>
      <c r="T192" s="120"/>
    </row>
    <row r="193" spans="2:19" customFormat="1" x14ac:dyDescent="0.2">
      <c r="B193" s="38">
        <v>380081400</v>
      </c>
      <c r="C193" s="25" t="s">
        <v>481</v>
      </c>
      <c r="D193">
        <v>486</v>
      </c>
      <c r="E193">
        <v>360</v>
      </c>
      <c r="F193">
        <v>140</v>
      </c>
      <c r="G193">
        <v>46</v>
      </c>
      <c r="H193">
        <f t="shared" si="4"/>
        <v>986</v>
      </c>
      <c r="J193">
        <v>31</v>
      </c>
      <c r="K193">
        <v>6</v>
      </c>
      <c r="L193">
        <f t="shared" si="5"/>
        <v>37</v>
      </c>
      <c r="S193" s="120"/>
    </row>
    <row r="194" spans="2:19" customFormat="1" ht="27.75" x14ac:dyDescent="0.2">
      <c r="B194" s="38">
        <v>380081401</v>
      </c>
      <c r="C194" s="25" t="s">
        <v>482</v>
      </c>
      <c r="D194">
        <v>225</v>
      </c>
      <c r="E194">
        <v>0</v>
      </c>
      <c r="F194">
        <v>77</v>
      </c>
      <c r="G194">
        <v>21</v>
      </c>
      <c r="H194">
        <f t="shared" si="4"/>
        <v>302</v>
      </c>
      <c r="J194">
        <v>11</v>
      </c>
      <c r="K194">
        <v>2</v>
      </c>
      <c r="L194">
        <f t="shared" si="5"/>
        <v>13</v>
      </c>
      <c r="S194" s="120"/>
    </row>
    <row r="195" spans="2:19" customFormat="1" ht="27.75" x14ac:dyDescent="0.2">
      <c r="B195" s="165">
        <v>380081402</v>
      </c>
      <c r="C195" s="166" t="s">
        <v>483</v>
      </c>
      <c r="D195" s="167">
        <v>93</v>
      </c>
      <c r="E195" s="167">
        <v>0</v>
      </c>
      <c r="F195" s="167">
        <v>51</v>
      </c>
      <c r="G195" s="167">
        <v>20</v>
      </c>
      <c r="H195">
        <f t="shared" si="4"/>
        <v>144</v>
      </c>
      <c r="J195" s="167">
        <v>12</v>
      </c>
      <c r="K195" s="167">
        <v>5</v>
      </c>
      <c r="L195">
        <f t="shared" si="5"/>
        <v>17</v>
      </c>
      <c r="S195" s="120"/>
    </row>
    <row r="196" spans="2:19" customFormat="1" x14ac:dyDescent="0.2">
      <c r="B196" s="38">
        <v>380097800</v>
      </c>
      <c r="C196" s="25" t="s">
        <v>931</v>
      </c>
      <c r="D196">
        <v>175</v>
      </c>
      <c r="E196">
        <v>55</v>
      </c>
      <c r="F196">
        <v>60</v>
      </c>
      <c r="G196">
        <v>12</v>
      </c>
      <c r="H196">
        <f t="shared" ref="H196:H259" si="6">SUM(D196:F196)</f>
        <v>290</v>
      </c>
      <c r="J196">
        <v>48</v>
      </c>
      <c r="K196">
        <v>8</v>
      </c>
      <c r="L196">
        <f t="shared" ref="L196:L259" si="7">SUM(J196:K196)</f>
        <v>56</v>
      </c>
      <c r="S196" s="120"/>
    </row>
    <row r="197" spans="2:19" customFormat="1" x14ac:dyDescent="0.2">
      <c r="B197" s="165">
        <v>380098400</v>
      </c>
      <c r="C197" s="166" t="s">
        <v>1114</v>
      </c>
      <c r="D197" s="167">
        <v>55</v>
      </c>
      <c r="E197" s="167">
        <v>62</v>
      </c>
      <c r="F197" s="167">
        <v>25</v>
      </c>
      <c r="G197" s="167">
        <v>0</v>
      </c>
      <c r="H197">
        <f t="shared" si="6"/>
        <v>142</v>
      </c>
      <c r="J197" s="167">
        <v>14</v>
      </c>
      <c r="K197" s="167">
        <v>8</v>
      </c>
      <c r="L197">
        <f t="shared" si="7"/>
        <v>22</v>
      </c>
      <c r="S197" s="120"/>
    </row>
    <row r="198" spans="2:19" customFormat="1" x14ac:dyDescent="0.2">
      <c r="B198" s="165">
        <v>500124000</v>
      </c>
      <c r="C198" s="166" t="s">
        <v>2503</v>
      </c>
      <c r="D198" s="167">
        <v>97</v>
      </c>
      <c r="E198" s="167">
        <v>86</v>
      </c>
      <c r="F198" s="167">
        <v>80</v>
      </c>
      <c r="G198" s="167">
        <v>17</v>
      </c>
      <c r="H198">
        <f t="shared" si="6"/>
        <v>263</v>
      </c>
      <c r="J198" s="167">
        <v>42</v>
      </c>
      <c r="K198" s="167">
        <v>5</v>
      </c>
      <c r="L198">
        <f t="shared" si="7"/>
        <v>47</v>
      </c>
      <c r="S198" s="120"/>
    </row>
    <row r="199" spans="2:19" customFormat="1" x14ac:dyDescent="0.2">
      <c r="B199" s="165">
        <v>500124001</v>
      </c>
      <c r="C199" s="166" t="s">
        <v>675</v>
      </c>
      <c r="D199" s="167">
        <v>67</v>
      </c>
      <c r="E199" s="167">
        <v>60</v>
      </c>
      <c r="F199" s="167">
        <v>65</v>
      </c>
      <c r="G199" s="167">
        <v>30</v>
      </c>
      <c r="H199">
        <f t="shared" si="6"/>
        <v>192</v>
      </c>
      <c r="J199" s="167">
        <v>24</v>
      </c>
      <c r="K199" s="167">
        <v>3</v>
      </c>
      <c r="L199">
        <f t="shared" si="7"/>
        <v>27</v>
      </c>
      <c r="S199" s="120"/>
    </row>
    <row r="200" spans="2:19" customFormat="1" x14ac:dyDescent="0.2">
      <c r="B200" s="165">
        <v>500124002</v>
      </c>
      <c r="C200" s="166" t="s">
        <v>676</v>
      </c>
      <c r="D200" s="167">
        <v>113</v>
      </c>
      <c r="E200" s="167">
        <v>82</v>
      </c>
      <c r="F200" s="167">
        <v>98</v>
      </c>
      <c r="G200" s="167">
        <v>27</v>
      </c>
      <c r="H200">
        <f t="shared" si="6"/>
        <v>293</v>
      </c>
      <c r="J200" s="167">
        <v>43</v>
      </c>
      <c r="K200" s="167">
        <v>6</v>
      </c>
      <c r="L200">
        <f t="shared" si="7"/>
        <v>49</v>
      </c>
      <c r="S200" s="120"/>
    </row>
    <row r="201" spans="2:19" customFormat="1" x14ac:dyDescent="0.2">
      <c r="B201" s="165">
        <v>500124003</v>
      </c>
      <c r="C201" s="166" t="s">
        <v>942</v>
      </c>
      <c r="D201" s="167">
        <v>77</v>
      </c>
      <c r="E201" s="167">
        <v>62</v>
      </c>
      <c r="F201" s="167">
        <v>64</v>
      </c>
      <c r="G201" s="167">
        <v>34</v>
      </c>
      <c r="H201">
        <f t="shared" si="6"/>
        <v>203</v>
      </c>
      <c r="J201" s="167">
        <v>21</v>
      </c>
      <c r="K201" s="167">
        <v>3</v>
      </c>
      <c r="L201">
        <f t="shared" si="7"/>
        <v>24</v>
      </c>
      <c r="S201" s="120"/>
    </row>
    <row r="202" spans="2:19" customFormat="1" x14ac:dyDescent="0.2">
      <c r="B202" s="165">
        <v>500124004</v>
      </c>
      <c r="C202" s="166" t="s">
        <v>677</v>
      </c>
      <c r="D202" s="167">
        <v>77</v>
      </c>
      <c r="E202" s="167">
        <v>60</v>
      </c>
      <c r="F202" s="167">
        <v>65</v>
      </c>
      <c r="G202" s="167">
        <v>12</v>
      </c>
      <c r="H202">
        <f t="shared" si="6"/>
        <v>202</v>
      </c>
      <c r="J202" s="167">
        <v>23</v>
      </c>
      <c r="K202" s="167">
        <v>3</v>
      </c>
      <c r="L202">
        <f t="shared" si="7"/>
        <v>26</v>
      </c>
      <c r="S202" s="120"/>
    </row>
    <row r="203" spans="2:19" customFormat="1" x14ac:dyDescent="0.2">
      <c r="B203" s="165">
        <v>500124005</v>
      </c>
      <c r="C203" s="166" t="s">
        <v>1952</v>
      </c>
      <c r="D203" s="167">
        <v>0</v>
      </c>
      <c r="E203" s="167">
        <v>0</v>
      </c>
      <c r="F203" s="167">
        <v>0</v>
      </c>
      <c r="G203" s="167">
        <v>0</v>
      </c>
      <c r="H203">
        <f t="shared" si="6"/>
        <v>0</v>
      </c>
      <c r="J203" s="167">
        <v>0</v>
      </c>
      <c r="K203" s="167">
        <v>0</v>
      </c>
      <c r="L203">
        <f t="shared" si="7"/>
        <v>0</v>
      </c>
      <c r="S203" s="120"/>
    </row>
    <row r="204" spans="2:19" customFormat="1" x14ac:dyDescent="0.2">
      <c r="B204" s="165">
        <v>500124006</v>
      </c>
      <c r="C204" s="166" t="s">
        <v>678</v>
      </c>
      <c r="D204" s="167">
        <v>82</v>
      </c>
      <c r="E204" s="167">
        <v>33</v>
      </c>
      <c r="F204" s="167">
        <v>38</v>
      </c>
      <c r="G204" s="167">
        <v>8</v>
      </c>
      <c r="H204">
        <f t="shared" si="6"/>
        <v>153</v>
      </c>
      <c r="J204" s="167">
        <v>19</v>
      </c>
      <c r="K204" s="167">
        <v>3</v>
      </c>
      <c r="L204">
        <f t="shared" si="7"/>
        <v>22</v>
      </c>
      <c r="S204" s="120"/>
    </row>
    <row r="205" spans="2:19" customFormat="1" x14ac:dyDescent="0.2">
      <c r="B205" s="165">
        <v>500124007</v>
      </c>
      <c r="C205" s="166" t="s">
        <v>679</v>
      </c>
      <c r="D205" s="167">
        <v>59</v>
      </c>
      <c r="E205" s="167">
        <v>34</v>
      </c>
      <c r="F205" s="167">
        <v>57</v>
      </c>
      <c r="G205" s="167">
        <v>13</v>
      </c>
      <c r="H205">
        <f t="shared" si="6"/>
        <v>150</v>
      </c>
      <c r="J205" s="167">
        <v>24</v>
      </c>
      <c r="K205" s="167">
        <v>3</v>
      </c>
      <c r="L205">
        <f t="shared" si="7"/>
        <v>27</v>
      </c>
      <c r="S205" s="120"/>
    </row>
    <row r="206" spans="2:19" customFormat="1" x14ac:dyDescent="0.2">
      <c r="B206" s="165">
        <v>500124009</v>
      </c>
      <c r="C206" s="166" t="s">
        <v>680</v>
      </c>
      <c r="D206" s="167">
        <v>59</v>
      </c>
      <c r="E206" s="167">
        <v>61</v>
      </c>
      <c r="F206" s="167">
        <v>79</v>
      </c>
      <c r="G206" s="167">
        <v>24</v>
      </c>
      <c r="H206">
        <f t="shared" si="6"/>
        <v>199</v>
      </c>
      <c r="J206" s="167">
        <v>18</v>
      </c>
      <c r="K206" s="167">
        <v>3</v>
      </c>
      <c r="L206">
        <f t="shared" si="7"/>
        <v>21</v>
      </c>
      <c r="S206" s="120"/>
    </row>
    <row r="207" spans="2:19" customFormat="1" x14ac:dyDescent="0.2">
      <c r="B207" s="165">
        <v>500132400</v>
      </c>
      <c r="C207" s="166" t="s">
        <v>681</v>
      </c>
      <c r="D207" s="167">
        <v>81</v>
      </c>
      <c r="E207" s="167">
        <v>71</v>
      </c>
      <c r="F207" s="167">
        <v>75</v>
      </c>
      <c r="G207" s="167">
        <v>64</v>
      </c>
      <c r="H207">
        <f t="shared" si="6"/>
        <v>227</v>
      </c>
      <c r="J207" s="167">
        <v>25</v>
      </c>
      <c r="K207" s="167">
        <v>4</v>
      </c>
      <c r="L207">
        <f t="shared" si="7"/>
        <v>29</v>
      </c>
      <c r="S207" s="120"/>
    </row>
    <row r="208" spans="2:19" customFormat="1" x14ac:dyDescent="0.2">
      <c r="B208" s="38">
        <v>500134800</v>
      </c>
      <c r="C208" s="25" t="s">
        <v>682</v>
      </c>
      <c r="D208">
        <v>65</v>
      </c>
      <c r="E208">
        <v>78</v>
      </c>
      <c r="F208">
        <v>62</v>
      </c>
      <c r="G208">
        <v>37</v>
      </c>
      <c r="H208">
        <f t="shared" si="6"/>
        <v>205</v>
      </c>
      <c r="J208">
        <v>25</v>
      </c>
      <c r="K208">
        <v>3</v>
      </c>
      <c r="L208">
        <f t="shared" si="7"/>
        <v>28</v>
      </c>
      <c r="S208" s="120"/>
    </row>
    <row r="209" spans="2:20" customFormat="1" ht="27.75" x14ac:dyDescent="0.2">
      <c r="B209" s="38">
        <v>500180400</v>
      </c>
      <c r="C209" s="25" t="s">
        <v>1869</v>
      </c>
      <c r="D209">
        <v>300</v>
      </c>
      <c r="E209">
        <v>220</v>
      </c>
      <c r="F209">
        <v>200</v>
      </c>
      <c r="G209">
        <v>180</v>
      </c>
      <c r="H209">
        <f t="shared" si="6"/>
        <v>720</v>
      </c>
      <c r="J209">
        <v>30</v>
      </c>
      <c r="K209">
        <v>15</v>
      </c>
      <c r="L209">
        <f t="shared" si="7"/>
        <v>45</v>
      </c>
      <c r="S209" s="120"/>
    </row>
    <row r="210" spans="2:20" customFormat="1" ht="27.75" x14ac:dyDescent="0.2">
      <c r="B210" s="38">
        <v>500180401</v>
      </c>
      <c r="C210" s="25" t="s">
        <v>683</v>
      </c>
      <c r="D210">
        <v>108</v>
      </c>
      <c r="E210">
        <v>79</v>
      </c>
      <c r="F210">
        <v>58</v>
      </c>
      <c r="G210">
        <v>23</v>
      </c>
      <c r="H210">
        <f t="shared" si="6"/>
        <v>245</v>
      </c>
      <c r="J210">
        <v>30</v>
      </c>
      <c r="K210">
        <v>10</v>
      </c>
      <c r="L210">
        <f t="shared" si="7"/>
        <v>40</v>
      </c>
      <c r="S210" s="120"/>
    </row>
    <row r="211" spans="2:20" customFormat="1" ht="27.75" x14ac:dyDescent="0.2">
      <c r="B211" s="165">
        <v>500180402</v>
      </c>
      <c r="C211" s="166" t="s">
        <v>684</v>
      </c>
      <c r="D211" s="167">
        <v>82</v>
      </c>
      <c r="E211" s="167">
        <v>40</v>
      </c>
      <c r="F211" s="167">
        <v>55</v>
      </c>
      <c r="G211" s="167">
        <v>24</v>
      </c>
      <c r="H211">
        <f t="shared" si="6"/>
        <v>177</v>
      </c>
      <c r="J211" s="167">
        <v>30</v>
      </c>
      <c r="K211" s="167">
        <v>10</v>
      </c>
      <c r="L211">
        <f t="shared" si="7"/>
        <v>40</v>
      </c>
      <c r="S211" s="120"/>
    </row>
    <row r="212" spans="2:20" customFormat="1" ht="27.75" x14ac:dyDescent="0.2">
      <c r="B212" s="165">
        <v>500180404</v>
      </c>
      <c r="C212" s="166" t="s">
        <v>685</v>
      </c>
      <c r="D212" s="167">
        <v>72</v>
      </c>
      <c r="E212" s="167">
        <v>32</v>
      </c>
      <c r="F212" s="167">
        <v>27</v>
      </c>
      <c r="G212" s="167">
        <v>9</v>
      </c>
      <c r="H212">
        <f t="shared" si="6"/>
        <v>131</v>
      </c>
      <c r="J212" s="167">
        <v>30</v>
      </c>
      <c r="K212" s="167">
        <v>10</v>
      </c>
      <c r="L212">
        <f t="shared" si="7"/>
        <v>40</v>
      </c>
    </row>
    <row r="213" spans="2:20" customFormat="1" ht="27.75" x14ac:dyDescent="0.2">
      <c r="B213" s="165">
        <v>500180406</v>
      </c>
      <c r="C213" s="166" t="s">
        <v>686</v>
      </c>
      <c r="D213" s="167">
        <v>46</v>
      </c>
      <c r="E213" s="167">
        <v>32</v>
      </c>
      <c r="F213" s="167">
        <v>17</v>
      </c>
      <c r="G213" s="167">
        <v>20</v>
      </c>
      <c r="H213">
        <f t="shared" si="6"/>
        <v>95</v>
      </c>
      <c r="J213" s="167">
        <v>20</v>
      </c>
      <c r="K213" s="167">
        <v>10</v>
      </c>
      <c r="L213">
        <f t="shared" si="7"/>
        <v>30</v>
      </c>
      <c r="S213" s="120"/>
    </row>
    <row r="214" spans="2:20" customFormat="1" ht="27.75" x14ac:dyDescent="0.2">
      <c r="B214" s="165">
        <v>500180407</v>
      </c>
      <c r="C214" s="166" t="s">
        <v>687</v>
      </c>
      <c r="D214" s="167">
        <v>50</v>
      </c>
      <c r="E214" s="167">
        <v>0</v>
      </c>
      <c r="F214" s="167">
        <v>92</v>
      </c>
      <c r="G214" s="167">
        <v>0</v>
      </c>
      <c r="H214">
        <f t="shared" si="6"/>
        <v>142</v>
      </c>
      <c r="J214" s="167">
        <v>20</v>
      </c>
      <c r="K214" s="167">
        <v>10</v>
      </c>
      <c r="L214">
        <f t="shared" si="7"/>
        <v>30</v>
      </c>
      <c r="S214" s="120"/>
    </row>
    <row r="215" spans="2:20" customFormat="1" x14ac:dyDescent="0.2">
      <c r="B215" s="38">
        <v>500221200</v>
      </c>
      <c r="C215" s="25" t="s">
        <v>353</v>
      </c>
      <c r="D215">
        <v>248</v>
      </c>
      <c r="E215">
        <v>149</v>
      </c>
      <c r="F215">
        <v>69</v>
      </c>
      <c r="G215">
        <v>23</v>
      </c>
      <c r="H215">
        <f t="shared" si="6"/>
        <v>466</v>
      </c>
      <c r="J215">
        <v>47</v>
      </c>
      <c r="K215">
        <v>12</v>
      </c>
      <c r="L215">
        <f t="shared" si="7"/>
        <v>59</v>
      </c>
      <c r="T215" s="120"/>
    </row>
    <row r="216" spans="2:20" customFormat="1" x14ac:dyDescent="0.2">
      <c r="B216" s="165">
        <v>500224900</v>
      </c>
      <c r="C216" s="166" t="s">
        <v>688</v>
      </c>
      <c r="D216" s="167">
        <v>80</v>
      </c>
      <c r="E216" s="167">
        <v>70</v>
      </c>
      <c r="F216" s="167">
        <v>50</v>
      </c>
      <c r="G216" s="167">
        <v>29</v>
      </c>
      <c r="H216">
        <f t="shared" si="6"/>
        <v>200</v>
      </c>
      <c r="J216" s="167">
        <v>17</v>
      </c>
      <c r="K216" s="167">
        <v>8</v>
      </c>
      <c r="L216">
        <f t="shared" si="7"/>
        <v>25</v>
      </c>
      <c r="T216" s="120"/>
    </row>
    <row r="217" spans="2:20" customFormat="1" x14ac:dyDescent="0.2">
      <c r="B217" s="165">
        <v>500238900</v>
      </c>
      <c r="C217" s="166" t="s">
        <v>355</v>
      </c>
      <c r="D217" s="167">
        <v>68</v>
      </c>
      <c r="E217" s="167">
        <v>51</v>
      </c>
      <c r="F217" s="167">
        <v>50</v>
      </c>
      <c r="G217" s="167">
        <v>39</v>
      </c>
      <c r="H217">
        <f t="shared" si="6"/>
        <v>169</v>
      </c>
      <c r="J217" s="167">
        <v>21</v>
      </c>
      <c r="K217" s="167">
        <v>7</v>
      </c>
      <c r="L217">
        <f t="shared" si="7"/>
        <v>28</v>
      </c>
      <c r="T217" s="120"/>
    </row>
    <row r="218" spans="2:20" customFormat="1" x14ac:dyDescent="0.2">
      <c r="B218" s="165">
        <v>540027900</v>
      </c>
      <c r="C218" s="166" t="s">
        <v>16</v>
      </c>
      <c r="D218" s="167">
        <v>62</v>
      </c>
      <c r="E218" s="167">
        <v>43</v>
      </c>
      <c r="F218" s="167">
        <v>39</v>
      </c>
      <c r="G218" s="167">
        <v>7</v>
      </c>
      <c r="H218">
        <f t="shared" si="6"/>
        <v>144</v>
      </c>
      <c r="J218" s="167">
        <v>13</v>
      </c>
      <c r="K218" s="167">
        <v>5</v>
      </c>
      <c r="L218">
        <f t="shared" si="7"/>
        <v>18</v>
      </c>
      <c r="T218" s="120"/>
    </row>
    <row r="219" spans="2:20" customFormat="1" ht="27.75" x14ac:dyDescent="0.2">
      <c r="B219" s="165">
        <v>540153300</v>
      </c>
      <c r="C219" s="166" t="s">
        <v>1542</v>
      </c>
      <c r="D219" s="167">
        <v>0</v>
      </c>
      <c r="E219" s="167">
        <v>0</v>
      </c>
      <c r="F219" s="167">
        <v>186</v>
      </c>
      <c r="G219" s="167">
        <v>93</v>
      </c>
      <c r="H219">
        <f t="shared" si="6"/>
        <v>186</v>
      </c>
      <c r="J219" s="167">
        <v>21</v>
      </c>
      <c r="K219" s="167">
        <v>4</v>
      </c>
      <c r="L219">
        <f t="shared" si="7"/>
        <v>25</v>
      </c>
      <c r="S219" s="120"/>
    </row>
    <row r="220" spans="2:20" customFormat="1" x14ac:dyDescent="0.2">
      <c r="B220" s="38">
        <v>540186600</v>
      </c>
      <c r="C220" s="25" t="s">
        <v>11</v>
      </c>
      <c r="D220">
        <v>161</v>
      </c>
      <c r="E220">
        <v>73</v>
      </c>
      <c r="F220">
        <v>57</v>
      </c>
      <c r="G220">
        <v>41</v>
      </c>
      <c r="H220">
        <f t="shared" si="6"/>
        <v>291</v>
      </c>
      <c r="J220">
        <v>15</v>
      </c>
      <c r="K220">
        <v>4</v>
      </c>
      <c r="L220">
        <f t="shared" si="7"/>
        <v>19</v>
      </c>
      <c r="T220" s="120"/>
    </row>
    <row r="221" spans="2:20" customFormat="1" x14ac:dyDescent="0.2">
      <c r="B221" s="38">
        <v>540207800</v>
      </c>
      <c r="C221" s="25" t="s">
        <v>689</v>
      </c>
      <c r="D221">
        <v>299</v>
      </c>
      <c r="E221">
        <v>159</v>
      </c>
      <c r="F221">
        <v>0</v>
      </c>
      <c r="G221">
        <v>0</v>
      </c>
      <c r="H221">
        <f t="shared" si="6"/>
        <v>458</v>
      </c>
      <c r="J221">
        <v>19</v>
      </c>
      <c r="K221">
        <v>5</v>
      </c>
      <c r="L221">
        <f t="shared" si="7"/>
        <v>24</v>
      </c>
      <c r="S221" s="120"/>
    </row>
    <row r="222" spans="2:20" customFormat="1" x14ac:dyDescent="0.2">
      <c r="B222" s="165">
        <v>580075500</v>
      </c>
      <c r="C222" s="166" t="s">
        <v>690</v>
      </c>
      <c r="D222" s="167">
        <v>156</v>
      </c>
      <c r="E222" s="167">
        <v>77</v>
      </c>
      <c r="F222" s="167">
        <v>76</v>
      </c>
      <c r="G222" s="167">
        <v>25</v>
      </c>
      <c r="H222">
        <f t="shared" si="6"/>
        <v>309</v>
      </c>
      <c r="J222" s="167">
        <v>17</v>
      </c>
      <c r="K222" s="167">
        <v>9</v>
      </c>
      <c r="L222">
        <f t="shared" si="7"/>
        <v>26</v>
      </c>
      <c r="M222" s="121"/>
      <c r="N222" s="121"/>
      <c r="T222" s="120"/>
    </row>
    <row r="223" spans="2:20" customFormat="1" x14ac:dyDescent="0.2">
      <c r="B223" s="165">
        <v>580108100</v>
      </c>
      <c r="C223" s="166" t="s">
        <v>578</v>
      </c>
      <c r="D223" s="167">
        <v>213</v>
      </c>
      <c r="E223" s="167">
        <v>143</v>
      </c>
      <c r="F223" s="167">
        <v>43</v>
      </c>
      <c r="G223" s="167">
        <v>39</v>
      </c>
      <c r="H223">
        <f t="shared" si="6"/>
        <v>399</v>
      </c>
      <c r="J223" s="167">
        <v>35</v>
      </c>
      <c r="K223" s="167">
        <v>20</v>
      </c>
      <c r="L223">
        <f t="shared" si="7"/>
        <v>55</v>
      </c>
      <c r="T223" s="120"/>
    </row>
    <row r="224" spans="2:20" customFormat="1" x14ac:dyDescent="0.2">
      <c r="B224" s="38" t="s">
        <v>2351</v>
      </c>
      <c r="C224" s="25" t="s">
        <v>433</v>
      </c>
      <c r="D224">
        <v>71</v>
      </c>
      <c r="E224">
        <v>120</v>
      </c>
      <c r="F224">
        <v>92</v>
      </c>
      <c r="G224">
        <v>38</v>
      </c>
      <c r="H224">
        <f t="shared" si="6"/>
        <v>283</v>
      </c>
      <c r="J224" s="169">
        <v>11</v>
      </c>
      <c r="K224" s="169">
        <v>4</v>
      </c>
      <c r="L224">
        <f t="shared" si="7"/>
        <v>15</v>
      </c>
      <c r="T224" s="120"/>
    </row>
    <row r="225" spans="2:20" customFormat="1" x14ac:dyDescent="0.2">
      <c r="B225" s="38">
        <v>620100301</v>
      </c>
      <c r="C225" s="25" t="s">
        <v>484</v>
      </c>
      <c r="D225">
        <v>13</v>
      </c>
      <c r="E225">
        <v>24</v>
      </c>
      <c r="F225">
        <v>0</v>
      </c>
      <c r="G225">
        <v>15</v>
      </c>
      <c r="H225">
        <f t="shared" si="6"/>
        <v>37</v>
      </c>
      <c r="J225">
        <v>8</v>
      </c>
      <c r="K225">
        <v>3</v>
      </c>
      <c r="L225">
        <f t="shared" si="7"/>
        <v>11</v>
      </c>
      <c r="T225" s="120"/>
    </row>
    <row r="226" spans="2:20" customFormat="1" x14ac:dyDescent="0.2">
      <c r="B226" s="165">
        <v>620100302</v>
      </c>
      <c r="C226" s="166" t="s">
        <v>485</v>
      </c>
      <c r="D226" s="167">
        <v>30</v>
      </c>
      <c r="E226" s="167">
        <v>53</v>
      </c>
      <c r="F226" s="167">
        <v>39</v>
      </c>
      <c r="G226" s="167">
        <v>18</v>
      </c>
      <c r="H226">
        <f t="shared" si="6"/>
        <v>122</v>
      </c>
      <c r="J226" s="167">
        <v>19</v>
      </c>
      <c r="K226" s="167">
        <v>5</v>
      </c>
      <c r="L226">
        <f t="shared" si="7"/>
        <v>24</v>
      </c>
      <c r="T226" s="120"/>
    </row>
    <row r="227" spans="2:20" customFormat="1" x14ac:dyDescent="0.2">
      <c r="B227" s="165">
        <v>620100305</v>
      </c>
      <c r="C227" s="166" t="s">
        <v>486</v>
      </c>
      <c r="D227" s="167">
        <v>12</v>
      </c>
      <c r="E227" s="167">
        <v>15</v>
      </c>
      <c r="F227" s="167">
        <v>19</v>
      </c>
      <c r="G227" s="167">
        <v>14</v>
      </c>
      <c r="H227">
        <f t="shared" si="6"/>
        <v>46</v>
      </c>
      <c r="J227" s="167">
        <v>8</v>
      </c>
      <c r="K227" s="167">
        <v>2</v>
      </c>
      <c r="L227">
        <f t="shared" si="7"/>
        <v>10</v>
      </c>
      <c r="T227" s="120"/>
    </row>
    <row r="228" spans="2:20" customFormat="1" x14ac:dyDescent="0.2">
      <c r="B228" s="165">
        <v>620100306</v>
      </c>
      <c r="C228" s="166" t="s">
        <v>487</v>
      </c>
      <c r="D228" s="167">
        <v>54</v>
      </c>
      <c r="E228" s="167">
        <v>42</v>
      </c>
      <c r="F228" s="167">
        <v>23</v>
      </c>
      <c r="G228" s="167">
        <v>0</v>
      </c>
      <c r="H228">
        <f t="shared" si="6"/>
        <v>119</v>
      </c>
      <c r="J228" s="167">
        <v>6</v>
      </c>
      <c r="K228" s="167">
        <v>2</v>
      </c>
      <c r="L228">
        <f t="shared" si="7"/>
        <v>8</v>
      </c>
      <c r="T228" s="120"/>
    </row>
    <row r="229" spans="2:20" customFormat="1" x14ac:dyDescent="0.2">
      <c r="B229" s="97" t="s">
        <v>2356</v>
      </c>
      <c r="C229" s="25" t="s">
        <v>489</v>
      </c>
      <c r="D229" s="177">
        <v>85</v>
      </c>
      <c r="E229" s="177">
        <v>65</v>
      </c>
      <c r="F229" s="177">
        <v>45</v>
      </c>
      <c r="G229" s="177">
        <v>0</v>
      </c>
      <c r="H229">
        <f t="shared" si="6"/>
        <v>195</v>
      </c>
      <c r="J229" s="177">
        <v>11</v>
      </c>
      <c r="K229" s="177">
        <v>4</v>
      </c>
      <c r="L229">
        <f t="shared" si="7"/>
        <v>15</v>
      </c>
      <c r="T229" s="120"/>
    </row>
    <row r="230" spans="2:20" customFormat="1" x14ac:dyDescent="0.2">
      <c r="B230" s="165">
        <v>660063300</v>
      </c>
      <c r="C230" s="166" t="s">
        <v>691</v>
      </c>
      <c r="D230" s="167">
        <v>246</v>
      </c>
      <c r="E230" s="167">
        <v>242</v>
      </c>
      <c r="F230" s="167">
        <v>309</v>
      </c>
      <c r="G230" s="167">
        <v>97</v>
      </c>
      <c r="H230">
        <f t="shared" si="6"/>
        <v>797</v>
      </c>
      <c r="J230" s="167">
        <v>72</v>
      </c>
      <c r="K230" s="167">
        <v>38</v>
      </c>
      <c r="L230">
        <f t="shared" si="7"/>
        <v>110</v>
      </c>
      <c r="T230" s="120"/>
    </row>
    <row r="231" spans="2:20" customFormat="1" x14ac:dyDescent="0.2">
      <c r="B231" s="79" t="s">
        <v>2358</v>
      </c>
      <c r="C231" s="25" t="s">
        <v>490</v>
      </c>
      <c r="D231" s="177">
        <v>328</v>
      </c>
      <c r="E231" s="177">
        <v>250</v>
      </c>
      <c r="F231" s="177">
        <v>225</v>
      </c>
      <c r="G231" s="177">
        <v>105</v>
      </c>
      <c r="H231">
        <f t="shared" si="6"/>
        <v>803</v>
      </c>
      <c r="J231" s="177">
        <v>17</v>
      </c>
      <c r="K231" s="177">
        <v>10</v>
      </c>
      <c r="L231">
        <f t="shared" si="7"/>
        <v>27</v>
      </c>
      <c r="T231" s="120"/>
    </row>
    <row r="232" spans="2:20" customFormat="1" x14ac:dyDescent="0.2">
      <c r="B232" s="165">
        <v>660117401</v>
      </c>
      <c r="C232" s="166" t="s">
        <v>491</v>
      </c>
      <c r="D232" s="167">
        <v>75</v>
      </c>
      <c r="E232" s="167">
        <v>97</v>
      </c>
      <c r="F232" s="167">
        <v>109</v>
      </c>
      <c r="G232" s="167">
        <v>24</v>
      </c>
      <c r="H232">
        <f t="shared" si="6"/>
        <v>281</v>
      </c>
      <c r="J232" s="167">
        <v>20</v>
      </c>
      <c r="K232" s="167">
        <v>16</v>
      </c>
      <c r="L232">
        <f t="shared" si="7"/>
        <v>36</v>
      </c>
      <c r="S232" s="120"/>
    </row>
    <row r="233" spans="2:20" customFormat="1" ht="27.75" x14ac:dyDescent="0.2">
      <c r="B233" s="165">
        <v>660117402</v>
      </c>
      <c r="C233" s="166" t="s">
        <v>492</v>
      </c>
      <c r="D233" s="167">
        <v>65</v>
      </c>
      <c r="E233" s="167">
        <v>55</v>
      </c>
      <c r="F233" s="167">
        <v>75</v>
      </c>
      <c r="G233" s="167">
        <v>20</v>
      </c>
      <c r="H233">
        <f t="shared" si="6"/>
        <v>195</v>
      </c>
      <c r="J233" s="167">
        <v>30</v>
      </c>
      <c r="K233" s="167">
        <v>18</v>
      </c>
      <c r="L233">
        <f t="shared" si="7"/>
        <v>48</v>
      </c>
      <c r="S233" s="120"/>
    </row>
    <row r="234" spans="2:20" customFormat="1" x14ac:dyDescent="0.2">
      <c r="B234" s="165">
        <v>660117403</v>
      </c>
      <c r="C234" s="166" t="s">
        <v>493</v>
      </c>
      <c r="D234" s="167">
        <v>68</v>
      </c>
      <c r="E234" s="167">
        <v>64</v>
      </c>
      <c r="F234" s="167">
        <v>61</v>
      </c>
      <c r="G234" s="167">
        <v>22</v>
      </c>
      <c r="H234">
        <f t="shared" si="6"/>
        <v>193</v>
      </c>
      <c r="J234" s="167">
        <v>40</v>
      </c>
      <c r="K234" s="167">
        <v>20</v>
      </c>
      <c r="L234">
        <f t="shared" si="7"/>
        <v>60</v>
      </c>
      <c r="S234" s="120"/>
    </row>
    <row r="235" spans="2:20" customFormat="1" x14ac:dyDescent="0.2">
      <c r="B235" s="165">
        <v>660117404</v>
      </c>
      <c r="C235" s="166" t="s">
        <v>494</v>
      </c>
      <c r="D235" s="167">
        <v>60</v>
      </c>
      <c r="E235" s="167">
        <v>43</v>
      </c>
      <c r="F235" s="167">
        <v>49</v>
      </c>
      <c r="G235" s="167">
        <v>19</v>
      </c>
      <c r="H235">
        <f t="shared" si="6"/>
        <v>152</v>
      </c>
      <c r="J235" s="167">
        <v>14</v>
      </c>
      <c r="K235" s="167">
        <v>10</v>
      </c>
      <c r="L235">
        <f t="shared" si="7"/>
        <v>24</v>
      </c>
      <c r="S235" s="120"/>
    </row>
    <row r="236" spans="2:20" customFormat="1" ht="27.75" x14ac:dyDescent="0.2">
      <c r="B236" s="165">
        <v>660117405</v>
      </c>
      <c r="C236" s="166" t="s">
        <v>495</v>
      </c>
      <c r="D236" s="167">
        <v>60</v>
      </c>
      <c r="E236" s="167">
        <v>50</v>
      </c>
      <c r="F236" s="167">
        <v>45</v>
      </c>
      <c r="G236" s="167">
        <v>20</v>
      </c>
      <c r="H236">
        <f t="shared" si="6"/>
        <v>155</v>
      </c>
      <c r="J236" s="167">
        <v>15</v>
      </c>
      <c r="K236" s="167">
        <v>10</v>
      </c>
      <c r="L236">
        <f t="shared" si="7"/>
        <v>25</v>
      </c>
      <c r="S236" s="120"/>
    </row>
    <row r="237" spans="2:20" customFormat="1" x14ac:dyDescent="0.2">
      <c r="B237" s="165">
        <v>660117408</v>
      </c>
      <c r="C237" s="166" t="s">
        <v>496</v>
      </c>
      <c r="D237" s="167">
        <v>58</v>
      </c>
      <c r="E237" s="167">
        <v>63</v>
      </c>
      <c r="F237" s="167">
        <v>42</v>
      </c>
      <c r="G237" s="167">
        <v>21</v>
      </c>
      <c r="H237">
        <f t="shared" si="6"/>
        <v>163</v>
      </c>
      <c r="J237" s="167">
        <v>25</v>
      </c>
      <c r="K237" s="167">
        <v>14</v>
      </c>
      <c r="L237">
        <f t="shared" si="7"/>
        <v>39</v>
      </c>
      <c r="M237" s="121"/>
      <c r="S237" s="120"/>
    </row>
    <row r="238" spans="2:20" customFormat="1" ht="27.75" x14ac:dyDescent="0.2">
      <c r="B238" s="165">
        <v>660117410</v>
      </c>
      <c r="C238" s="166" t="s">
        <v>497</v>
      </c>
      <c r="D238" s="167">
        <v>43</v>
      </c>
      <c r="E238" s="167">
        <v>41</v>
      </c>
      <c r="F238" s="167">
        <v>56</v>
      </c>
      <c r="G238" s="167">
        <v>23</v>
      </c>
      <c r="H238">
        <f t="shared" si="6"/>
        <v>140</v>
      </c>
      <c r="J238" s="167">
        <v>21</v>
      </c>
      <c r="K238" s="167">
        <v>14</v>
      </c>
      <c r="L238">
        <f t="shared" si="7"/>
        <v>35</v>
      </c>
      <c r="S238" s="120"/>
    </row>
    <row r="239" spans="2:20" customFormat="1" x14ac:dyDescent="0.2">
      <c r="B239" s="38">
        <v>660136300</v>
      </c>
      <c r="C239" s="25" t="s">
        <v>1870</v>
      </c>
      <c r="D239">
        <v>390</v>
      </c>
      <c r="E239">
        <v>139</v>
      </c>
      <c r="F239">
        <v>107</v>
      </c>
      <c r="G239">
        <v>65</v>
      </c>
      <c r="H239">
        <f t="shared" si="6"/>
        <v>636</v>
      </c>
      <c r="J239">
        <v>43</v>
      </c>
      <c r="K239">
        <v>6</v>
      </c>
      <c r="L239">
        <f t="shared" si="7"/>
        <v>49</v>
      </c>
      <c r="S239" s="120"/>
    </row>
    <row r="240" spans="2:20" customFormat="1" x14ac:dyDescent="0.2">
      <c r="B240" s="38">
        <v>660150700</v>
      </c>
      <c r="C240" s="25" t="s">
        <v>457</v>
      </c>
      <c r="D240">
        <v>43</v>
      </c>
      <c r="E240">
        <v>30</v>
      </c>
      <c r="F240">
        <v>47</v>
      </c>
      <c r="G240">
        <v>0</v>
      </c>
      <c r="H240">
        <f t="shared" si="6"/>
        <v>120</v>
      </c>
      <c r="J240">
        <v>19</v>
      </c>
      <c r="K240">
        <v>2</v>
      </c>
      <c r="L240">
        <f t="shared" si="7"/>
        <v>21</v>
      </c>
      <c r="S240" s="120"/>
    </row>
    <row r="241" spans="2:19" customFormat="1" x14ac:dyDescent="0.2">
      <c r="B241" s="38">
        <v>820017501</v>
      </c>
      <c r="C241" s="25" t="s">
        <v>1102</v>
      </c>
      <c r="D241">
        <v>0</v>
      </c>
      <c r="E241">
        <v>0</v>
      </c>
      <c r="F241">
        <v>40</v>
      </c>
      <c r="G241">
        <v>0</v>
      </c>
      <c r="H241">
        <f t="shared" si="6"/>
        <v>40</v>
      </c>
      <c r="J241">
        <v>7</v>
      </c>
      <c r="K241">
        <v>2</v>
      </c>
      <c r="L241">
        <f t="shared" si="7"/>
        <v>9</v>
      </c>
      <c r="S241" s="120"/>
    </row>
    <row r="242" spans="2:19" customFormat="1" ht="27.75" x14ac:dyDescent="0.2">
      <c r="B242" s="38">
        <v>820033500</v>
      </c>
      <c r="C242" s="25" t="s">
        <v>498</v>
      </c>
      <c r="D242">
        <v>60</v>
      </c>
      <c r="E242">
        <v>53</v>
      </c>
      <c r="F242">
        <v>33</v>
      </c>
      <c r="G242">
        <v>18</v>
      </c>
      <c r="H242">
        <f t="shared" si="6"/>
        <v>146</v>
      </c>
      <c r="J242">
        <v>21</v>
      </c>
      <c r="K242">
        <v>2</v>
      </c>
      <c r="L242">
        <f t="shared" si="7"/>
        <v>23</v>
      </c>
      <c r="S242" s="120"/>
    </row>
    <row r="243" spans="2:19" customFormat="1" x14ac:dyDescent="0.2">
      <c r="B243" s="165">
        <v>820061900</v>
      </c>
      <c r="C243" s="166" t="s">
        <v>499</v>
      </c>
      <c r="D243" s="167">
        <v>55</v>
      </c>
      <c r="E243" s="167">
        <v>43</v>
      </c>
      <c r="F243" s="167">
        <v>38</v>
      </c>
      <c r="G243" s="167">
        <v>23</v>
      </c>
      <c r="H243">
        <f t="shared" si="6"/>
        <v>136</v>
      </c>
      <c r="J243" s="167">
        <v>14</v>
      </c>
      <c r="K243" s="167">
        <v>4</v>
      </c>
      <c r="L243">
        <f t="shared" si="7"/>
        <v>18</v>
      </c>
      <c r="S243" s="120"/>
    </row>
    <row r="244" spans="2:19" customFormat="1" x14ac:dyDescent="0.2">
      <c r="B244" s="165">
        <v>820061901</v>
      </c>
      <c r="C244" s="166" t="s">
        <v>500</v>
      </c>
      <c r="D244" s="167">
        <v>93</v>
      </c>
      <c r="E244" s="167">
        <v>78</v>
      </c>
      <c r="F244" s="167">
        <v>63</v>
      </c>
      <c r="G244" s="167">
        <v>18</v>
      </c>
      <c r="H244">
        <f t="shared" si="6"/>
        <v>234</v>
      </c>
      <c r="J244" s="167">
        <v>19</v>
      </c>
      <c r="K244" s="167">
        <v>4</v>
      </c>
      <c r="L244">
        <f t="shared" si="7"/>
        <v>23</v>
      </c>
      <c r="S244" s="120"/>
    </row>
    <row r="245" spans="2:19" customFormat="1" ht="27.75" x14ac:dyDescent="0.2">
      <c r="B245" s="165">
        <v>820104900</v>
      </c>
      <c r="C245" s="166" t="s">
        <v>357</v>
      </c>
      <c r="D245" s="167">
        <v>63</v>
      </c>
      <c r="E245" s="167">
        <v>19</v>
      </c>
      <c r="F245" s="167">
        <v>27</v>
      </c>
      <c r="G245" s="167">
        <v>29</v>
      </c>
      <c r="H245">
        <f t="shared" si="6"/>
        <v>109</v>
      </c>
      <c r="J245" s="167">
        <v>10</v>
      </c>
      <c r="K245" s="167">
        <v>5</v>
      </c>
      <c r="L245">
        <f t="shared" si="7"/>
        <v>15</v>
      </c>
      <c r="S245" s="120"/>
    </row>
    <row r="246" spans="2:19" customFormat="1" x14ac:dyDescent="0.2">
      <c r="B246" s="165">
        <v>820188400</v>
      </c>
      <c r="C246" s="166" t="s">
        <v>1694</v>
      </c>
      <c r="D246" s="167">
        <v>158</v>
      </c>
      <c r="E246" s="167">
        <v>126</v>
      </c>
      <c r="F246" s="167">
        <v>167</v>
      </c>
      <c r="G246" s="167">
        <v>84</v>
      </c>
      <c r="H246">
        <f t="shared" si="6"/>
        <v>451</v>
      </c>
      <c r="J246" s="167">
        <v>21</v>
      </c>
      <c r="K246" s="167">
        <v>17</v>
      </c>
      <c r="L246">
        <f t="shared" si="7"/>
        <v>38</v>
      </c>
      <c r="S246" s="120"/>
    </row>
    <row r="247" spans="2:19" customFormat="1" ht="27.75" x14ac:dyDescent="0.2">
      <c r="B247" s="165">
        <v>820188401</v>
      </c>
      <c r="C247" s="166" t="s">
        <v>692</v>
      </c>
      <c r="D247" s="167">
        <v>52</v>
      </c>
      <c r="E247" s="167">
        <v>32</v>
      </c>
      <c r="F247" s="167">
        <v>29</v>
      </c>
      <c r="G247" s="167">
        <v>18</v>
      </c>
      <c r="H247">
        <f t="shared" si="6"/>
        <v>113</v>
      </c>
      <c r="J247" s="167">
        <v>17</v>
      </c>
      <c r="K247" s="167">
        <v>4</v>
      </c>
      <c r="L247">
        <f t="shared" si="7"/>
        <v>21</v>
      </c>
      <c r="S247" s="120"/>
    </row>
    <row r="248" spans="2:19" customFormat="1" ht="27.75" x14ac:dyDescent="0.2">
      <c r="B248" s="165">
        <v>820188402</v>
      </c>
      <c r="C248" s="166" t="s">
        <v>583</v>
      </c>
      <c r="D248" s="167">
        <v>58</v>
      </c>
      <c r="E248" s="167">
        <v>21</v>
      </c>
      <c r="F248" s="167">
        <v>50</v>
      </c>
      <c r="G248" s="167">
        <v>28</v>
      </c>
      <c r="H248">
        <f t="shared" si="6"/>
        <v>129</v>
      </c>
      <c r="J248" s="167">
        <v>14</v>
      </c>
      <c r="K248" s="167">
        <v>4</v>
      </c>
      <c r="L248">
        <f t="shared" si="7"/>
        <v>18</v>
      </c>
      <c r="S248" s="120"/>
    </row>
    <row r="249" spans="2:19" customFormat="1" ht="27.75" x14ac:dyDescent="0.2">
      <c r="B249" s="38">
        <v>820208400</v>
      </c>
      <c r="C249" s="25" t="s">
        <v>501</v>
      </c>
      <c r="D249">
        <v>107</v>
      </c>
      <c r="E249">
        <v>42</v>
      </c>
      <c r="F249">
        <v>35</v>
      </c>
      <c r="G249">
        <v>25</v>
      </c>
      <c r="H249">
        <f t="shared" si="6"/>
        <v>184</v>
      </c>
      <c r="J249">
        <v>35</v>
      </c>
      <c r="K249">
        <v>4</v>
      </c>
      <c r="L249">
        <f t="shared" si="7"/>
        <v>39</v>
      </c>
      <c r="S249" s="120"/>
    </row>
    <row r="250" spans="2:19" customFormat="1" x14ac:dyDescent="0.2">
      <c r="B250" s="38">
        <v>820240200</v>
      </c>
      <c r="C250" s="25" t="s">
        <v>693</v>
      </c>
      <c r="D250">
        <v>108</v>
      </c>
      <c r="E250">
        <v>41</v>
      </c>
      <c r="F250">
        <v>59</v>
      </c>
      <c r="G250">
        <v>40</v>
      </c>
      <c r="H250">
        <f t="shared" si="6"/>
        <v>208</v>
      </c>
      <c r="J250">
        <v>41</v>
      </c>
      <c r="K250">
        <v>9</v>
      </c>
      <c r="L250">
        <f t="shared" si="7"/>
        <v>50</v>
      </c>
      <c r="S250" s="120"/>
    </row>
    <row r="251" spans="2:19" customFormat="1" ht="27.75" x14ac:dyDescent="0.2">
      <c r="B251" s="165">
        <v>820250700</v>
      </c>
      <c r="C251" s="166" t="s">
        <v>694</v>
      </c>
      <c r="D251" s="167">
        <v>86</v>
      </c>
      <c r="E251" s="167">
        <v>65</v>
      </c>
      <c r="F251" s="167">
        <v>34</v>
      </c>
      <c r="G251" s="167">
        <v>23</v>
      </c>
      <c r="H251">
        <f t="shared" si="6"/>
        <v>185</v>
      </c>
      <c r="J251" s="167">
        <v>19</v>
      </c>
      <c r="K251" s="167">
        <v>5</v>
      </c>
      <c r="L251">
        <f t="shared" si="7"/>
        <v>24</v>
      </c>
      <c r="S251" s="120"/>
    </row>
    <row r="252" spans="2:19" customFormat="1" x14ac:dyDescent="0.2">
      <c r="B252" s="38">
        <v>820252400</v>
      </c>
      <c r="C252" s="25" t="s">
        <v>365</v>
      </c>
      <c r="D252">
        <v>162</v>
      </c>
      <c r="E252">
        <v>129</v>
      </c>
      <c r="F252">
        <v>87</v>
      </c>
      <c r="G252">
        <v>32</v>
      </c>
      <c r="H252">
        <f t="shared" si="6"/>
        <v>378</v>
      </c>
      <c r="J252">
        <v>29</v>
      </c>
      <c r="K252">
        <v>5</v>
      </c>
      <c r="L252">
        <f t="shared" si="7"/>
        <v>34</v>
      </c>
      <c r="S252" s="120"/>
    </row>
    <row r="253" spans="2:19" customFormat="1" x14ac:dyDescent="0.2">
      <c r="B253" s="38">
        <v>820375600</v>
      </c>
      <c r="C253" s="25" t="s">
        <v>503</v>
      </c>
      <c r="D253">
        <v>73</v>
      </c>
      <c r="E253">
        <v>50</v>
      </c>
      <c r="F253">
        <v>38</v>
      </c>
      <c r="G253">
        <v>25</v>
      </c>
      <c r="H253">
        <f t="shared" si="6"/>
        <v>161</v>
      </c>
      <c r="J253">
        <v>14</v>
      </c>
      <c r="K253">
        <v>3</v>
      </c>
      <c r="L253">
        <f t="shared" si="7"/>
        <v>17</v>
      </c>
      <c r="S253" s="120"/>
    </row>
    <row r="254" spans="2:19" customFormat="1" ht="27.75" x14ac:dyDescent="0.2">
      <c r="B254" s="165">
        <v>820381400</v>
      </c>
      <c r="C254" s="166" t="s">
        <v>586</v>
      </c>
      <c r="D254" s="167">
        <v>42</v>
      </c>
      <c r="E254" s="167">
        <v>30</v>
      </c>
      <c r="F254" s="167">
        <v>35</v>
      </c>
      <c r="G254" s="167">
        <v>36</v>
      </c>
      <c r="H254">
        <f t="shared" si="6"/>
        <v>107</v>
      </c>
      <c r="J254" s="167">
        <v>16</v>
      </c>
      <c r="K254" s="167">
        <v>3</v>
      </c>
      <c r="L254">
        <f t="shared" si="7"/>
        <v>19</v>
      </c>
      <c r="S254" s="120"/>
    </row>
    <row r="255" spans="2:19" customFormat="1" x14ac:dyDescent="0.2">
      <c r="B255" s="165">
        <v>820382000</v>
      </c>
      <c r="C255" s="166" t="s">
        <v>368</v>
      </c>
      <c r="D255" s="167">
        <v>61</v>
      </c>
      <c r="E255" s="167">
        <v>107</v>
      </c>
      <c r="F255" s="167">
        <v>100</v>
      </c>
      <c r="G255" s="167">
        <v>55</v>
      </c>
      <c r="H255">
        <f t="shared" si="6"/>
        <v>268</v>
      </c>
      <c r="J255" s="167">
        <v>25</v>
      </c>
      <c r="K255" s="167">
        <v>12</v>
      </c>
      <c r="L255">
        <f t="shared" si="7"/>
        <v>37</v>
      </c>
      <c r="S255" s="120"/>
    </row>
    <row r="256" spans="2:19" customFormat="1" x14ac:dyDescent="0.2">
      <c r="B256" s="165">
        <v>820412100</v>
      </c>
      <c r="C256" s="166" t="s">
        <v>369</v>
      </c>
      <c r="D256" s="167">
        <v>350</v>
      </c>
      <c r="E256" s="167">
        <v>156</v>
      </c>
      <c r="F256" s="167">
        <v>165</v>
      </c>
      <c r="G256" s="167">
        <v>26</v>
      </c>
      <c r="H256">
        <f t="shared" si="6"/>
        <v>671</v>
      </c>
      <c r="J256" s="167">
        <v>30</v>
      </c>
      <c r="K256" s="167">
        <v>8</v>
      </c>
      <c r="L256">
        <f t="shared" si="7"/>
        <v>38</v>
      </c>
      <c r="S256" s="120"/>
    </row>
    <row r="257" spans="2:19" customFormat="1" ht="27.75" x14ac:dyDescent="0.2">
      <c r="B257" s="165">
        <v>820413900</v>
      </c>
      <c r="C257" s="166" t="s">
        <v>695</v>
      </c>
      <c r="D257" s="167">
        <v>78</v>
      </c>
      <c r="E257" s="167">
        <v>54</v>
      </c>
      <c r="F257" s="167">
        <v>37</v>
      </c>
      <c r="G257" s="167">
        <v>26</v>
      </c>
      <c r="H257">
        <f t="shared" si="6"/>
        <v>169</v>
      </c>
      <c r="J257" s="167">
        <v>26</v>
      </c>
      <c r="K257" s="167">
        <v>7</v>
      </c>
      <c r="L257">
        <f t="shared" si="7"/>
        <v>33</v>
      </c>
      <c r="S257" s="120"/>
    </row>
    <row r="258" spans="2:19" customFormat="1" x14ac:dyDescent="0.2">
      <c r="B258" s="38">
        <v>820442800</v>
      </c>
      <c r="C258" s="25" t="s">
        <v>696</v>
      </c>
      <c r="D258">
        <v>174</v>
      </c>
      <c r="E258">
        <v>105</v>
      </c>
      <c r="F258">
        <v>72</v>
      </c>
      <c r="G258">
        <v>48</v>
      </c>
      <c r="H258">
        <f t="shared" si="6"/>
        <v>351</v>
      </c>
      <c r="J258">
        <v>26</v>
      </c>
      <c r="K258">
        <v>17</v>
      </c>
      <c r="L258">
        <f t="shared" si="7"/>
        <v>43</v>
      </c>
      <c r="S258" s="120"/>
    </row>
    <row r="259" spans="2:19" customFormat="1" x14ac:dyDescent="0.2">
      <c r="B259" s="38">
        <v>820443000</v>
      </c>
      <c r="C259" s="25" t="s">
        <v>591</v>
      </c>
      <c r="D259">
        <v>82</v>
      </c>
      <c r="E259">
        <v>86</v>
      </c>
      <c r="F259">
        <v>71</v>
      </c>
      <c r="G259">
        <v>55</v>
      </c>
      <c r="H259">
        <f t="shared" si="6"/>
        <v>239</v>
      </c>
      <c r="J259">
        <v>23</v>
      </c>
      <c r="K259">
        <v>10</v>
      </c>
      <c r="L259">
        <f t="shared" si="7"/>
        <v>33</v>
      </c>
      <c r="S259" s="120"/>
    </row>
    <row r="260" spans="2:19" customFormat="1" x14ac:dyDescent="0.2">
      <c r="B260" s="38">
        <v>820443100</v>
      </c>
      <c r="C260" s="25" t="s">
        <v>1174</v>
      </c>
      <c r="D260">
        <v>78</v>
      </c>
      <c r="E260">
        <v>58</v>
      </c>
      <c r="F260">
        <v>97</v>
      </c>
      <c r="G260">
        <v>58</v>
      </c>
      <c r="H260">
        <f t="shared" ref="H260:H293" si="8">SUM(D260:F260)</f>
        <v>233</v>
      </c>
      <c r="J260">
        <v>47</v>
      </c>
      <c r="K260">
        <v>34</v>
      </c>
      <c r="L260">
        <f t="shared" ref="L260:L293" si="9">SUM(J260:K260)</f>
        <v>81</v>
      </c>
      <c r="S260" s="120"/>
    </row>
    <row r="261" spans="2:19" customFormat="1" x14ac:dyDescent="0.2">
      <c r="B261" s="38">
        <v>820443200</v>
      </c>
      <c r="C261" s="25" t="s">
        <v>697</v>
      </c>
      <c r="D261">
        <v>0</v>
      </c>
      <c r="E261">
        <v>27</v>
      </c>
      <c r="F261">
        <v>0</v>
      </c>
      <c r="G261">
        <v>5</v>
      </c>
      <c r="H261">
        <f t="shared" si="8"/>
        <v>27</v>
      </c>
      <c r="J261">
        <v>5</v>
      </c>
      <c r="K261">
        <v>5</v>
      </c>
      <c r="L261">
        <f t="shared" si="9"/>
        <v>10</v>
      </c>
      <c r="S261" s="120"/>
    </row>
    <row r="262" spans="2:19" customFormat="1" x14ac:dyDescent="0.2">
      <c r="B262" s="38">
        <v>820455600</v>
      </c>
      <c r="C262" s="25" t="s">
        <v>374</v>
      </c>
      <c r="D262">
        <v>40</v>
      </c>
      <c r="E262">
        <v>28</v>
      </c>
      <c r="F262">
        <v>29</v>
      </c>
      <c r="G262">
        <v>19</v>
      </c>
      <c r="H262">
        <f t="shared" si="8"/>
        <v>97</v>
      </c>
      <c r="J262">
        <v>24</v>
      </c>
      <c r="K262">
        <v>12</v>
      </c>
      <c r="L262">
        <f t="shared" si="9"/>
        <v>36</v>
      </c>
      <c r="S262" s="120"/>
    </row>
    <row r="263" spans="2:19" customFormat="1" x14ac:dyDescent="0.2">
      <c r="B263" s="38">
        <v>820460400</v>
      </c>
      <c r="C263" s="25" t="s">
        <v>698</v>
      </c>
      <c r="D263">
        <v>40</v>
      </c>
      <c r="E263">
        <v>25</v>
      </c>
      <c r="F263">
        <v>0</v>
      </c>
      <c r="G263">
        <v>9</v>
      </c>
      <c r="H263">
        <f t="shared" si="8"/>
        <v>65</v>
      </c>
      <c r="J263">
        <v>15</v>
      </c>
      <c r="K263">
        <v>8</v>
      </c>
      <c r="L263">
        <f t="shared" si="9"/>
        <v>23</v>
      </c>
      <c r="S263" s="120"/>
    </row>
    <row r="264" spans="2:19" customFormat="1" x14ac:dyDescent="0.2">
      <c r="B264" s="38">
        <v>820462100</v>
      </c>
      <c r="C264" s="25" t="s">
        <v>699</v>
      </c>
      <c r="D264">
        <v>60</v>
      </c>
      <c r="E264">
        <v>55</v>
      </c>
      <c r="F264">
        <v>48</v>
      </c>
      <c r="G264">
        <v>6</v>
      </c>
      <c r="H264">
        <f t="shared" si="8"/>
        <v>163</v>
      </c>
      <c r="J264">
        <v>22</v>
      </c>
      <c r="K264">
        <v>15</v>
      </c>
      <c r="L264">
        <f t="shared" si="9"/>
        <v>37</v>
      </c>
      <c r="S264" s="120"/>
    </row>
    <row r="265" spans="2:19" customFormat="1" x14ac:dyDescent="0.2">
      <c r="B265" s="38">
        <v>820468100</v>
      </c>
      <c r="C265" s="25" t="s">
        <v>502</v>
      </c>
      <c r="D265">
        <v>112</v>
      </c>
      <c r="E265">
        <v>58</v>
      </c>
      <c r="F265">
        <v>58</v>
      </c>
      <c r="G265">
        <v>17</v>
      </c>
      <c r="H265">
        <f t="shared" si="8"/>
        <v>228</v>
      </c>
      <c r="J265">
        <v>17</v>
      </c>
      <c r="K265">
        <v>3</v>
      </c>
      <c r="L265">
        <f t="shared" si="9"/>
        <v>20</v>
      </c>
      <c r="S265" s="120"/>
    </row>
    <row r="266" spans="2:19" customFormat="1" x14ac:dyDescent="0.2">
      <c r="B266" s="38">
        <v>820468200</v>
      </c>
      <c r="C266" s="25" t="s">
        <v>379</v>
      </c>
      <c r="D266">
        <v>200</v>
      </c>
      <c r="E266">
        <v>160</v>
      </c>
      <c r="F266">
        <v>120</v>
      </c>
      <c r="G266">
        <v>40</v>
      </c>
      <c r="H266">
        <f t="shared" si="8"/>
        <v>480</v>
      </c>
      <c r="J266">
        <v>60</v>
      </c>
      <c r="K266">
        <v>10</v>
      </c>
      <c r="L266">
        <f t="shared" si="9"/>
        <v>70</v>
      </c>
      <c r="S266" s="120"/>
    </row>
    <row r="267" spans="2:19" customFormat="1" x14ac:dyDescent="0.2">
      <c r="B267" s="38">
        <v>820471100</v>
      </c>
      <c r="C267" s="25" t="s">
        <v>700</v>
      </c>
      <c r="D267">
        <v>62</v>
      </c>
      <c r="E267">
        <v>34</v>
      </c>
      <c r="F267">
        <v>40</v>
      </c>
      <c r="G267">
        <v>10</v>
      </c>
      <c r="H267">
        <f t="shared" si="8"/>
        <v>136</v>
      </c>
      <c r="J267">
        <v>15</v>
      </c>
      <c r="K267">
        <v>17</v>
      </c>
      <c r="L267">
        <f t="shared" si="9"/>
        <v>32</v>
      </c>
      <c r="S267" s="120"/>
    </row>
    <row r="268" spans="2:19" customFormat="1" x14ac:dyDescent="0.2">
      <c r="B268" s="38">
        <v>860020601</v>
      </c>
      <c r="C268" s="25" t="s">
        <v>701</v>
      </c>
      <c r="D268">
        <v>37</v>
      </c>
      <c r="E268">
        <v>42</v>
      </c>
      <c r="F268">
        <v>23</v>
      </c>
      <c r="G268">
        <v>2</v>
      </c>
      <c r="H268">
        <f t="shared" si="8"/>
        <v>102</v>
      </c>
      <c r="J268">
        <v>12</v>
      </c>
      <c r="K268">
        <v>3</v>
      </c>
      <c r="L268">
        <f t="shared" si="9"/>
        <v>15</v>
      </c>
      <c r="S268" s="120"/>
    </row>
    <row r="269" spans="2:19" customFormat="1" x14ac:dyDescent="0.2">
      <c r="B269" s="38">
        <v>860108800</v>
      </c>
      <c r="C269" s="25" t="s">
        <v>702</v>
      </c>
      <c r="D269">
        <v>83</v>
      </c>
      <c r="E269">
        <v>52</v>
      </c>
      <c r="F269">
        <v>30</v>
      </c>
      <c r="G269">
        <v>11</v>
      </c>
      <c r="H269">
        <f t="shared" si="8"/>
        <v>165</v>
      </c>
      <c r="J269">
        <v>21</v>
      </c>
      <c r="K269">
        <v>4</v>
      </c>
      <c r="L269">
        <f t="shared" si="9"/>
        <v>25</v>
      </c>
      <c r="S269" s="120"/>
    </row>
    <row r="270" spans="2:19" customFormat="1" x14ac:dyDescent="0.2">
      <c r="B270" s="38">
        <v>860110700</v>
      </c>
      <c r="C270" s="25" t="s">
        <v>381</v>
      </c>
      <c r="D270">
        <v>49</v>
      </c>
      <c r="E270">
        <v>41</v>
      </c>
      <c r="F270">
        <v>18</v>
      </c>
      <c r="G270">
        <v>4</v>
      </c>
      <c r="H270">
        <f t="shared" si="8"/>
        <v>108</v>
      </c>
      <c r="J270">
        <v>11</v>
      </c>
      <c r="K270">
        <v>4</v>
      </c>
      <c r="L270">
        <f t="shared" si="9"/>
        <v>15</v>
      </c>
      <c r="S270" s="120"/>
    </row>
    <row r="271" spans="2:19" customFormat="1" x14ac:dyDescent="0.2">
      <c r="B271" s="38">
        <v>860111800</v>
      </c>
      <c r="C271" s="25" t="s">
        <v>703</v>
      </c>
      <c r="D271">
        <v>40</v>
      </c>
      <c r="E271">
        <v>44</v>
      </c>
      <c r="F271">
        <v>26</v>
      </c>
      <c r="G271">
        <v>18</v>
      </c>
      <c r="H271">
        <f t="shared" si="8"/>
        <v>110</v>
      </c>
      <c r="J271">
        <v>10</v>
      </c>
      <c r="K271">
        <v>1</v>
      </c>
      <c r="L271">
        <f t="shared" si="9"/>
        <v>11</v>
      </c>
      <c r="S271" s="120"/>
    </row>
    <row r="272" spans="2:19" customFormat="1" x14ac:dyDescent="0.2">
      <c r="B272" s="38">
        <v>860119000</v>
      </c>
      <c r="C272" s="25" t="s">
        <v>385</v>
      </c>
      <c r="D272">
        <v>56</v>
      </c>
      <c r="E272">
        <v>51</v>
      </c>
      <c r="F272">
        <v>42</v>
      </c>
      <c r="G272">
        <v>8</v>
      </c>
      <c r="H272">
        <f t="shared" si="8"/>
        <v>149</v>
      </c>
      <c r="J272">
        <v>18</v>
      </c>
      <c r="K272">
        <v>3</v>
      </c>
      <c r="L272">
        <f t="shared" si="9"/>
        <v>21</v>
      </c>
      <c r="S272" s="120"/>
    </row>
    <row r="273" spans="2:19" customFormat="1" x14ac:dyDescent="0.2">
      <c r="B273" s="165">
        <v>860159700</v>
      </c>
      <c r="C273" s="166" t="s">
        <v>388</v>
      </c>
      <c r="D273" s="167">
        <v>50</v>
      </c>
      <c r="E273" s="167">
        <v>40</v>
      </c>
      <c r="F273" s="167">
        <v>38</v>
      </c>
      <c r="G273" s="167">
        <v>10</v>
      </c>
      <c r="H273">
        <f t="shared" si="8"/>
        <v>128</v>
      </c>
      <c r="J273" s="167">
        <v>13</v>
      </c>
      <c r="K273" s="167">
        <v>2</v>
      </c>
      <c r="L273">
        <f t="shared" si="9"/>
        <v>15</v>
      </c>
      <c r="S273" s="120"/>
    </row>
    <row r="274" spans="2:19" customFormat="1" x14ac:dyDescent="0.2">
      <c r="B274" s="38" t="s">
        <v>2405</v>
      </c>
      <c r="C274" s="25" t="s">
        <v>704</v>
      </c>
      <c r="D274">
        <v>39</v>
      </c>
      <c r="E274">
        <v>29</v>
      </c>
      <c r="F274">
        <v>28</v>
      </c>
      <c r="G274">
        <v>17</v>
      </c>
      <c r="H274">
        <f t="shared" si="8"/>
        <v>96</v>
      </c>
      <c r="J274" s="169">
        <v>12</v>
      </c>
      <c r="K274" s="169">
        <v>3</v>
      </c>
      <c r="L274">
        <f t="shared" si="9"/>
        <v>15</v>
      </c>
      <c r="S274" s="120"/>
    </row>
    <row r="275" spans="2:19" customFormat="1" x14ac:dyDescent="0.2">
      <c r="B275" s="165">
        <v>860187600</v>
      </c>
      <c r="C275" s="166" t="s">
        <v>706</v>
      </c>
      <c r="D275" s="167">
        <v>32</v>
      </c>
      <c r="E275" s="167">
        <v>25</v>
      </c>
      <c r="F275" s="167">
        <v>18</v>
      </c>
      <c r="G275" s="167">
        <v>13</v>
      </c>
      <c r="H275">
        <f t="shared" si="8"/>
        <v>75</v>
      </c>
      <c r="J275" s="167">
        <v>10</v>
      </c>
      <c r="K275" s="167">
        <v>4</v>
      </c>
      <c r="L275">
        <f t="shared" si="9"/>
        <v>14</v>
      </c>
      <c r="S275" s="120"/>
    </row>
    <row r="276" spans="2:19" customFormat="1" x14ac:dyDescent="0.2">
      <c r="B276" s="165">
        <v>860220000</v>
      </c>
      <c r="C276" s="166" t="s">
        <v>707</v>
      </c>
      <c r="D276" s="167">
        <v>54</v>
      </c>
      <c r="E276" s="167">
        <v>35</v>
      </c>
      <c r="F276" s="167">
        <v>0</v>
      </c>
      <c r="G276" s="167">
        <v>7</v>
      </c>
      <c r="H276">
        <f t="shared" si="8"/>
        <v>89</v>
      </c>
      <c r="J276" s="167">
        <v>11</v>
      </c>
      <c r="K276" s="167">
        <v>6</v>
      </c>
      <c r="L276">
        <f t="shared" si="9"/>
        <v>17</v>
      </c>
      <c r="S276" s="120"/>
    </row>
    <row r="277" spans="2:19" customFormat="1" x14ac:dyDescent="0.2">
      <c r="B277" s="165">
        <v>900104000</v>
      </c>
      <c r="C277" s="166" t="s">
        <v>390</v>
      </c>
      <c r="D277" s="167">
        <v>550</v>
      </c>
      <c r="E277" s="167">
        <v>430</v>
      </c>
      <c r="F277" s="167">
        <v>350</v>
      </c>
      <c r="G277" s="167">
        <v>148</v>
      </c>
      <c r="H277">
        <f t="shared" si="8"/>
        <v>1330</v>
      </c>
      <c r="J277" s="167">
        <v>34</v>
      </c>
      <c r="K277" s="167">
        <v>18</v>
      </c>
      <c r="L277">
        <f t="shared" si="9"/>
        <v>52</v>
      </c>
      <c r="S277" s="120"/>
    </row>
    <row r="278" spans="2:19" customFormat="1" x14ac:dyDescent="0.2">
      <c r="B278" s="165">
        <v>900104001</v>
      </c>
      <c r="C278" s="166" t="s">
        <v>391</v>
      </c>
      <c r="D278" s="167">
        <v>169</v>
      </c>
      <c r="E278" s="167">
        <v>170</v>
      </c>
      <c r="F278" s="167">
        <v>132</v>
      </c>
      <c r="G278" s="167">
        <v>27</v>
      </c>
      <c r="H278">
        <f t="shared" si="8"/>
        <v>471</v>
      </c>
      <c r="J278" s="167">
        <v>12</v>
      </c>
      <c r="K278" s="167">
        <v>3</v>
      </c>
      <c r="L278">
        <f t="shared" si="9"/>
        <v>15</v>
      </c>
      <c r="S278" s="120"/>
    </row>
    <row r="279" spans="2:19" customFormat="1" x14ac:dyDescent="0.2">
      <c r="B279" s="165">
        <v>900104002</v>
      </c>
      <c r="C279" s="166" t="s">
        <v>393</v>
      </c>
      <c r="D279" s="167">
        <v>85</v>
      </c>
      <c r="E279" s="167">
        <v>84</v>
      </c>
      <c r="F279" s="167">
        <v>57</v>
      </c>
      <c r="G279" s="167">
        <v>9</v>
      </c>
      <c r="H279">
        <f t="shared" si="8"/>
        <v>226</v>
      </c>
      <c r="J279" s="167">
        <v>10</v>
      </c>
      <c r="K279" s="167">
        <v>3</v>
      </c>
      <c r="L279">
        <f t="shared" si="9"/>
        <v>13</v>
      </c>
      <c r="S279" s="120"/>
    </row>
    <row r="280" spans="2:19" customFormat="1" x14ac:dyDescent="0.2">
      <c r="B280" s="165">
        <v>900104003</v>
      </c>
      <c r="C280" s="166" t="s">
        <v>394</v>
      </c>
      <c r="D280" s="167">
        <v>78</v>
      </c>
      <c r="E280" s="167">
        <v>65</v>
      </c>
      <c r="F280" s="167">
        <v>92</v>
      </c>
      <c r="G280" s="167">
        <v>23</v>
      </c>
      <c r="H280">
        <f t="shared" si="8"/>
        <v>235</v>
      </c>
      <c r="J280" s="167">
        <v>11</v>
      </c>
      <c r="K280" s="167">
        <v>4</v>
      </c>
      <c r="L280">
        <f t="shared" si="9"/>
        <v>15</v>
      </c>
      <c r="S280" s="120"/>
    </row>
    <row r="281" spans="2:19" customFormat="1" x14ac:dyDescent="0.2">
      <c r="B281" s="165">
        <v>900104004</v>
      </c>
      <c r="C281" s="166" t="s">
        <v>395</v>
      </c>
      <c r="D281" s="167">
        <v>44</v>
      </c>
      <c r="E281" s="167">
        <v>78</v>
      </c>
      <c r="F281" s="167">
        <v>62</v>
      </c>
      <c r="G281" s="167">
        <v>29</v>
      </c>
      <c r="H281">
        <f t="shared" si="8"/>
        <v>184</v>
      </c>
      <c r="J281" s="167">
        <v>13</v>
      </c>
      <c r="K281" s="167">
        <v>3</v>
      </c>
      <c r="L281">
        <f t="shared" si="9"/>
        <v>16</v>
      </c>
      <c r="S281" s="120"/>
    </row>
    <row r="282" spans="2:19" customFormat="1" x14ac:dyDescent="0.2">
      <c r="B282" s="165">
        <v>900104005</v>
      </c>
      <c r="C282" s="166" t="s">
        <v>397</v>
      </c>
      <c r="D282" s="167">
        <v>149</v>
      </c>
      <c r="E282" s="167">
        <v>157</v>
      </c>
      <c r="F282" s="167">
        <v>95</v>
      </c>
      <c r="G282" s="167">
        <v>27</v>
      </c>
      <c r="H282">
        <f t="shared" si="8"/>
        <v>401</v>
      </c>
      <c r="J282" s="167">
        <v>16</v>
      </c>
      <c r="K282" s="167">
        <v>4</v>
      </c>
      <c r="L282">
        <f t="shared" si="9"/>
        <v>20</v>
      </c>
      <c r="S282" s="120"/>
    </row>
    <row r="283" spans="2:19" customFormat="1" x14ac:dyDescent="0.2">
      <c r="B283" s="165">
        <v>900104006</v>
      </c>
      <c r="C283" s="166" t="s">
        <v>399</v>
      </c>
      <c r="D283" s="167">
        <v>98</v>
      </c>
      <c r="E283" s="167">
        <v>94</v>
      </c>
      <c r="F283" s="167">
        <v>77</v>
      </c>
      <c r="G283" s="167">
        <v>10</v>
      </c>
      <c r="H283">
        <f t="shared" si="8"/>
        <v>269</v>
      </c>
      <c r="J283" s="167">
        <v>10</v>
      </c>
      <c r="K283" s="167">
        <v>6</v>
      </c>
      <c r="L283">
        <f t="shared" si="9"/>
        <v>16</v>
      </c>
      <c r="S283" s="120"/>
    </row>
    <row r="284" spans="2:19" customFormat="1" x14ac:dyDescent="0.2">
      <c r="B284" s="165">
        <v>900104007</v>
      </c>
      <c r="C284" s="166" t="s">
        <v>400</v>
      </c>
      <c r="D284" s="167">
        <v>72</v>
      </c>
      <c r="E284" s="167">
        <v>96</v>
      </c>
      <c r="F284" s="167">
        <v>40</v>
      </c>
      <c r="G284" s="167">
        <v>29</v>
      </c>
      <c r="H284">
        <f t="shared" si="8"/>
        <v>208</v>
      </c>
      <c r="J284" s="167">
        <v>15</v>
      </c>
      <c r="K284" s="167">
        <v>7</v>
      </c>
      <c r="L284">
        <f t="shared" si="9"/>
        <v>22</v>
      </c>
      <c r="S284" s="120"/>
    </row>
    <row r="285" spans="2:19" customFormat="1" x14ac:dyDescent="0.2">
      <c r="B285" s="165">
        <v>900104008</v>
      </c>
      <c r="C285" s="166" t="s">
        <v>401</v>
      </c>
      <c r="D285" s="167">
        <v>50</v>
      </c>
      <c r="E285" s="167">
        <v>53</v>
      </c>
      <c r="F285" s="167">
        <v>40</v>
      </c>
      <c r="G285" s="167">
        <v>16</v>
      </c>
      <c r="H285">
        <f t="shared" si="8"/>
        <v>143</v>
      </c>
      <c r="J285" s="167">
        <v>10</v>
      </c>
      <c r="K285" s="167">
        <v>4</v>
      </c>
      <c r="L285">
        <f t="shared" si="9"/>
        <v>14</v>
      </c>
      <c r="S285" s="120"/>
    </row>
    <row r="286" spans="2:19" customFormat="1" x14ac:dyDescent="0.2">
      <c r="B286" s="165">
        <v>900104009</v>
      </c>
      <c r="C286" s="166" t="s">
        <v>708</v>
      </c>
      <c r="D286" s="167">
        <v>92</v>
      </c>
      <c r="E286" s="167">
        <v>50</v>
      </c>
      <c r="F286" s="167">
        <v>30</v>
      </c>
      <c r="G286" s="167">
        <v>35</v>
      </c>
      <c r="H286">
        <f t="shared" si="8"/>
        <v>172</v>
      </c>
      <c r="J286" s="167">
        <v>12</v>
      </c>
      <c r="K286" s="167">
        <v>9</v>
      </c>
      <c r="L286">
        <f t="shared" si="9"/>
        <v>21</v>
      </c>
      <c r="S286" s="120"/>
    </row>
    <row r="287" spans="2:19" customFormat="1" x14ac:dyDescent="0.2">
      <c r="B287" s="165">
        <v>900104010</v>
      </c>
      <c r="C287" s="166" t="s">
        <v>404</v>
      </c>
      <c r="D287" s="167">
        <v>49</v>
      </c>
      <c r="E287" s="167">
        <v>45</v>
      </c>
      <c r="F287" s="167">
        <v>14</v>
      </c>
      <c r="G287" s="167">
        <v>14</v>
      </c>
      <c r="H287">
        <f t="shared" si="8"/>
        <v>108</v>
      </c>
      <c r="J287" s="167">
        <v>8</v>
      </c>
      <c r="K287" s="167">
        <v>3</v>
      </c>
      <c r="L287">
        <f t="shared" si="9"/>
        <v>11</v>
      </c>
      <c r="S287" s="120"/>
    </row>
    <row r="288" spans="2:19" customFormat="1" x14ac:dyDescent="0.2">
      <c r="B288" s="165">
        <v>900104011</v>
      </c>
      <c r="C288" s="166" t="s">
        <v>405</v>
      </c>
      <c r="D288" s="167">
        <v>125</v>
      </c>
      <c r="E288" s="167">
        <v>60</v>
      </c>
      <c r="F288" s="167">
        <v>53</v>
      </c>
      <c r="G288" s="167">
        <v>6</v>
      </c>
      <c r="H288">
        <f t="shared" si="8"/>
        <v>238</v>
      </c>
      <c r="J288" s="167">
        <v>8</v>
      </c>
      <c r="K288" s="167">
        <v>2</v>
      </c>
      <c r="L288">
        <f t="shared" si="9"/>
        <v>10</v>
      </c>
      <c r="S288" s="120"/>
    </row>
    <row r="289" spans="2:19" customFormat="1" x14ac:dyDescent="0.2">
      <c r="B289" s="165">
        <v>900104012</v>
      </c>
      <c r="C289" s="166" t="s">
        <v>407</v>
      </c>
      <c r="D289" s="167">
        <v>72</v>
      </c>
      <c r="E289" s="167">
        <v>85</v>
      </c>
      <c r="F289" s="167">
        <v>63</v>
      </c>
      <c r="G289" s="167">
        <v>11</v>
      </c>
      <c r="H289">
        <f t="shared" si="8"/>
        <v>220</v>
      </c>
      <c r="J289" s="167">
        <v>9</v>
      </c>
      <c r="K289" s="167">
        <v>4</v>
      </c>
      <c r="L289">
        <f t="shared" si="9"/>
        <v>13</v>
      </c>
      <c r="S289" s="120"/>
    </row>
    <row r="290" spans="2:19" customFormat="1" x14ac:dyDescent="0.2">
      <c r="B290" s="165">
        <v>900104013</v>
      </c>
      <c r="C290" s="166" t="s">
        <v>1097</v>
      </c>
      <c r="D290" s="167">
        <v>61</v>
      </c>
      <c r="E290" s="167">
        <v>54</v>
      </c>
      <c r="F290" s="167">
        <v>46</v>
      </c>
      <c r="G290" s="167">
        <v>0</v>
      </c>
      <c r="H290">
        <f t="shared" si="8"/>
        <v>161</v>
      </c>
      <c r="J290" s="167">
        <v>7</v>
      </c>
      <c r="K290" s="167">
        <v>6</v>
      </c>
      <c r="L290">
        <f t="shared" si="9"/>
        <v>13</v>
      </c>
      <c r="S290" s="120"/>
    </row>
    <row r="291" spans="2:19" customFormat="1" x14ac:dyDescent="0.2">
      <c r="B291" s="165">
        <v>900104014</v>
      </c>
      <c r="C291" s="166" t="s">
        <v>1099</v>
      </c>
      <c r="D291" s="167">
        <v>159</v>
      </c>
      <c r="E291" s="167">
        <v>127</v>
      </c>
      <c r="F291" s="167">
        <v>124</v>
      </c>
      <c r="G291" s="167">
        <v>0</v>
      </c>
      <c r="H291">
        <f t="shared" si="8"/>
        <v>410</v>
      </c>
      <c r="J291" s="167">
        <v>18</v>
      </c>
      <c r="K291" s="167">
        <v>12</v>
      </c>
      <c r="L291">
        <f t="shared" si="9"/>
        <v>30</v>
      </c>
      <c r="S291" s="120"/>
    </row>
    <row r="292" spans="2:19" customFormat="1" x14ac:dyDescent="0.2">
      <c r="B292" s="165">
        <v>940003200</v>
      </c>
      <c r="C292" s="166" t="s">
        <v>709</v>
      </c>
      <c r="D292" s="167">
        <v>244</v>
      </c>
      <c r="E292" s="167">
        <v>165</v>
      </c>
      <c r="F292" s="167">
        <v>64</v>
      </c>
      <c r="G292" s="167">
        <v>82</v>
      </c>
      <c r="H292">
        <f t="shared" si="8"/>
        <v>473</v>
      </c>
      <c r="J292" s="167">
        <v>208</v>
      </c>
      <c r="K292" s="167">
        <v>88</v>
      </c>
      <c r="L292">
        <f t="shared" si="9"/>
        <v>296</v>
      </c>
      <c r="S292" s="120"/>
    </row>
    <row r="293" spans="2:19" customFormat="1" x14ac:dyDescent="0.2">
      <c r="B293" s="38">
        <v>940006500</v>
      </c>
      <c r="C293" s="25" t="s">
        <v>1066</v>
      </c>
      <c r="D293">
        <v>273</v>
      </c>
      <c r="E293">
        <v>103</v>
      </c>
      <c r="F293">
        <v>43</v>
      </c>
      <c r="G293">
        <v>14</v>
      </c>
      <c r="H293">
        <f t="shared" si="8"/>
        <v>419</v>
      </c>
      <c r="J293">
        <v>49</v>
      </c>
      <c r="K293">
        <v>14</v>
      </c>
      <c r="L293">
        <f t="shared" si="9"/>
        <v>63</v>
      </c>
      <c r="N293" s="120"/>
      <c r="O293" s="120"/>
      <c r="P293" s="120"/>
      <c r="Q293" s="120"/>
      <c r="R293" s="120"/>
      <c r="S293" s="120"/>
    </row>
    <row r="294" spans="2:19" customFormat="1" x14ac:dyDescent="0.2">
      <c r="B294" s="38"/>
      <c r="C294" s="25"/>
      <c r="N294" s="120"/>
      <c r="O294" s="120"/>
      <c r="P294" s="120"/>
      <c r="Q294" s="120"/>
      <c r="R294" s="120"/>
      <c r="S294" s="120"/>
    </row>
    <row r="295" spans="2:19" customFormat="1" x14ac:dyDescent="0.2">
      <c r="B295" s="38"/>
      <c r="C295" s="25"/>
      <c r="N295" s="120"/>
      <c r="O295" s="120"/>
      <c r="P295" s="120"/>
      <c r="Q295" s="120"/>
      <c r="R295" s="120"/>
      <c r="S295" s="120"/>
    </row>
    <row r="296" spans="2:19" customFormat="1" x14ac:dyDescent="0.2">
      <c r="B296" s="38"/>
      <c r="C296" s="25"/>
      <c r="N296" s="120"/>
      <c r="O296" s="120"/>
      <c r="P296" s="120"/>
      <c r="Q296" s="120"/>
      <c r="R296" s="120"/>
      <c r="S296" s="120"/>
    </row>
    <row r="297" spans="2:19" customFormat="1" x14ac:dyDescent="0.2">
      <c r="B297" s="38"/>
      <c r="C297" s="25"/>
      <c r="N297" s="120"/>
      <c r="O297" s="120"/>
      <c r="P297" s="120"/>
      <c r="Q297" s="120"/>
      <c r="R297" s="120"/>
      <c r="S297" s="120"/>
    </row>
    <row r="298" spans="2:19" customFormat="1" x14ac:dyDescent="0.2">
      <c r="B298" s="38"/>
      <c r="C298" s="25"/>
      <c r="N298" s="120"/>
      <c r="O298" s="120"/>
      <c r="P298" s="120"/>
      <c r="Q298" s="120"/>
      <c r="R298" s="120"/>
      <c r="S298" s="120"/>
    </row>
    <row r="299" spans="2:19" customFormat="1" x14ac:dyDescent="0.2">
      <c r="B299" s="38"/>
      <c r="C299" s="25"/>
      <c r="N299" s="120"/>
      <c r="O299" s="120"/>
      <c r="P299" s="120"/>
      <c r="Q299" s="120"/>
      <c r="R299" s="120"/>
      <c r="S299" s="120"/>
    </row>
    <row r="300" spans="2:19" customFormat="1" x14ac:dyDescent="0.2">
      <c r="B300" s="38"/>
      <c r="C300" s="25"/>
      <c r="N300" s="120"/>
      <c r="O300" s="120"/>
      <c r="P300" s="120"/>
      <c r="Q300" s="120"/>
      <c r="R300" s="120"/>
      <c r="S300" s="120"/>
    </row>
    <row r="301" spans="2:19" customFormat="1" x14ac:dyDescent="0.2">
      <c r="B301" s="38"/>
      <c r="C301" s="25"/>
      <c r="N301" s="120"/>
      <c r="O301" s="120"/>
      <c r="P301" s="120"/>
      <c r="Q301" s="120"/>
      <c r="R301" s="120"/>
      <c r="S301" s="120"/>
    </row>
    <row r="302" spans="2:19" customFormat="1" x14ac:dyDescent="0.2">
      <c r="B302" s="38"/>
      <c r="C302" s="25"/>
      <c r="N302" s="120"/>
      <c r="O302" s="120"/>
      <c r="P302" s="120"/>
      <c r="Q302" s="120"/>
      <c r="R302" s="120"/>
      <c r="S302" s="120"/>
    </row>
    <row r="303" spans="2:19" customFormat="1" x14ac:dyDescent="0.2">
      <c r="B303" s="38"/>
      <c r="C303" s="25"/>
      <c r="N303" s="120"/>
      <c r="O303" s="120"/>
      <c r="P303" s="120"/>
      <c r="Q303" s="120"/>
      <c r="R303" s="120"/>
      <c r="S303" s="120"/>
    </row>
    <row r="304" spans="2:19" customFormat="1" x14ac:dyDescent="0.2">
      <c r="B304" s="38"/>
      <c r="C304" s="25"/>
      <c r="N304" s="120"/>
      <c r="O304" s="120"/>
      <c r="P304" s="120"/>
      <c r="Q304" s="120"/>
      <c r="R304" s="120"/>
      <c r="S304" s="120"/>
    </row>
    <row r="305" spans="2:19" customFormat="1" x14ac:dyDescent="0.2">
      <c r="B305" s="38"/>
      <c r="C305" s="25"/>
      <c r="N305" s="120"/>
      <c r="O305" s="120"/>
      <c r="P305" s="120"/>
      <c r="Q305" s="120"/>
      <c r="R305" s="120"/>
      <c r="S305" s="120"/>
    </row>
    <row r="306" spans="2:19" customFormat="1" x14ac:dyDescent="0.2">
      <c r="B306" s="38"/>
      <c r="C306" s="25"/>
      <c r="N306" s="120"/>
      <c r="O306" s="120"/>
      <c r="P306" s="120"/>
      <c r="Q306" s="120"/>
      <c r="R306" s="120"/>
      <c r="S306" s="120"/>
    </row>
    <row r="307" spans="2:19" customFormat="1" x14ac:dyDescent="0.2">
      <c r="B307" s="38"/>
      <c r="C307" s="25"/>
      <c r="N307" s="120"/>
      <c r="O307" s="120"/>
      <c r="P307" s="120"/>
      <c r="Q307" s="120"/>
      <c r="R307" s="120"/>
      <c r="S307" s="120"/>
    </row>
    <row r="308" spans="2:19" customFormat="1" x14ac:dyDescent="0.2">
      <c r="B308" s="38"/>
      <c r="C308" s="25"/>
      <c r="N308" s="120"/>
      <c r="O308" s="120"/>
      <c r="P308" s="120"/>
      <c r="Q308" s="120"/>
      <c r="R308" s="120"/>
      <c r="S308" s="120"/>
    </row>
    <row r="309" spans="2:19" customFormat="1" x14ac:dyDescent="0.2">
      <c r="B309" s="128"/>
      <c r="C309" s="25"/>
      <c r="D309" s="118"/>
      <c r="E309" s="118"/>
      <c r="F309" s="118"/>
      <c r="G309" s="118"/>
      <c r="H309" s="118"/>
      <c r="I309" s="118"/>
      <c r="J309" s="118"/>
      <c r="K309" s="118"/>
      <c r="L309" s="118"/>
      <c r="M309" s="118"/>
      <c r="N309" s="119"/>
      <c r="O309" s="119"/>
      <c r="P309" s="119"/>
      <c r="Q309" s="119"/>
      <c r="R309" s="119"/>
      <c r="S309" s="113"/>
    </row>
    <row r="310" spans="2:19" customFormat="1" x14ac:dyDescent="0.2">
      <c r="B310" s="128"/>
      <c r="C310" s="25"/>
      <c r="D310" s="118"/>
      <c r="E310" s="118"/>
      <c r="F310" s="118"/>
      <c r="G310" s="118"/>
      <c r="H310" s="118"/>
      <c r="I310" s="118"/>
      <c r="J310" s="118"/>
      <c r="K310" s="118"/>
      <c r="L310" s="118"/>
      <c r="M310" s="118"/>
      <c r="N310" s="119"/>
      <c r="O310" s="119"/>
      <c r="P310" s="119"/>
      <c r="Q310" s="119"/>
      <c r="R310" s="119"/>
      <c r="S310" s="113"/>
    </row>
    <row r="311" spans="2:19" customFormat="1" x14ac:dyDescent="0.2">
      <c r="B311" s="128"/>
      <c r="C311" s="25"/>
      <c r="D311" s="118"/>
      <c r="E311" s="118"/>
      <c r="F311" s="118"/>
      <c r="G311" s="118"/>
      <c r="H311" s="118"/>
      <c r="I311" s="118"/>
      <c r="J311" s="118"/>
      <c r="K311" s="118"/>
      <c r="L311" s="118"/>
      <c r="M311" s="118"/>
      <c r="N311" s="119"/>
      <c r="O311" s="119"/>
      <c r="P311" s="119"/>
      <c r="Q311" s="119"/>
      <c r="R311" s="119"/>
      <c r="S311" s="113"/>
    </row>
    <row r="312" spans="2:19" customFormat="1" x14ac:dyDescent="0.2">
      <c r="B312" s="128"/>
      <c r="C312" s="25"/>
      <c r="D312" s="118"/>
      <c r="E312" s="118"/>
      <c r="F312" s="118"/>
      <c r="G312" s="118"/>
      <c r="H312" s="118"/>
      <c r="I312" s="118"/>
      <c r="J312" s="118"/>
      <c r="K312" s="118"/>
      <c r="L312" s="118"/>
      <c r="M312" s="118"/>
      <c r="N312" s="119"/>
      <c r="O312" s="119"/>
      <c r="P312" s="119"/>
      <c r="Q312" s="119"/>
      <c r="R312" s="119"/>
      <c r="S312" s="113"/>
    </row>
    <row r="313" spans="2:19" customFormat="1" x14ac:dyDescent="0.2">
      <c r="B313" s="128"/>
      <c r="C313" s="25"/>
      <c r="D313" s="118"/>
      <c r="E313" s="118"/>
      <c r="F313" s="118"/>
      <c r="G313" s="118"/>
      <c r="H313" s="118"/>
      <c r="I313" s="118"/>
      <c r="J313" s="118"/>
      <c r="K313" s="118"/>
      <c r="L313" s="118"/>
      <c r="M313" s="118"/>
      <c r="N313" s="119"/>
      <c r="O313" s="119"/>
      <c r="P313" s="119"/>
      <c r="Q313" s="119"/>
      <c r="R313" s="119"/>
      <c r="S313" s="113"/>
    </row>
    <row r="314" spans="2:19" customFormat="1" x14ac:dyDescent="0.2">
      <c r="B314" s="128"/>
      <c r="C314" s="25"/>
      <c r="D314" s="118"/>
      <c r="E314" s="118"/>
      <c r="F314" s="118"/>
      <c r="G314" s="118"/>
      <c r="H314" s="118"/>
      <c r="I314" s="118"/>
      <c r="J314" s="118"/>
      <c r="K314" s="118"/>
      <c r="L314" s="118"/>
      <c r="M314" s="118"/>
      <c r="N314" s="119"/>
      <c r="O314" s="119"/>
      <c r="P314" s="119"/>
      <c r="Q314" s="119"/>
      <c r="R314" s="119"/>
      <c r="S314" s="113"/>
    </row>
    <row r="315" spans="2:19" customFormat="1" x14ac:dyDescent="0.2">
      <c r="B315" s="128"/>
      <c r="C315" s="25"/>
      <c r="D315" s="118"/>
      <c r="E315" s="118"/>
      <c r="F315" s="118"/>
      <c r="G315" s="118"/>
      <c r="H315" s="118"/>
      <c r="I315" s="118"/>
      <c r="J315" s="118"/>
      <c r="K315" s="118"/>
      <c r="L315" s="118"/>
      <c r="M315" s="118"/>
      <c r="N315" s="119"/>
      <c r="O315" s="119"/>
      <c r="P315" s="119"/>
      <c r="Q315" s="119"/>
      <c r="R315" s="119"/>
      <c r="S315" s="113"/>
    </row>
    <row r="316" spans="2:19" customFormat="1" x14ac:dyDescent="0.2">
      <c r="B316" s="128"/>
      <c r="C316" s="25"/>
      <c r="D316" s="118"/>
      <c r="E316" s="118"/>
      <c r="F316" s="118"/>
      <c r="G316" s="118"/>
      <c r="H316" s="118"/>
      <c r="I316" s="118"/>
      <c r="J316" s="118"/>
      <c r="K316" s="118"/>
      <c r="L316" s="118"/>
      <c r="M316" s="118"/>
      <c r="N316" s="119"/>
      <c r="O316" s="119"/>
      <c r="P316" s="119"/>
      <c r="Q316" s="119"/>
      <c r="R316" s="119"/>
      <c r="S316" s="113"/>
    </row>
    <row r="317" spans="2:19" customFormat="1" x14ac:dyDescent="0.2">
      <c r="B317" s="128"/>
      <c r="C317" s="25"/>
      <c r="D317" s="118"/>
      <c r="E317" s="118"/>
      <c r="F317" s="118"/>
      <c r="G317" s="118"/>
      <c r="H317" s="118"/>
      <c r="I317" s="118"/>
      <c r="J317" s="118"/>
      <c r="K317" s="118"/>
      <c r="L317" s="118"/>
      <c r="M317" s="118"/>
      <c r="N317" s="119"/>
      <c r="O317" s="119"/>
      <c r="P317" s="119"/>
      <c r="Q317" s="119"/>
      <c r="R317" s="119"/>
      <c r="S317" s="113"/>
    </row>
    <row r="318" spans="2:19" customFormat="1" x14ac:dyDescent="0.2">
      <c r="B318" s="128"/>
      <c r="C318" s="25"/>
      <c r="D318" s="118"/>
      <c r="E318" s="118"/>
      <c r="F318" s="118"/>
      <c r="G318" s="118"/>
      <c r="H318" s="118"/>
      <c r="I318" s="118"/>
      <c r="J318" s="118"/>
      <c r="K318" s="118"/>
      <c r="L318" s="118"/>
      <c r="M318" s="118"/>
      <c r="N318" s="119"/>
      <c r="O318" s="119"/>
      <c r="P318" s="119"/>
      <c r="Q318" s="119"/>
      <c r="R318" s="119"/>
      <c r="S318" s="113"/>
    </row>
    <row r="319" spans="2:19" customFormat="1" x14ac:dyDescent="0.2">
      <c r="B319" s="128"/>
      <c r="C319" s="25"/>
      <c r="D319" s="118"/>
      <c r="E319" s="118"/>
      <c r="F319" s="118"/>
      <c r="G319" s="118"/>
      <c r="H319" s="118"/>
      <c r="I319" s="118"/>
      <c r="J319" s="118"/>
      <c r="K319" s="118"/>
      <c r="L319" s="118"/>
      <c r="M319" s="118"/>
      <c r="N319" s="119"/>
      <c r="O319" s="119"/>
      <c r="P319" s="119"/>
      <c r="Q319" s="119"/>
      <c r="R319" s="119"/>
      <c r="S319" s="113"/>
    </row>
    <row r="320" spans="2:19" customFormat="1" x14ac:dyDescent="0.2">
      <c r="B320" s="128"/>
      <c r="C320" s="25"/>
      <c r="D320" s="118"/>
      <c r="E320" s="118"/>
      <c r="F320" s="118"/>
      <c r="G320" s="118"/>
      <c r="H320" s="118"/>
      <c r="I320" s="118"/>
      <c r="J320" s="118"/>
      <c r="K320" s="118"/>
      <c r="L320" s="118"/>
      <c r="M320" s="118"/>
      <c r="N320" s="119"/>
      <c r="O320" s="119"/>
      <c r="P320" s="119"/>
      <c r="Q320" s="119"/>
      <c r="R320" s="119"/>
      <c r="S320" s="113"/>
    </row>
    <row r="321" spans="2:20" customFormat="1" x14ac:dyDescent="0.2">
      <c r="B321" s="128"/>
      <c r="C321" s="25"/>
      <c r="D321" s="118"/>
      <c r="E321" s="118"/>
      <c r="F321" s="118"/>
      <c r="G321" s="118"/>
      <c r="H321" s="118"/>
      <c r="I321" s="118"/>
      <c r="J321" s="118"/>
      <c r="K321" s="118"/>
      <c r="L321" s="118"/>
      <c r="M321" s="118"/>
      <c r="N321" s="119"/>
      <c r="O321" s="119"/>
      <c r="P321" s="119"/>
      <c r="Q321" s="119"/>
      <c r="R321" s="119"/>
      <c r="S321" s="113"/>
    </row>
    <row r="322" spans="2:20" customFormat="1" x14ac:dyDescent="0.2">
      <c r="B322" s="128"/>
      <c r="C322" s="25"/>
      <c r="D322" s="118"/>
      <c r="E322" s="118"/>
      <c r="F322" s="118"/>
      <c r="G322" s="118"/>
      <c r="H322" s="118"/>
      <c r="I322" s="118"/>
      <c r="J322" s="118"/>
      <c r="K322" s="118"/>
      <c r="L322" s="118"/>
      <c r="M322" s="118"/>
      <c r="N322" s="119"/>
      <c r="O322" s="119"/>
      <c r="P322" s="119"/>
      <c r="Q322" s="119"/>
      <c r="R322" s="119"/>
      <c r="S322" s="122"/>
      <c r="T322" s="118"/>
    </row>
    <row r="323" spans="2:20" customFormat="1" x14ac:dyDescent="0.2">
      <c r="B323" s="128"/>
      <c r="C323" s="25"/>
      <c r="D323" s="118"/>
      <c r="E323" s="118"/>
      <c r="F323" s="118"/>
      <c r="G323" s="118"/>
      <c r="H323" s="118"/>
      <c r="I323" s="118"/>
      <c r="J323" s="118"/>
      <c r="K323" s="118"/>
      <c r="L323" s="118"/>
      <c r="M323" s="118"/>
      <c r="N323" s="119"/>
      <c r="O323" s="119"/>
      <c r="P323" s="119"/>
      <c r="Q323" s="119"/>
      <c r="R323" s="119"/>
      <c r="S323" s="113"/>
      <c r="T323" s="118"/>
    </row>
    <row r="324" spans="2:20" customFormat="1" x14ac:dyDescent="0.2">
      <c r="B324" s="128"/>
      <c r="C324" s="25"/>
      <c r="D324" s="118"/>
      <c r="E324" s="118"/>
      <c r="F324" s="118"/>
      <c r="G324" s="118"/>
      <c r="H324" s="118"/>
      <c r="I324" s="118"/>
      <c r="J324" s="118"/>
      <c r="K324" s="118"/>
      <c r="L324" s="118"/>
      <c r="M324" s="118"/>
      <c r="N324" s="119"/>
      <c r="O324" s="119"/>
      <c r="P324" s="119"/>
      <c r="Q324" s="119"/>
      <c r="R324" s="119"/>
      <c r="S324" s="113"/>
      <c r="T324" s="118"/>
    </row>
    <row r="325" spans="2:20" customFormat="1" x14ac:dyDescent="0.2">
      <c r="B325" s="128"/>
      <c r="C325" s="25"/>
      <c r="D325" s="118"/>
      <c r="E325" s="118"/>
      <c r="F325" s="118"/>
      <c r="G325" s="118"/>
      <c r="H325" s="118"/>
      <c r="I325" s="118"/>
      <c r="J325" s="118"/>
      <c r="K325" s="118"/>
      <c r="L325" s="118"/>
      <c r="M325" s="118"/>
      <c r="N325" s="119"/>
      <c r="O325" s="119"/>
      <c r="P325" s="119"/>
      <c r="Q325" s="119"/>
      <c r="R325" s="119"/>
      <c r="S325" s="113"/>
      <c r="T325" s="118"/>
    </row>
    <row r="326" spans="2:20" customFormat="1" x14ac:dyDescent="0.2">
      <c r="B326" s="128"/>
      <c r="C326" s="25"/>
      <c r="D326" s="118"/>
      <c r="E326" s="118"/>
      <c r="F326" s="118"/>
      <c r="G326" s="118"/>
      <c r="H326" s="118"/>
      <c r="I326" s="118"/>
      <c r="J326" s="118"/>
      <c r="K326" s="118"/>
      <c r="L326" s="118"/>
      <c r="M326" s="118"/>
      <c r="N326" s="119"/>
      <c r="O326" s="119"/>
      <c r="P326" s="119"/>
      <c r="Q326" s="119"/>
      <c r="R326" s="119"/>
      <c r="S326" s="123"/>
      <c r="T326" s="118"/>
    </row>
    <row r="327" spans="2:20" customFormat="1" x14ac:dyDescent="0.2">
      <c r="B327" s="128"/>
      <c r="C327" s="25"/>
      <c r="D327" s="118"/>
      <c r="E327" s="118"/>
      <c r="F327" s="118"/>
      <c r="G327" s="118"/>
      <c r="H327" s="118"/>
      <c r="I327" s="118"/>
      <c r="J327" s="118"/>
      <c r="K327" s="118"/>
      <c r="L327" s="118"/>
      <c r="M327" s="118"/>
      <c r="N327" s="119"/>
      <c r="O327" s="119"/>
      <c r="P327" s="119"/>
      <c r="Q327" s="119"/>
      <c r="R327" s="119"/>
      <c r="S327" s="113"/>
      <c r="T327" s="118"/>
    </row>
    <row r="328" spans="2:20" customFormat="1" x14ac:dyDescent="0.2">
      <c r="B328" s="128"/>
      <c r="C328" s="25"/>
      <c r="D328" s="118"/>
      <c r="E328" s="118"/>
      <c r="F328" s="118"/>
      <c r="G328" s="118"/>
      <c r="H328" s="118"/>
      <c r="I328" s="118"/>
      <c r="J328" s="118"/>
      <c r="K328" s="118"/>
      <c r="L328" s="118"/>
      <c r="M328" s="118"/>
      <c r="N328" s="119"/>
      <c r="O328" s="119"/>
      <c r="P328" s="119"/>
      <c r="Q328" s="119"/>
      <c r="R328" s="119"/>
      <c r="S328" s="113"/>
      <c r="T328" s="118"/>
    </row>
    <row r="329" spans="2:20" customFormat="1" x14ac:dyDescent="0.2">
      <c r="B329" s="128"/>
      <c r="C329" s="25"/>
      <c r="D329" s="118"/>
      <c r="E329" s="118"/>
      <c r="F329" s="118"/>
      <c r="G329" s="118"/>
      <c r="H329" s="118"/>
      <c r="I329" s="118"/>
      <c r="J329" s="118"/>
      <c r="K329" s="118"/>
      <c r="L329" s="118"/>
      <c r="M329" s="118"/>
      <c r="N329" s="119"/>
      <c r="O329" s="119"/>
      <c r="P329" s="119"/>
      <c r="Q329" s="119"/>
      <c r="R329" s="119"/>
      <c r="S329" s="113"/>
      <c r="T329" s="118"/>
    </row>
    <row r="330" spans="2:20" customFormat="1" x14ac:dyDescent="0.2">
      <c r="B330" s="128"/>
      <c r="C330" s="25"/>
      <c r="D330" s="118"/>
      <c r="E330" s="118"/>
      <c r="F330" s="118"/>
      <c r="G330" s="118"/>
      <c r="H330" s="118"/>
      <c r="I330" s="118"/>
      <c r="J330" s="118"/>
      <c r="K330" s="118"/>
      <c r="L330" s="118"/>
      <c r="M330" s="118"/>
      <c r="N330" s="119"/>
      <c r="O330" s="119"/>
      <c r="P330" s="119"/>
      <c r="Q330" s="119"/>
      <c r="R330" s="119"/>
      <c r="S330" s="122"/>
      <c r="T330" s="118"/>
    </row>
    <row r="331" spans="2:20" customFormat="1" x14ac:dyDescent="0.2">
      <c r="B331" s="128"/>
      <c r="C331" s="25"/>
      <c r="D331" s="118"/>
      <c r="E331" s="25"/>
      <c r="F331" s="25"/>
      <c r="G331" s="25"/>
      <c r="H331" s="25"/>
      <c r="I331" s="25"/>
      <c r="J331" s="25"/>
      <c r="K331" s="25"/>
      <c r="L331" s="25"/>
      <c r="M331" s="118"/>
      <c r="N331" s="119"/>
      <c r="O331" s="119"/>
      <c r="P331" s="119"/>
      <c r="Q331" s="119"/>
      <c r="R331" s="119"/>
      <c r="S331" s="113"/>
      <c r="T331" s="118"/>
    </row>
    <row r="332" spans="2:20" x14ac:dyDescent="0.2">
      <c r="B332" s="128"/>
    </row>
    <row r="333" spans="2:20" x14ac:dyDescent="0.2">
      <c r="B333" s="128"/>
    </row>
    <row r="334" spans="2:20" x14ac:dyDescent="0.2">
      <c r="B334" s="128"/>
      <c r="S334" s="122"/>
    </row>
    <row r="335" spans="2:20" x14ac:dyDescent="0.2">
      <c r="B335" s="128"/>
      <c r="S335" s="122"/>
    </row>
    <row r="336" spans="2:20" x14ac:dyDescent="0.2">
      <c r="B336" s="128"/>
      <c r="D336"/>
      <c r="E336"/>
      <c r="F336"/>
      <c r="G336"/>
      <c r="H336"/>
      <c r="I336"/>
      <c r="J336"/>
      <c r="K336"/>
      <c r="L336"/>
      <c r="S336" s="120"/>
    </row>
    <row r="337" spans="2:19" x14ac:dyDescent="0.2">
      <c r="B337" s="128"/>
    </row>
    <row r="338" spans="2:19" x14ac:dyDescent="0.2">
      <c r="B338" s="128"/>
    </row>
    <row r="339" spans="2:19" x14ac:dyDescent="0.2">
      <c r="B339" s="128"/>
    </row>
    <row r="340" spans="2:19" x14ac:dyDescent="0.2">
      <c r="B340" s="128"/>
    </row>
    <row r="341" spans="2:19" x14ac:dyDescent="0.2">
      <c r="B341" s="128"/>
      <c r="S341" s="122"/>
    </row>
    <row r="342" spans="2:19" x14ac:dyDescent="0.2">
      <c r="B342" s="128"/>
    </row>
    <row r="343" spans="2:19" x14ac:dyDescent="0.2">
      <c r="B343" s="128"/>
    </row>
    <row r="344" spans="2:19" x14ac:dyDescent="0.2">
      <c r="B344" s="128"/>
      <c r="S344" s="123"/>
    </row>
    <row r="345" spans="2:19" x14ac:dyDescent="0.2">
      <c r="B345" s="128"/>
    </row>
    <row r="346" spans="2:19" x14ac:dyDescent="0.2">
      <c r="B346" s="128"/>
      <c r="S346" s="122"/>
    </row>
    <row r="347" spans="2:19" x14ac:dyDescent="0.2">
      <c r="B347" s="128"/>
    </row>
    <row r="348" spans="2:19" x14ac:dyDescent="0.2">
      <c r="B348" s="128"/>
    </row>
    <row r="349" spans="2:19" x14ac:dyDescent="0.2">
      <c r="B349" s="128"/>
    </row>
    <row r="350" spans="2:19" x14ac:dyDescent="0.2">
      <c r="B350" s="128"/>
      <c r="S350" s="122"/>
    </row>
    <row r="351" spans="2:19" x14ac:dyDescent="0.2">
      <c r="B351" s="128"/>
    </row>
    <row r="352" spans="2:19" x14ac:dyDescent="0.2">
      <c r="B352" s="128"/>
      <c r="S352" s="122"/>
    </row>
    <row r="353" spans="2:2" x14ac:dyDescent="0.2">
      <c r="B353" s="128"/>
    </row>
    <row r="354" spans="2:2" x14ac:dyDescent="0.2">
      <c r="B354" s="128"/>
    </row>
    <row r="355" spans="2:2" x14ac:dyDescent="0.2">
      <c r="B355" s="128"/>
    </row>
    <row r="356" spans="2:2" x14ac:dyDescent="0.2">
      <c r="B356" s="128"/>
    </row>
    <row r="357" spans="2:2" x14ac:dyDescent="0.2">
      <c r="B357" s="128"/>
    </row>
    <row r="358" spans="2:2" x14ac:dyDescent="0.2">
      <c r="B358" s="128"/>
    </row>
    <row r="359" spans="2:2" x14ac:dyDescent="0.2">
      <c r="B359" s="128"/>
    </row>
    <row r="360" spans="2:2" x14ac:dyDescent="0.2">
      <c r="B360" s="128"/>
    </row>
    <row r="361" spans="2:2" x14ac:dyDescent="0.2">
      <c r="B361" s="128"/>
    </row>
    <row r="362" spans="2:2" x14ac:dyDescent="0.2">
      <c r="B362" s="128"/>
    </row>
    <row r="363" spans="2:2" x14ac:dyDescent="0.2">
      <c r="B363" s="128"/>
    </row>
    <row r="364" spans="2:2" x14ac:dyDescent="0.2">
      <c r="B364" s="128"/>
    </row>
    <row r="365" spans="2:2" x14ac:dyDescent="0.2">
      <c r="B365" s="128"/>
    </row>
    <row r="366" spans="2:2" x14ac:dyDescent="0.2">
      <c r="B366" s="128"/>
    </row>
    <row r="367" spans="2:2" x14ac:dyDescent="0.2">
      <c r="B367" s="128"/>
    </row>
    <row r="368" spans="2:2" x14ac:dyDescent="0.2">
      <c r="B368" s="128"/>
    </row>
    <row r="369" spans="2:2" x14ac:dyDescent="0.2">
      <c r="B369" s="128"/>
    </row>
    <row r="370" spans="2:2" x14ac:dyDescent="0.2">
      <c r="B370" s="128"/>
    </row>
    <row r="371" spans="2:2" x14ac:dyDescent="0.2">
      <c r="B371" s="128"/>
    </row>
    <row r="372" spans="2:2" x14ac:dyDescent="0.2">
      <c r="B372" s="128"/>
    </row>
    <row r="373" spans="2:2" x14ac:dyDescent="0.2">
      <c r="B373" s="128"/>
    </row>
    <row r="374" spans="2:2" x14ac:dyDescent="0.2">
      <c r="B374" s="128"/>
    </row>
    <row r="375" spans="2:2" x14ac:dyDescent="0.2">
      <c r="B375" s="128"/>
    </row>
    <row r="376" spans="2:2" x14ac:dyDescent="0.2">
      <c r="B376" s="128"/>
    </row>
    <row r="377" spans="2:2" x14ac:dyDescent="0.2">
      <c r="B377" s="128"/>
    </row>
    <row r="378" spans="2:2" x14ac:dyDescent="0.2">
      <c r="B378" s="128"/>
    </row>
    <row r="379" spans="2:2" x14ac:dyDescent="0.2">
      <c r="B379" s="128"/>
    </row>
    <row r="380" spans="2:2" x14ac:dyDescent="0.2">
      <c r="B380" s="128"/>
    </row>
    <row r="381" spans="2:2" x14ac:dyDescent="0.2">
      <c r="B381" s="128"/>
    </row>
    <row r="382" spans="2:2" x14ac:dyDescent="0.2">
      <c r="B382" s="128"/>
    </row>
    <row r="383" spans="2:2" x14ac:dyDescent="0.2">
      <c r="B383" s="128"/>
    </row>
    <row r="384" spans="2:2" x14ac:dyDescent="0.2">
      <c r="B384" s="128"/>
    </row>
    <row r="385" spans="2:2" x14ac:dyDescent="0.2">
      <c r="B385" s="128"/>
    </row>
    <row r="386" spans="2:2" x14ac:dyDescent="0.2">
      <c r="B386" s="128"/>
    </row>
    <row r="387" spans="2:2" x14ac:dyDescent="0.2">
      <c r="B387" s="128"/>
    </row>
    <row r="388" spans="2:2" x14ac:dyDescent="0.2">
      <c r="B388" s="128"/>
    </row>
    <row r="389" spans="2:2" x14ac:dyDescent="0.2">
      <c r="B389" s="128"/>
    </row>
    <row r="390" spans="2:2" x14ac:dyDescent="0.2">
      <c r="B390" s="128"/>
    </row>
    <row r="391" spans="2:2" x14ac:dyDescent="0.2">
      <c r="B391" s="128"/>
    </row>
    <row r="392" spans="2:2" x14ac:dyDescent="0.2">
      <c r="B392" s="128"/>
    </row>
    <row r="393" spans="2:2" x14ac:dyDescent="0.2">
      <c r="B393" s="128"/>
    </row>
    <row r="394" spans="2:2" x14ac:dyDescent="0.2">
      <c r="B394" s="128"/>
    </row>
    <row r="395" spans="2:2" x14ac:dyDescent="0.2">
      <c r="B395" s="128"/>
    </row>
    <row r="396" spans="2:2" x14ac:dyDescent="0.2">
      <c r="B396" s="128"/>
    </row>
    <row r="397" spans="2:2" x14ac:dyDescent="0.2">
      <c r="B397" s="128"/>
    </row>
    <row r="398" spans="2:2" x14ac:dyDescent="0.2">
      <c r="B398" s="128"/>
    </row>
    <row r="399" spans="2:2" x14ac:dyDescent="0.2">
      <c r="B399" s="128"/>
    </row>
    <row r="400" spans="2:2" x14ac:dyDescent="0.2">
      <c r="B400" s="128"/>
    </row>
    <row r="401" spans="2:19" x14ac:dyDescent="0.2">
      <c r="B401" s="128"/>
    </row>
    <row r="402" spans="2:19" x14ac:dyDescent="0.2">
      <c r="B402" s="128"/>
    </row>
    <row r="403" spans="2:19" x14ac:dyDescent="0.2">
      <c r="B403" s="128"/>
    </row>
    <row r="404" spans="2:19" x14ac:dyDescent="0.2">
      <c r="B404" s="128"/>
    </row>
    <row r="405" spans="2:19" x14ac:dyDescent="0.2">
      <c r="B405" s="128"/>
    </row>
    <row r="406" spans="2:19" x14ac:dyDescent="0.2">
      <c r="B406" s="128"/>
    </row>
    <row r="407" spans="2:19" x14ac:dyDescent="0.2">
      <c r="B407" s="128"/>
    </row>
    <row r="408" spans="2:19" x14ac:dyDescent="0.2">
      <c r="B408" s="128"/>
    </row>
    <row r="409" spans="2:19" x14ac:dyDescent="0.2">
      <c r="B409" s="128"/>
    </row>
    <row r="410" spans="2:19" x14ac:dyDescent="0.2">
      <c r="B410" s="128"/>
      <c r="D410"/>
      <c r="E410"/>
      <c r="F410"/>
      <c r="G410"/>
      <c r="H410"/>
      <c r="I410"/>
      <c r="J410"/>
      <c r="K410"/>
      <c r="L410"/>
      <c r="S410" s="120"/>
    </row>
    <row r="411" spans="2:19" x14ac:dyDescent="0.2">
      <c r="B411" s="128"/>
    </row>
    <row r="412" spans="2:19" x14ac:dyDescent="0.2">
      <c r="B412" s="128"/>
    </row>
    <row r="413" spans="2:19" x14ac:dyDescent="0.2">
      <c r="B413" s="128"/>
    </row>
    <row r="414" spans="2:19" x14ac:dyDescent="0.2">
      <c r="B414" s="128"/>
    </row>
    <row r="415" spans="2:19" x14ac:dyDescent="0.2">
      <c r="B415" s="128"/>
    </row>
    <row r="416" spans="2:19" x14ac:dyDescent="0.2">
      <c r="B416" s="128"/>
    </row>
    <row r="417" spans="2:19" x14ac:dyDescent="0.2">
      <c r="B417" s="128"/>
    </row>
    <row r="418" spans="2:19" x14ac:dyDescent="0.2">
      <c r="B418" s="128"/>
    </row>
    <row r="419" spans="2:19" x14ac:dyDescent="0.2">
      <c r="B419" s="128"/>
    </row>
    <row r="420" spans="2:19" x14ac:dyDescent="0.2">
      <c r="B420" s="128"/>
    </row>
    <row r="421" spans="2:19" x14ac:dyDescent="0.2">
      <c r="B421" s="128"/>
    </row>
    <row r="422" spans="2:19" x14ac:dyDescent="0.2">
      <c r="B422" s="128"/>
    </row>
    <row r="423" spans="2:19" x14ac:dyDescent="0.2">
      <c r="B423" s="128"/>
    </row>
    <row r="424" spans="2:19" x14ac:dyDescent="0.2">
      <c r="B424" s="128"/>
    </row>
    <row r="425" spans="2:19" x14ac:dyDescent="0.2">
      <c r="B425" s="128"/>
    </row>
    <row r="426" spans="2:19" x14ac:dyDescent="0.2">
      <c r="B426" s="128"/>
    </row>
    <row r="427" spans="2:19" x14ac:dyDescent="0.2">
      <c r="B427" s="128"/>
    </row>
    <row r="428" spans="2:19" x14ac:dyDescent="0.2">
      <c r="B428" s="128"/>
    </row>
    <row r="429" spans="2:19" x14ac:dyDescent="0.2">
      <c r="B429" s="128"/>
      <c r="D429"/>
      <c r="E429"/>
      <c r="F429"/>
      <c r="G429"/>
      <c r="H429"/>
      <c r="I429"/>
      <c r="J429"/>
      <c r="K429"/>
      <c r="L429"/>
      <c r="S429" s="120"/>
    </row>
    <row r="430" spans="2:19" x14ac:dyDescent="0.2">
      <c r="B430" s="128"/>
    </row>
    <row r="431" spans="2:19" x14ac:dyDescent="0.2">
      <c r="B431" s="128"/>
    </row>
    <row r="432" spans="2:19" x14ac:dyDescent="0.2">
      <c r="B432" s="128"/>
    </row>
    <row r="433" spans="2:2" x14ac:dyDescent="0.2">
      <c r="B433" s="128"/>
    </row>
    <row r="434" spans="2:2" x14ac:dyDescent="0.2">
      <c r="B434" s="128"/>
    </row>
    <row r="435" spans="2:2" x14ac:dyDescent="0.2">
      <c r="B435" s="128"/>
    </row>
    <row r="436" spans="2:2" x14ac:dyDescent="0.2">
      <c r="B436" s="128"/>
    </row>
    <row r="437" spans="2:2" x14ac:dyDescent="0.2">
      <c r="B437" s="128"/>
    </row>
    <row r="438" spans="2:2" x14ac:dyDescent="0.2">
      <c r="B438" s="128"/>
    </row>
    <row r="439" spans="2:2" x14ac:dyDescent="0.2">
      <c r="B439" s="128"/>
    </row>
    <row r="440" spans="2:2" x14ac:dyDescent="0.2">
      <c r="B440" s="128"/>
    </row>
    <row r="441" spans="2:2" x14ac:dyDescent="0.2">
      <c r="B441" s="128"/>
    </row>
    <row r="442" spans="2:2" x14ac:dyDescent="0.2">
      <c r="B442" s="128"/>
    </row>
    <row r="443" spans="2:2" x14ac:dyDescent="0.2">
      <c r="B443" s="128"/>
    </row>
    <row r="444" spans="2:2" x14ac:dyDescent="0.2">
      <c r="B444" s="128"/>
    </row>
    <row r="445" spans="2:2" x14ac:dyDescent="0.2">
      <c r="B445" s="128"/>
    </row>
    <row r="446" spans="2:2" x14ac:dyDescent="0.2">
      <c r="B446" s="128"/>
    </row>
    <row r="447" spans="2:2" x14ac:dyDescent="0.2">
      <c r="B447" s="128"/>
    </row>
    <row r="448" spans="2:2" x14ac:dyDescent="0.2">
      <c r="B448" s="128"/>
    </row>
    <row r="449" spans="2:20" x14ac:dyDescent="0.2">
      <c r="B449" s="128"/>
    </row>
    <row r="450" spans="2:20" x14ac:dyDescent="0.2">
      <c r="B450" s="128"/>
    </row>
    <row r="451" spans="2:20" x14ac:dyDescent="0.2">
      <c r="B451" s="128"/>
    </row>
    <row r="452" spans="2:20" x14ac:dyDescent="0.2">
      <c r="B452" s="128"/>
    </row>
    <row r="453" spans="2:20" x14ac:dyDescent="0.2">
      <c r="B453" s="128"/>
      <c r="D453"/>
      <c r="E453"/>
      <c r="F453"/>
      <c r="G453"/>
      <c r="H453"/>
      <c r="I453"/>
      <c r="J453"/>
      <c r="K453"/>
      <c r="L453"/>
      <c r="S453" s="120"/>
    </row>
    <row r="454" spans="2:20" x14ac:dyDescent="0.2">
      <c r="B454" s="128"/>
    </row>
    <row r="455" spans="2:20" x14ac:dyDescent="0.2">
      <c r="B455" s="128"/>
    </row>
    <row r="456" spans="2:20" x14ac:dyDescent="0.2">
      <c r="B456" s="128"/>
    </row>
    <row r="457" spans="2:20" x14ac:dyDescent="0.2">
      <c r="B457" s="38"/>
      <c r="D457"/>
      <c r="E457"/>
      <c r="F457"/>
      <c r="G457"/>
      <c r="H457"/>
      <c r="I457"/>
      <c r="J457"/>
      <c r="K457"/>
      <c r="L457"/>
      <c r="S457" s="120"/>
      <c r="T457"/>
    </row>
    <row r="458" spans="2:20" x14ac:dyDescent="0.2">
      <c r="B458" s="128"/>
    </row>
    <row r="459" spans="2:20" x14ac:dyDescent="0.2">
      <c r="B459" s="128"/>
    </row>
    <row r="460" spans="2:20" x14ac:dyDescent="0.2">
      <c r="B460" s="128"/>
    </row>
    <row r="461" spans="2:20" x14ac:dyDescent="0.2">
      <c r="B461" s="128"/>
    </row>
    <row r="462" spans="2:20" x14ac:dyDescent="0.2">
      <c r="B462" s="128"/>
    </row>
    <row r="463" spans="2:20" x14ac:dyDescent="0.2">
      <c r="B463" s="128"/>
    </row>
    <row r="464" spans="2:20" x14ac:dyDescent="0.2">
      <c r="B464" s="128"/>
    </row>
    <row r="465" spans="2:19" x14ac:dyDescent="0.2">
      <c r="B465" s="128"/>
    </row>
    <row r="466" spans="2:19" x14ac:dyDescent="0.2">
      <c r="B466" s="128"/>
    </row>
    <row r="467" spans="2:19" x14ac:dyDescent="0.2">
      <c r="B467" s="128"/>
    </row>
    <row r="468" spans="2:19" x14ac:dyDescent="0.2">
      <c r="B468" s="128"/>
      <c r="D468"/>
      <c r="E468"/>
      <c r="F468"/>
      <c r="G468"/>
      <c r="H468"/>
      <c r="I468"/>
      <c r="J468"/>
      <c r="K468"/>
      <c r="L468"/>
      <c r="S468" s="120"/>
    </row>
    <row r="469" spans="2:19" x14ac:dyDescent="0.2">
      <c r="B469" s="128"/>
      <c r="D469"/>
      <c r="E469"/>
      <c r="F469"/>
      <c r="G469"/>
      <c r="H469"/>
      <c r="I469"/>
      <c r="J469"/>
      <c r="K469"/>
      <c r="L469"/>
      <c r="S469" s="120"/>
    </row>
    <row r="470" spans="2:19" x14ac:dyDescent="0.2">
      <c r="B470" s="128"/>
      <c r="D470"/>
      <c r="E470"/>
      <c r="F470"/>
      <c r="G470"/>
      <c r="H470"/>
      <c r="I470"/>
      <c r="J470"/>
      <c r="K470"/>
      <c r="L470"/>
      <c r="S470" s="120"/>
    </row>
    <row r="471" spans="2:19" x14ac:dyDescent="0.2">
      <c r="B471" s="128"/>
    </row>
    <row r="472" spans="2:19" x14ac:dyDescent="0.2">
      <c r="B472" s="128"/>
    </row>
    <row r="473" spans="2:19" x14ac:dyDescent="0.2">
      <c r="B473" s="128"/>
    </row>
    <row r="474" spans="2:19" x14ac:dyDescent="0.2">
      <c r="B474" s="128"/>
    </row>
    <row r="475" spans="2:19" x14ac:dyDescent="0.2">
      <c r="B475" s="128"/>
    </row>
    <row r="476" spans="2:19" x14ac:dyDescent="0.2">
      <c r="B476" s="128"/>
    </row>
    <row r="477" spans="2:19" x14ac:dyDescent="0.2">
      <c r="B477" s="128"/>
    </row>
    <row r="478" spans="2:19" x14ac:dyDescent="0.2">
      <c r="B478" s="128"/>
    </row>
    <row r="479" spans="2:19" x14ac:dyDescent="0.2">
      <c r="B479" s="128"/>
    </row>
    <row r="480" spans="2:19" x14ac:dyDescent="0.2">
      <c r="B480" s="128"/>
    </row>
    <row r="481" spans="2:19" x14ac:dyDescent="0.2">
      <c r="B481" s="128"/>
    </row>
    <row r="482" spans="2:19" x14ac:dyDescent="0.2">
      <c r="B482" s="128"/>
    </row>
    <row r="483" spans="2:19" x14ac:dyDescent="0.2">
      <c r="B483" s="128"/>
      <c r="D483"/>
      <c r="E483"/>
      <c r="F483"/>
      <c r="G483"/>
      <c r="H483"/>
      <c r="I483"/>
      <c r="J483"/>
      <c r="K483"/>
      <c r="L483"/>
      <c r="S483" s="120"/>
    </row>
    <row r="484" spans="2:19" x14ac:dyDescent="0.2">
      <c r="B484" s="128"/>
    </row>
    <row r="485" spans="2:19" x14ac:dyDescent="0.2">
      <c r="B485" s="128"/>
    </row>
    <row r="486" spans="2:19" x14ac:dyDescent="0.2">
      <c r="B486" s="128"/>
    </row>
    <row r="487" spans="2:19" x14ac:dyDescent="0.2">
      <c r="B487" s="128"/>
    </row>
    <row r="488" spans="2:19" x14ac:dyDescent="0.2">
      <c r="B488" s="128"/>
    </row>
    <row r="489" spans="2:19" x14ac:dyDescent="0.2">
      <c r="B489" s="128"/>
    </row>
    <row r="490" spans="2:19" x14ac:dyDescent="0.2">
      <c r="B490" s="128"/>
    </row>
    <row r="491" spans="2:19" x14ac:dyDescent="0.2">
      <c r="B491" s="128"/>
      <c r="D491"/>
      <c r="E491"/>
      <c r="F491"/>
      <c r="G491"/>
      <c r="H491"/>
      <c r="I491"/>
      <c r="J491"/>
      <c r="K491"/>
      <c r="L491"/>
      <c r="S491" s="120"/>
    </row>
    <row r="492" spans="2:19" x14ac:dyDescent="0.2">
      <c r="B492" s="128"/>
      <c r="D492"/>
      <c r="E492"/>
      <c r="F492"/>
      <c r="G492"/>
      <c r="H492"/>
      <c r="I492"/>
      <c r="J492"/>
      <c r="K492"/>
      <c r="L492"/>
      <c r="S492" s="120"/>
    </row>
    <row r="493" spans="2:19" x14ac:dyDescent="0.2">
      <c r="B493" s="128"/>
      <c r="D493"/>
      <c r="E493"/>
      <c r="F493"/>
      <c r="G493"/>
      <c r="H493"/>
      <c r="I493"/>
      <c r="J493"/>
      <c r="K493"/>
      <c r="L493"/>
      <c r="S493" s="120"/>
    </row>
    <row r="494" spans="2:19" x14ac:dyDescent="0.2">
      <c r="B494" s="128"/>
      <c r="D494"/>
      <c r="E494"/>
      <c r="F494"/>
      <c r="G494"/>
      <c r="H494"/>
      <c r="I494"/>
      <c r="J494"/>
      <c r="K494"/>
      <c r="L494"/>
      <c r="S494" s="120"/>
    </row>
    <row r="495" spans="2:19" x14ac:dyDescent="0.2">
      <c r="B495" s="128"/>
      <c r="D495"/>
      <c r="E495"/>
      <c r="F495"/>
      <c r="G495"/>
      <c r="H495"/>
      <c r="I495"/>
      <c r="J495"/>
      <c r="K495"/>
      <c r="L495"/>
      <c r="S495" s="120"/>
    </row>
    <row r="496" spans="2:19" x14ac:dyDescent="0.2">
      <c r="B496" s="128"/>
      <c r="D496"/>
      <c r="E496"/>
      <c r="F496"/>
      <c r="G496"/>
      <c r="H496"/>
      <c r="I496"/>
      <c r="J496"/>
      <c r="K496"/>
      <c r="L496"/>
      <c r="S496" s="120"/>
    </row>
    <row r="497" spans="2:20" x14ac:dyDescent="0.2">
      <c r="B497" s="128"/>
    </row>
    <row r="498" spans="2:20" x14ac:dyDescent="0.2">
      <c r="B498" s="128"/>
      <c r="D498"/>
      <c r="E498"/>
      <c r="F498"/>
      <c r="G498"/>
      <c r="H498"/>
      <c r="I498"/>
      <c r="J498"/>
      <c r="K498"/>
      <c r="L498"/>
      <c r="S498" s="120"/>
      <c r="T498"/>
    </row>
    <row r="499" spans="2:20" x14ac:dyDescent="0.2">
      <c r="B499" s="128"/>
      <c r="D499"/>
      <c r="E499"/>
      <c r="F499"/>
      <c r="G499"/>
      <c r="H499"/>
      <c r="I499"/>
      <c r="J499"/>
      <c r="K499"/>
      <c r="L499"/>
      <c r="S499" s="120"/>
      <c r="T499"/>
    </row>
    <row r="500" spans="2:20" x14ac:dyDescent="0.2">
      <c r="B500" s="128"/>
      <c r="D500"/>
      <c r="E500"/>
      <c r="F500"/>
      <c r="G500"/>
      <c r="H500"/>
      <c r="I500"/>
      <c r="J500"/>
      <c r="K500"/>
      <c r="L500"/>
      <c r="S500" s="120"/>
      <c r="T500"/>
    </row>
    <row r="501" spans="2:20" x14ac:dyDescent="0.2">
      <c r="B501" s="128"/>
      <c r="D501"/>
      <c r="E501"/>
      <c r="F501"/>
      <c r="G501"/>
      <c r="H501"/>
      <c r="I501"/>
      <c r="J501"/>
      <c r="K501"/>
      <c r="L501"/>
      <c r="S501" s="120"/>
      <c r="T501"/>
    </row>
    <row r="502" spans="2:20" x14ac:dyDescent="0.2">
      <c r="B502" s="128"/>
      <c r="D502"/>
      <c r="E502"/>
      <c r="F502"/>
      <c r="G502"/>
      <c r="H502"/>
      <c r="I502"/>
      <c r="J502"/>
      <c r="K502"/>
      <c r="L502"/>
      <c r="S502" s="120"/>
      <c r="T502"/>
    </row>
    <row r="503" spans="2:20" x14ac:dyDescent="0.2">
      <c r="B503" s="128"/>
      <c r="D503"/>
      <c r="E503"/>
      <c r="F503"/>
      <c r="G503"/>
      <c r="H503"/>
      <c r="I503"/>
      <c r="J503"/>
      <c r="K503"/>
      <c r="L503"/>
      <c r="S503" s="120"/>
      <c r="T503"/>
    </row>
    <row r="504" spans="2:20" x14ac:dyDescent="0.2">
      <c r="B504" s="128"/>
      <c r="D504"/>
      <c r="E504"/>
      <c r="F504"/>
      <c r="G504"/>
      <c r="H504"/>
      <c r="I504"/>
      <c r="J504"/>
      <c r="K504"/>
      <c r="L504"/>
      <c r="S504" s="120"/>
      <c r="T504"/>
    </row>
    <row r="505" spans="2:20" x14ac:dyDescent="0.2">
      <c r="B505" s="128"/>
      <c r="D505"/>
      <c r="E505"/>
      <c r="F505"/>
      <c r="G505"/>
      <c r="H505"/>
      <c r="I505"/>
      <c r="J505"/>
      <c r="K505"/>
      <c r="L505"/>
      <c r="S505" s="120"/>
      <c r="T505"/>
    </row>
    <row r="506" spans="2:20" x14ac:dyDescent="0.2">
      <c r="B506" s="38"/>
      <c r="D506"/>
      <c r="E506"/>
      <c r="F506"/>
      <c r="G506"/>
      <c r="H506"/>
      <c r="I506"/>
      <c r="J506"/>
      <c r="K506"/>
      <c r="L506"/>
      <c r="N506" s="120"/>
      <c r="O506" s="120"/>
      <c r="P506" s="120"/>
      <c r="Q506" s="120"/>
      <c r="R506" s="120"/>
      <c r="S506" s="120"/>
      <c r="T506"/>
    </row>
    <row r="507" spans="2:20" x14ac:dyDescent="0.2">
      <c r="B507" s="38"/>
      <c r="D507"/>
      <c r="E507"/>
      <c r="F507"/>
      <c r="G507"/>
      <c r="H507"/>
      <c r="I507"/>
      <c r="J507"/>
      <c r="K507"/>
      <c r="L507"/>
      <c r="N507" s="120"/>
      <c r="O507" s="120"/>
      <c r="P507" s="120"/>
      <c r="Q507" s="120"/>
      <c r="R507" s="120"/>
      <c r="S507" s="120"/>
      <c r="T507"/>
    </row>
    <row r="508" spans="2:20" x14ac:dyDescent="0.2">
      <c r="B508" s="128"/>
    </row>
    <row r="509" spans="2:20" x14ac:dyDescent="0.2">
      <c r="B509" s="128"/>
    </row>
    <row r="510" spans="2:20" x14ac:dyDescent="0.2">
      <c r="B510" s="128"/>
    </row>
    <row r="511" spans="2:20" x14ac:dyDescent="0.2">
      <c r="B511" s="128"/>
    </row>
    <row r="512" spans="2:20" x14ac:dyDescent="0.2">
      <c r="B512" s="128"/>
    </row>
    <row r="513" spans="2:2" x14ac:dyDescent="0.2">
      <c r="B513" s="128"/>
    </row>
    <row r="514" spans="2:2" x14ac:dyDescent="0.2">
      <c r="B514" s="128"/>
    </row>
    <row r="515" spans="2:2" x14ac:dyDescent="0.2">
      <c r="B515" s="128"/>
    </row>
    <row r="516" spans="2:2" x14ac:dyDescent="0.2">
      <c r="B516" s="128"/>
    </row>
    <row r="517" spans="2:2" x14ac:dyDescent="0.2">
      <c r="B517" s="128"/>
    </row>
    <row r="518" spans="2:2" x14ac:dyDescent="0.2">
      <c r="B518" s="128"/>
    </row>
    <row r="519" spans="2:2" x14ac:dyDescent="0.2">
      <c r="B519" s="128"/>
    </row>
    <row r="520" spans="2:2" x14ac:dyDescent="0.2">
      <c r="B520" s="128"/>
    </row>
    <row r="521" spans="2:2" x14ac:dyDescent="0.2">
      <c r="B521" s="128"/>
    </row>
    <row r="522" spans="2:2" x14ac:dyDescent="0.2">
      <c r="B522" s="128"/>
    </row>
    <row r="523" spans="2:2" x14ac:dyDescent="0.2">
      <c r="B523" s="128"/>
    </row>
    <row r="524" spans="2:2" x14ac:dyDescent="0.2">
      <c r="B524" s="128"/>
    </row>
    <row r="525" spans="2:2" x14ac:dyDescent="0.2">
      <c r="B525" s="128"/>
    </row>
    <row r="526" spans="2:2" x14ac:dyDescent="0.2">
      <c r="B526" s="128"/>
    </row>
    <row r="527" spans="2:2" x14ac:dyDescent="0.2">
      <c r="B527" s="128"/>
    </row>
    <row r="528" spans="2:2" x14ac:dyDescent="0.2">
      <c r="B528" s="128"/>
    </row>
    <row r="529" spans="2:2" x14ac:dyDescent="0.2">
      <c r="B529" s="128"/>
    </row>
    <row r="530" spans="2:2" x14ac:dyDescent="0.2">
      <c r="B530" s="128"/>
    </row>
    <row r="531" spans="2:2" x14ac:dyDescent="0.2">
      <c r="B531" s="128"/>
    </row>
    <row r="532" spans="2:2" x14ac:dyDescent="0.2">
      <c r="B532" s="128"/>
    </row>
    <row r="533" spans="2:2" x14ac:dyDescent="0.2">
      <c r="B533" s="128"/>
    </row>
    <row r="534" spans="2:2" x14ac:dyDescent="0.2">
      <c r="B534" s="128"/>
    </row>
    <row r="535" spans="2:2" x14ac:dyDescent="0.2">
      <c r="B535" s="128"/>
    </row>
    <row r="536" spans="2:2" x14ac:dyDescent="0.2">
      <c r="B536" s="128"/>
    </row>
    <row r="537" spans="2:2" x14ac:dyDescent="0.2">
      <c r="B537" s="128"/>
    </row>
    <row r="538" spans="2:2" x14ac:dyDescent="0.2">
      <c r="B538" s="128"/>
    </row>
    <row r="539" spans="2:2" x14ac:dyDescent="0.2">
      <c r="B539" s="128"/>
    </row>
    <row r="540" spans="2:2" x14ac:dyDescent="0.2">
      <c r="B540" s="128"/>
    </row>
    <row r="541" spans="2:2" x14ac:dyDescent="0.2">
      <c r="B541" s="128"/>
    </row>
    <row r="542" spans="2:2" x14ac:dyDescent="0.2">
      <c r="B542" s="128"/>
    </row>
    <row r="543" spans="2:2" x14ac:dyDescent="0.2">
      <c r="B543" s="128"/>
    </row>
    <row r="544" spans="2:2" x14ac:dyDescent="0.2">
      <c r="B544" s="128"/>
    </row>
    <row r="545" spans="2:2" x14ac:dyDescent="0.2">
      <c r="B545" s="128"/>
    </row>
    <row r="546" spans="2:2" x14ac:dyDescent="0.2">
      <c r="B546" s="128"/>
    </row>
    <row r="547" spans="2:2" x14ac:dyDescent="0.2">
      <c r="B547" s="128"/>
    </row>
    <row r="548" spans="2:2" x14ac:dyDescent="0.2">
      <c r="B548" s="128"/>
    </row>
    <row r="549" spans="2:2" x14ac:dyDescent="0.2">
      <c r="B549" s="128"/>
    </row>
    <row r="550" spans="2:2" x14ac:dyDescent="0.2">
      <c r="B550" s="128"/>
    </row>
  </sheetData>
  <sortState xmlns:xlrd2="http://schemas.microsoft.com/office/spreadsheetml/2017/richdata2" ref="B4:L293">
    <sortCondition ref="B293"/>
  </sortState>
  <mergeCells count="5">
    <mergeCell ref="O2:O3"/>
    <mergeCell ref="J2:K2"/>
    <mergeCell ref="S2:S3"/>
    <mergeCell ref="R2:R3"/>
    <mergeCell ref="Q2:Q3"/>
  </mergeCells>
  <conditionalFormatting sqref="R19:R166 S167:S178 R179:R200 S201:S215 R216:R267">
    <cfRule type="cellIs" dxfId="2" priority="3" operator="greaterThan">
      <formula>$R$1</formula>
    </cfRule>
  </conditionalFormatting>
  <conditionalFormatting sqref="R269">
    <cfRule type="cellIs" dxfId="1" priority="2" operator="greaterThan">
      <formula>$R$1</formula>
    </cfRule>
  </conditionalFormatting>
  <dataValidations count="2">
    <dataValidation allowBlank="1" showErrorMessage="1" error="Valor incorrecto._x000a_Por favor, ingrese solo números sin guiones ni barras." sqref="B418 B268" xr:uid="{00000000-0002-0000-0100-000000000000}"/>
    <dataValidation type="whole" allowBlank="1" showErrorMessage="1" error="Valor incorrecto._x000a_Por favor, ingrese solo números sin guiones ni barras." sqref="B269:B270 B272:B273 B277:B281 B293" xr:uid="{BC1553AD-2866-415C-9140-AD1C2A75D635}">
      <formula1>20017500</formula1>
      <formula2>999999999</formula2>
    </dataValidation>
  </dataValidations>
  <pageMargins left="0.7" right="0.7" top="0.75" bottom="0.75" header="0.3" footer="0.3"/>
  <pageSetup paperSize="9" orientation="portrait"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12195-C2A3-410A-979F-03577F0564A8}">
  <sheetPr>
    <outlinePr summaryBelow="0" summaryRight="0"/>
  </sheetPr>
  <dimension ref="A1:M342"/>
  <sheetViews>
    <sheetView topLeftCell="A100" workbookViewId="0">
      <selection activeCell="B2" sqref="B2"/>
    </sheetView>
  </sheetViews>
  <sheetFormatPr defaultColWidth="12.5078125" defaultRowHeight="30" customHeight="1" x14ac:dyDescent="0.2"/>
  <cols>
    <col min="1" max="2" width="10.22265625" style="101" customWidth="1"/>
    <col min="3" max="3" width="5.37890625" style="101" customWidth="1"/>
    <col min="4" max="4" width="9.953125" style="157" bestFit="1" customWidth="1"/>
    <col min="5" max="5" width="67.6640625" style="104" customWidth="1"/>
    <col min="6" max="7" width="11.703125" style="102" customWidth="1"/>
    <col min="8" max="8" width="5.51171875" style="101" bestFit="1" customWidth="1"/>
    <col min="9" max="9" width="9.55078125" style="101" customWidth="1"/>
    <col min="10" max="10" width="5.51171875" style="101" bestFit="1" customWidth="1"/>
    <col min="11" max="11" width="9.14453125" style="101" bestFit="1" customWidth="1"/>
    <col min="12" max="12" width="10.76171875" style="101" bestFit="1" customWidth="1"/>
    <col min="13" max="13" width="48.5625" style="133" customWidth="1"/>
    <col min="14" max="19" width="18.83203125" style="101" customWidth="1"/>
    <col min="20" max="16384" width="12.5078125" style="101"/>
  </cols>
  <sheetData>
    <row r="1" spans="1:13" ht="30" customHeight="1" x14ac:dyDescent="0.2">
      <c r="A1" s="107" t="s">
        <v>2409</v>
      </c>
      <c r="B1" s="101">
        <f>COUNTA(A4:A107)</f>
        <v>104</v>
      </c>
      <c r="K1" s="106" t="s">
        <v>2152</v>
      </c>
      <c r="L1" s="105">
        <v>52554</v>
      </c>
    </row>
    <row r="2" spans="1:13" ht="30" customHeight="1" x14ac:dyDescent="0.2">
      <c r="A2" s="108" t="s">
        <v>2410</v>
      </c>
      <c r="B2" s="108">
        <f>B1-COUNTA(D4:D102)</f>
        <v>5</v>
      </c>
      <c r="F2" s="99"/>
      <c r="G2" s="99"/>
      <c r="H2" s="100"/>
      <c r="I2" s="187" t="s">
        <v>1060</v>
      </c>
      <c r="J2" s="100"/>
      <c r="K2" s="187" t="s">
        <v>2131</v>
      </c>
      <c r="L2" s="187" t="s">
        <v>1087</v>
      </c>
    </row>
    <row r="3" spans="1:13" ht="30" customHeight="1" x14ac:dyDescent="0.2">
      <c r="A3" s="188" t="s">
        <v>2408</v>
      </c>
      <c r="B3" s="188"/>
      <c r="D3" s="158" t="s">
        <v>0</v>
      </c>
      <c r="E3" s="103" t="s">
        <v>1</v>
      </c>
      <c r="F3" s="100" t="s">
        <v>424</v>
      </c>
      <c r="G3" s="100" t="s">
        <v>958</v>
      </c>
      <c r="H3" s="100" t="s">
        <v>959</v>
      </c>
      <c r="I3" s="187"/>
      <c r="J3" s="100" t="s">
        <v>959</v>
      </c>
      <c r="K3" s="187"/>
      <c r="L3" s="187"/>
    </row>
    <row r="4" spans="1:13" ht="30" customHeight="1" x14ac:dyDescent="0.2">
      <c r="A4" s="134" t="s">
        <v>2288</v>
      </c>
      <c r="B4" s="101" t="str">
        <f t="shared" ref="B4:B35" si="0">IFERROR(VLOOKUP(A4,D:D,1,FALSE),"Falta")</f>
        <v>20017500</v>
      </c>
      <c r="D4" s="159" t="s">
        <v>2288</v>
      </c>
      <c r="E4" s="136" t="s">
        <v>596</v>
      </c>
      <c r="F4" s="137">
        <v>46200</v>
      </c>
      <c r="G4" s="137">
        <v>60434</v>
      </c>
      <c r="H4" s="138">
        <v>10</v>
      </c>
      <c r="I4" s="138" t="s">
        <v>92</v>
      </c>
      <c r="J4" s="138">
        <v>0</v>
      </c>
      <c r="K4" s="137">
        <v>0</v>
      </c>
      <c r="L4" s="105">
        <f t="shared" ref="L4:L35" si="1">+G4+K4</f>
        <v>60434</v>
      </c>
      <c r="M4" s="135"/>
    </row>
    <row r="5" spans="1:13" ht="30" customHeight="1" x14ac:dyDescent="0.2">
      <c r="A5" s="134" t="s">
        <v>2289</v>
      </c>
      <c r="B5" s="101" t="str">
        <f t="shared" si="0"/>
        <v>20024000</v>
      </c>
      <c r="D5" s="159" t="s">
        <v>2289</v>
      </c>
      <c r="E5" s="136" t="s">
        <v>150</v>
      </c>
      <c r="F5" s="137">
        <v>34000</v>
      </c>
      <c r="G5" s="137">
        <v>43700</v>
      </c>
      <c r="H5" s="138">
        <v>10</v>
      </c>
      <c r="I5" s="138" t="s">
        <v>92</v>
      </c>
      <c r="J5" s="138">
        <v>0</v>
      </c>
      <c r="K5" s="137">
        <v>0</v>
      </c>
      <c r="L5" s="105">
        <f t="shared" si="1"/>
        <v>43700</v>
      </c>
      <c r="M5" s="135"/>
    </row>
    <row r="6" spans="1:13" ht="30" customHeight="1" x14ac:dyDescent="0.2">
      <c r="A6" s="134" t="s">
        <v>2290</v>
      </c>
      <c r="B6" s="101" t="str">
        <f t="shared" si="0"/>
        <v>20053100</v>
      </c>
      <c r="D6" s="159" t="s">
        <v>2290</v>
      </c>
      <c r="E6" s="136" t="s">
        <v>599</v>
      </c>
      <c r="F6" s="137">
        <v>66000</v>
      </c>
      <c r="G6" s="137">
        <v>41528</v>
      </c>
      <c r="H6" s="138">
        <v>10</v>
      </c>
      <c r="I6" s="138" t="s">
        <v>93</v>
      </c>
      <c r="J6" s="138">
        <v>2</v>
      </c>
      <c r="K6" s="137">
        <v>8305</v>
      </c>
      <c r="L6" s="105">
        <f t="shared" si="1"/>
        <v>49833</v>
      </c>
      <c r="M6" s="133" t="s">
        <v>2723</v>
      </c>
    </row>
    <row r="7" spans="1:13" ht="30" customHeight="1" x14ac:dyDescent="0.2">
      <c r="A7" s="134" t="s">
        <v>2291</v>
      </c>
      <c r="B7" s="101" t="str">
        <f t="shared" si="0"/>
        <v>20053900</v>
      </c>
      <c r="D7" s="79" t="s">
        <v>2291</v>
      </c>
      <c r="E7" s="25" t="s">
        <v>600</v>
      </c>
      <c r="F7" s="137">
        <v>54000</v>
      </c>
      <c r="G7" s="137">
        <v>48680</v>
      </c>
      <c r="H7" s="138">
        <v>10</v>
      </c>
      <c r="I7" s="138" t="s">
        <v>93</v>
      </c>
      <c r="J7" s="138">
        <v>10</v>
      </c>
      <c r="K7" s="137">
        <v>18270</v>
      </c>
      <c r="L7" s="105">
        <f t="shared" si="1"/>
        <v>66950</v>
      </c>
    </row>
    <row r="8" spans="1:13" ht="30" customHeight="1" x14ac:dyDescent="0.2">
      <c r="A8" s="134" t="s">
        <v>2292</v>
      </c>
      <c r="B8" s="101" t="str">
        <f t="shared" si="0"/>
        <v>20089000</v>
      </c>
      <c r="D8" s="79" t="s">
        <v>2292</v>
      </c>
      <c r="E8" s="25" t="s">
        <v>601</v>
      </c>
      <c r="F8" s="137">
        <v>3000</v>
      </c>
      <c r="G8" s="137">
        <v>3000</v>
      </c>
      <c r="H8" s="138">
        <v>10</v>
      </c>
      <c r="I8" s="138" t="s">
        <v>92</v>
      </c>
      <c r="J8" s="138">
        <v>0</v>
      </c>
      <c r="K8" s="137">
        <v>0</v>
      </c>
      <c r="L8" s="105">
        <f t="shared" si="1"/>
        <v>3000</v>
      </c>
      <c r="M8" s="133" t="s">
        <v>2701</v>
      </c>
    </row>
    <row r="9" spans="1:13" ht="30" customHeight="1" x14ac:dyDescent="0.2">
      <c r="A9" s="134" t="s">
        <v>2293</v>
      </c>
      <c r="B9" s="101" t="str">
        <f t="shared" si="0"/>
        <v>20096900</v>
      </c>
      <c r="D9" s="159" t="s">
        <v>2293</v>
      </c>
      <c r="E9" s="136" t="s">
        <v>160</v>
      </c>
      <c r="F9" s="137">
        <v>22500</v>
      </c>
      <c r="G9" s="137">
        <v>22500</v>
      </c>
      <c r="H9" s="138">
        <v>10</v>
      </c>
      <c r="I9" s="138" t="s">
        <v>92</v>
      </c>
      <c r="J9" s="138">
        <v>0</v>
      </c>
      <c r="K9" s="137">
        <v>0</v>
      </c>
      <c r="L9" s="105">
        <f t="shared" si="1"/>
        <v>22500</v>
      </c>
      <c r="M9" s="135" t="s">
        <v>2132</v>
      </c>
    </row>
    <row r="10" spans="1:13" ht="30" customHeight="1" x14ac:dyDescent="0.2">
      <c r="A10" s="134" t="s">
        <v>2294</v>
      </c>
      <c r="B10" s="101" t="str">
        <f t="shared" si="0"/>
        <v>20142000</v>
      </c>
      <c r="D10" s="79" t="s">
        <v>2294</v>
      </c>
      <c r="E10" s="25" t="s">
        <v>454</v>
      </c>
      <c r="F10" s="137">
        <v>40000</v>
      </c>
      <c r="G10" s="137">
        <v>40000</v>
      </c>
      <c r="H10" s="138">
        <v>12</v>
      </c>
      <c r="I10" s="138" t="s">
        <v>92</v>
      </c>
      <c r="J10" s="138">
        <v>0</v>
      </c>
      <c r="K10" s="137">
        <v>0</v>
      </c>
      <c r="L10" s="105">
        <f t="shared" si="1"/>
        <v>40000</v>
      </c>
    </row>
    <row r="11" spans="1:13" ht="30" customHeight="1" x14ac:dyDescent="0.2">
      <c r="A11" s="134" t="s">
        <v>2295</v>
      </c>
      <c r="B11" s="101" t="str">
        <f t="shared" si="0"/>
        <v>20174400</v>
      </c>
      <c r="D11" s="134" t="s">
        <v>2295</v>
      </c>
      <c r="E11" s="136" t="s">
        <v>602</v>
      </c>
      <c r="F11" s="137">
        <v>90000</v>
      </c>
      <c r="G11" s="137">
        <v>47260</v>
      </c>
      <c r="H11" s="138">
        <v>10</v>
      </c>
      <c r="I11" s="138" t="s">
        <v>92</v>
      </c>
      <c r="J11" s="138">
        <v>0</v>
      </c>
      <c r="K11" s="137">
        <v>0</v>
      </c>
      <c r="L11" s="105">
        <f t="shared" si="1"/>
        <v>47260</v>
      </c>
    </row>
    <row r="12" spans="1:13" ht="30" customHeight="1" x14ac:dyDescent="0.2">
      <c r="A12" s="134" t="s">
        <v>2296</v>
      </c>
      <c r="B12" s="101" t="str">
        <f t="shared" si="0"/>
        <v>20191900</v>
      </c>
      <c r="D12" s="159" t="s">
        <v>2296</v>
      </c>
      <c r="E12" s="136" t="s">
        <v>468</v>
      </c>
      <c r="F12" s="137">
        <v>31500</v>
      </c>
      <c r="G12" s="137">
        <v>33216</v>
      </c>
      <c r="H12" s="138">
        <v>10</v>
      </c>
      <c r="I12" s="138" t="s">
        <v>93</v>
      </c>
      <c r="J12" s="138">
        <v>10</v>
      </c>
      <c r="K12" s="137">
        <v>6643.2</v>
      </c>
      <c r="L12" s="105">
        <f t="shared" si="1"/>
        <v>39859.199999999997</v>
      </c>
      <c r="M12" s="135" t="s">
        <v>2133</v>
      </c>
    </row>
    <row r="13" spans="1:13" ht="30" customHeight="1" x14ac:dyDescent="0.2">
      <c r="A13" s="134" t="s">
        <v>2297</v>
      </c>
      <c r="B13" s="101" t="str">
        <f t="shared" si="0"/>
        <v>20224200</v>
      </c>
      <c r="D13" s="79" t="s">
        <v>2297</v>
      </c>
      <c r="E13" s="25" t="s">
        <v>603</v>
      </c>
      <c r="F13" s="137">
        <v>33000</v>
      </c>
      <c r="G13" s="137">
        <v>42000</v>
      </c>
      <c r="H13" s="138">
        <v>10</v>
      </c>
      <c r="I13" s="138" t="s">
        <v>92</v>
      </c>
      <c r="J13" s="138">
        <v>0</v>
      </c>
      <c r="K13" s="137">
        <v>0</v>
      </c>
      <c r="L13" s="105">
        <f t="shared" si="1"/>
        <v>42000</v>
      </c>
    </row>
    <row r="14" spans="1:13" ht="30" customHeight="1" x14ac:dyDescent="0.2">
      <c r="A14" s="134" t="s">
        <v>2298</v>
      </c>
      <c r="B14" s="101" t="str">
        <f t="shared" si="0"/>
        <v>20234600</v>
      </c>
      <c r="D14" s="79" t="s">
        <v>2298</v>
      </c>
      <c r="E14" s="25" t="s">
        <v>558</v>
      </c>
      <c r="F14" s="137">
        <v>30000</v>
      </c>
      <c r="G14" s="137">
        <v>45000</v>
      </c>
      <c r="H14" s="138">
        <v>10</v>
      </c>
      <c r="I14" s="138" t="s">
        <v>92</v>
      </c>
      <c r="J14" s="138">
        <v>0</v>
      </c>
      <c r="K14" s="137">
        <v>0</v>
      </c>
      <c r="L14" s="105">
        <f t="shared" si="1"/>
        <v>45000</v>
      </c>
    </row>
    <row r="15" spans="1:13" ht="30" customHeight="1" x14ac:dyDescent="0.2">
      <c r="A15" s="134" t="s">
        <v>2299</v>
      </c>
      <c r="B15" s="101" t="str">
        <f t="shared" si="0"/>
        <v>20245000</v>
      </c>
      <c r="D15" s="159" t="s">
        <v>2299</v>
      </c>
      <c r="E15" s="136" t="s">
        <v>604</v>
      </c>
      <c r="F15" s="137">
        <v>22000</v>
      </c>
      <c r="G15" s="137">
        <v>16000</v>
      </c>
      <c r="H15" s="138">
        <v>10</v>
      </c>
      <c r="I15" s="138" t="s">
        <v>92</v>
      </c>
      <c r="J15" s="138">
        <v>0</v>
      </c>
      <c r="K15" s="137">
        <v>0</v>
      </c>
      <c r="L15" s="105">
        <f t="shared" si="1"/>
        <v>16000</v>
      </c>
      <c r="M15" s="135"/>
    </row>
    <row r="16" spans="1:13" ht="30" customHeight="1" x14ac:dyDescent="0.2">
      <c r="A16" s="134" t="s">
        <v>2300</v>
      </c>
      <c r="B16" s="101" t="str">
        <f t="shared" si="0"/>
        <v>20282200</v>
      </c>
      <c r="D16" s="79" t="s">
        <v>2300</v>
      </c>
      <c r="E16" s="25" t="s">
        <v>182</v>
      </c>
      <c r="F16" s="137">
        <v>50000</v>
      </c>
      <c r="G16" s="137">
        <v>42000</v>
      </c>
      <c r="H16" s="138">
        <v>10</v>
      </c>
      <c r="I16" s="138" t="s">
        <v>92</v>
      </c>
      <c r="J16" s="138">
        <v>0</v>
      </c>
      <c r="K16" s="137">
        <v>0</v>
      </c>
      <c r="L16" s="105">
        <f t="shared" si="1"/>
        <v>42000</v>
      </c>
    </row>
    <row r="17" spans="1:13" ht="30" customHeight="1" x14ac:dyDescent="0.2">
      <c r="A17" s="134" t="s">
        <v>2379</v>
      </c>
      <c r="B17" s="101" t="str">
        <f t="shared" si="0"/>
        <v>20282300</v>
      </c>
      <c r="D17" s="159" t="s">
        <v>2379</v>
      </c>
      <c r="E17" s="136" t="s">
        <v>469</v>
      </c>
      <c r="F17" s="137">
        <v>35000</v>
      </c>
      <c r="G17" s="137">
        <v>30000</v>
      </c>
      <c r="H17" s="138">
        <v>10</v>
      </c>
      <c r="I17" s="138" t="s">
        <v>92</v>
      </c>
      <c r="J17" s="138">
        <v>0</v>
      </c>
      <c r="K17" s="137">
        <v>0</v>
      </c>
      <c r="L17" s="105">
        <f t="shared" si="1"/>
        <v>30000</v>
      </c>
      <c r="M17" s="135"/>
    </row>
    <row r="18" spans="1:13" ht="30" customHeight="1" x14ac:dyDescent="0.2">
      <c r="A18" s="134" t="s">
        <v>2301</v>
      </c>
      <c r="B18" s="101" t="str">
        <f t="shared" si="0"/>
        <v>20286200</v>
      </c>
      <c r="D18" s="79" t="s">
        <v>2301</v>
      </c>
      <c r="E18" s="25" t="s">
        <v>470</v>
      </c>
      <c r="F18" s="137">
        <v>15000</v>
      </c>
      <c r="G18" s="137">
        <v>33000</v>
      </c>
      <c r="H18" s="138">
        <v>10</v>
      </c>
      <c r="I18" s="138" t="s">
        <v>92</v>
      </c>
      <c r="J18" s="138">
        <v>0</v>
      </c>
      <c r="K18" s="137">
        <v>0</v>
      </c>
      <c r="L18" s="105">
        <f t="shared" si="1"/>
        <v>33000</v>
      </c>
    </row>
    <row r="19" spans="1:13" ht="30" customHeight="1" x14ac:dyDescent="0.2">
      <c r="A19" s="134" t="s">
        <v>2302</v>
      </c>
      <c r="B19" s="101" t="str">
        <f t="shared" si="0"/>
        <v>20299400</v>
      </c>
      <c r="D19" s="79" t="s">
        <v>2302</v>
      </c>
      <c r="E19" s="25" t="s">
        <v>605</v>
      </c>
      <c r="F19" s="137">
        <v>12600</v>
      </c>
      <c r="G19" s="137">
        <v>20000</v>
      </c>
      <c r="H19" s="138">
        <v>10</v>
      </c>
      <c r="I19" s="138" t="s">
        <v>92</v>
      </c>
      <c r="J19" s="138">
        <v>0</v>
      </c>
      <c r="K19" s="137">
        <v>0</v>
      </c>
      <c r="L19" s="105">
        <f t="shared" si="1"/>
        <v>20000</v>
      </c>
      <c r="M19" s="133" t="s">
        <v>2700</v>
      </c>
    </row>
    <row r="20" spans="1:13" ht="30" customHeight="1" x14ac:dyDescent="0.2">
      <c r="A20" s="134" t="s">
        <v>2303</v>
      </c>
      <c r="B20" s="101" t="str">
        <f t="shared" si="0"/>
        <v>20304900</v>
      </c>
      <c r="D20" s="79" t="s">
        <v>2303</v>
      </c>
      <c r="E20" s="25" t="s">
        <v>563</v>
      </c>
      <c r="F20" s="137">
        <v>30000</v>
      </c>
      <c r="G20" s="137">
        <v>30000</v>
      </c>
      <c r="H20" s="138">
        <v>10</v>
      </c>
      <c r="I20" s="138" t="s">
        <v>92</v>
      </c>
      <c r="J20" s="138">
        <v>0</v>
      </c>
      <c r="K20" s="137">
        <v>0</v>
      </c>
      <c r="L20" s="105">
        <f t="shared" si="1"/>
        <v>30000</v>
      </c>
    </row>
    <row r="21" spans="1:13" ht="30" customHeight="1" x14ac:dyDescent="0.2">
      <c r="A21" s="134" t="s">
        <v>2304</v>
      </c>
      <c r="B21" s="101" t="str">
        <f t="shared" si="0"/>
        <v>20314900</v>
      </c>
      <c r="D21" s="159" t="s">
        <v>2304</v>
      </c>
      <c r="E21" s="136" t="s">
        <v>471</v>
      </c>
      <c r="F21" s="137">
        <v>0</v>
      </c>
      <c r="G21" s="137">
        <v>0</v>
      </c>
      <c r="H21" s="138">
        <v>0</v>
      </c>
      <c r="I21" s="138" t="s">
        <v>92</v>
      </c>
      <c r="J21" s="138">
        <v>0</v>
      </c>
      <c r="K21" s="137">
        <v>0</v>
      </c>
      <c r="L21" s="105">
        <f t="shared" si="1"/>
        <v>0</v>
      </c>
      <c r="M21" s="135" t="s">
        <v>2134</v>
      </c>
    </row>
    <row r="22" spans="1:13" ht="30" customHeight="1" x14ac:dyDescent="0.2">
      <c r="A22" s="133" t="s">
        <v>2305</v>
      </c>
      <c r="B22" s="101" t="str">
        <f t="shared" si="0"/>
        <v>60011700</v>
      </c>
      <c r="D22" s="159" t="s">
        <v>2305</v>
      </c>
      <c r="E22" s="136" t="s">
        <v>184</v>
      </c>
      <c r="F22" s="137">
        <v>22000</v>
      </c>
      <c r="G22" s="137">
        <v>26000</v>
      </c>
      <c r="H22" s="138">
        <v>10</v>
      </c>
      <c r="I22" s="138" t="s">
        <v>92</v>
      </c>
      <c r="J22" s="138">
        <v>0</v>
      </c>
      <c r="K22" s="137">
        <v>0</v>
      </c>
      <c r="L22" s="105">
        <f t="shared" si="1"/>
        <v>26000</v>
      </c>
      <c r="M22" s="135"/>
    </row>
    <row r="23" spans="1:13" ht="30" customHeight="1" x14ac:dyDescent="0.2">
      <c r="A23" s="134" t="s">
        <v>2306</v>
      </c>
      <c r="B23" s="101" t="str">
        <f t="shared" si="0"/>
        <v>60021000</v>
      </c>
      <c r="D23" s="159" t="s">
        <v>2306</v>
      </c>
      <c r="E23" s="136" t="s">
        <v>567</v>
      </c>
      <c r="F23" s="137">
        <v>0</v>
      </c>
      <c r="G23" s="137">
        <v>0</v>
      </c>
      <c r="H23" s="138">
        <v>0</v>
      </c>
      <c r="I23" s="138" t="s">
        <v>92</v>
      </c>
      <c r="J23" s="138">
        <v>0</v>
      </c>
      <c r="K23" s="137">
        <v>0</v>
      </c>
      <c r="L23" s="105">
        <f t="shared" si="1"/>
        <v>0</v>
      </c>
      <c r="M23" s="135" t="s">
        <v>2151</v>
      </c>
    </row>
    <row r="24" spans="1:13" ht="30" customHeight="1" x14ac:dyDescent="0.2">
      <c r="A24" s="133" t="s">
        <v>2307</v>
      </c>
      <c r="B24" s="101" t="str">
        <f t="shared" si="0"/>
        <v>60167400</v>
      </c>
      <c r="D24" s="159" t="s">
        <v>2307</v>
      </c>
      <c r="E24" s="136" t="s">
        <v>608</v>
      </c>
      <c r="F24" s="137">
        <v>43000</v>
      </c>
      <c r="G24" s="137">
        <v>62000</v>
      </c>
      <c r="H24" s="138">
        <v>10</v>
      </c>
      <c r="I24" s="138" t="s">
        <v>92</v>
      </c>
      <c r="J24" s="138">
        <v>0</v>
      </c>
      <c r="K24" s="137">
        <v>0</v>
      </c>
      <c r="L24" s="105">
        <f t="shared" si="1"/>
        <v>62000</v>
      </c>
      <c r="M24" s="135"/>
    </row>
    <row r="25" spans="1:13" ht="30" customHeight="1" x14ac:dyDescent="0.2">
      <c r="A25" s="133" t="s">
        <v>2308</v>
      </c>
      <c r="B25" s="101" t="str">
        <f t="shared" si="0"/>
        <v>60611700</v>
      </c>
      <c r="D25" s="159" t="s">
        <v>2308</v>
      </c>
      <c r="E25" s="136" t="s">
        <v>206</v>
      </c>
      <c r="F25" s="137">
        <v>51509.760000000002</v>
      </c>
      <c r="G25" s="137">
        <v>34339.839999999997</v>
      </c>
      <c r="H25" s="138">
        <v>10</v>
      </c>
      <c r="I25" s="138" t="s">
        <v>93</v>
      </c>
      <c r="J25" s="138">
        <v>2</v>
      </c>
      <c r="K25" s="137">
        <v>7795.2</v>
      </c>
      <c r="L25" s="105">
        <f t="shared" si="1"/>
        <v>42135.039999999994</v>
      </c>
      <c r="M25" s="135" t="s">
        <v>2135</v>
      </c>
    </row>
    <row r="26" spans="1:13" ht="30" customHeight="1" x14ac:dyDescent="0.2">
      <c r="A26" s="133" t="s">
        <v>2309</v>
      </c>
      <c r="B26" s="101" t="str">
        <f t="shared" si="0"/>
        <v>60643100</v>
      </c>
      <c r="D26" s="159" t="s">
        <v>2309</v>
      </c>
      <c r="E26" s="136" t="s">
        <v>611</v>
      </c>
      <c r="F26" s="137">
        <v>59724</v>
      </c>
      <c r="G26" s="137">
        <v>72000</v>
      </c>
      <c r="H26" s="138">
        <v>10</v>
      </c>
      <c r="I26" s="138" t="s">
        <v>92</v>
      </c>
      <c r="J26" s="138">
        <v>0</v>
      </c>
      <c r="K26" s="137">
        <v>0</v>
      </c>
      <c r="L26" s="105">
        <f t="shared" si="1"/>
        <v>72000</v>
      </c>
      <c r="M26" s="135" t="s">
        <v>2136</v>
      </c>
    </row>
    <row r="27" spans="1:13" ht="30" customHeight="1" x14ac:dyDescent="0.2">
      <c r="A27" s="133" t="s">
        <v>2310</v>
      </c>
      <c r="B27" s="101" t="str">
        <f t="shared" si="0"/>
        <v>60652600</v>
      </c>
      <c r="D27" s="159" t="s">
        <v>2310</v>
      </c>
      <c r="E27" s="136" t="s">
        <v>208</v>
      </c>
      <c r="F27" s="137">
        <v>30000</v>
      </c>
      <c r="G27" s="137">
        <v>27710</v>
      </c>
      <c r="H27" s="138">
        <v>10</v>
      </c>
      <c r="I27" s="138" t="s">
        <v>92</v>
      </c>
      <c r="J27" s="138">
        <v>0</v>
      </c>
      <c r="K27" s="137">
        <v>0</v>
      </c>
      <c r="L27" s="105">
        <f t="shared" si="1"/>
        <v>27710</v>
      </c>
      <c r="M27" s="135"/>
    </row>
    <row r="28" spans="1:13" ht="30" customHeight="1" x14ac:dyDescent="0.2">
      <c r="A28" s="133" t="s">
        <v>2311</v>
      </c>
      <c r="B28" s="101" t="str">
        <f t="shared" si="0"/>
        <v>60831300</v>
      </c>
      <c r="D28" s="159" t="s">
        <v>2311</v>
      </c>
      <c r="E28" s="136" t="s">
        <v>617</v>
      </c>
      <c r="F28" s="137">
        <v>30000</v>
      </c>
      <c r="G28" s="137">
        <v>32840</v>
      </c>
      <c r="H28" s="138">
        <v>10</v>
      </c>
      <c r="I28" s="138" t="s">
        <v>93</v>
      </c>
      <c r="J28" s="138">
        <v>10</v>
      </c>
      <c r="K28" s="137">
        <v>10050</v>
      </c>
      <c r="L28" s="105">
        <f t="shared" si="1"/>
        <v>42890</v>
      </c>
      <c r="M28" s="135"/>
    </row>
    <row r="29" spans="1:13" ht="30" customHeight="1" x14ac:dyDescent="0.2">
      <c r="A29" s="134" t="s">
        <v>2312</v>
      </c>
      <c r="B29" s="101" t="str">
        <f t="shared" si="0"/>
        <v>60863000</v>
      </c>
      <c r="D29" s="159" t="s">
        <v>2312</v>
      </c>
      <c r="E29" s="136" t="s">
        <v>233</v>
      </c>
      <c r="F29" s="137">
        <v>40924.800000000003</v>
      </c>
      <c r="G29" s="137">
        <v>43400</v>
      </c>
      <c r="H29" s="138">
        <v>10</v>
      </c>
      <c r="I29" s="138" t="s">
        <v>92</v>
      </c>
      <c r="J29" s="138">
        <v>0</v>
      </c>
      <c r="K29" s="137">
        <v>0</v>
      </c>
      <c r="L29" s="105">
        <f t="shared" si="1"/>
        <v>43400</v>
      </c>
      <c r="M29" s="135"/>
    </row>
    <row r="30" spans="1:13" ht="30" customHeight="1" x14ac:dyDescent="0.2">
      <c r="A30" s="133" t="s">
        <v>2313</v>
      </c>
      <c r="B30" s="101" t="str">
        <f t="shared" si="0"/>
        <v>60877900</v>
      </c>
      <c r="D30" s="159" t="s">
        <v>2313</v>
      </c>
      <c r="E30" s="136" t="s">
        <v>452</v>
      </c>
      <c r="F30" s="137">
        <v>27658.799999999999</v>
      </c>
      <c r="G30" s="137">
        <v>30892.799999999999</v>
      </c>
      <c r="H30" s="138">
        <v>10</v>
      </c>
      <c r="I30" s="138" t="s">
        <v>92</v>
      </c>
      <c r="J30" s="138">
        <v>0</v>
      </c>
      <c r="K30" s="137">
        <v>0</v>
      </c>
      <c r="L30" s="105">
        <f t="shared" si="1"/>
        <v>30892.799999999999</v>
      </c>
      <c r="M30" s="135"/>
    </row>
    <row r="31" spans="1:13" ht="30" customHeight="1" x14ac:dyDescent="0.2">
      <c r="A31" s="133" t="s">
        <v>2314</v>
      </c>
      <c r="B31" s="101" t="str">
        <f t="shared" si="0"/>
        <v>61185300</v>
      </c>
      <c r="D31" s="159" t="s">
        <v>2314</v>
      </c>
      <c r="E31" s="136" t="s">
        <v>1868</v>
      </c>
      <c r="F31" s="137">
        <v>22486</v>
      </c>
      <c r="G31" s="137">
        <v>28410</v>
      </c>
      <c r="H31" s="138">
        <v>10</v>
      </c>
      <c r="I31" s="138" t="s">
        <v>92</v>
      </c>
      <c r="J31" s="138">
        <v>0</v>
      </c>
      <c r="K31" s="137">
        <v>0</v>
      </c>
      <c r="L31" s="105">
        <f t="shared" si="1"/>
        <v>28410</v>
      </c>
      <c r="M31" s="135" t="s">
        <v>2137</v>
      </c>
    </row>
    <row r="32" spans="1:13" ht="30" customHeight="1" x14ac:dyDescent="0.2">
      <c r="A32" s="134" t="s">
        <v>2316</v>
      </c>
      <c r="B32" s="101" t="str">
        <f t="shared" si="0"/>
        <v>61233400</v>
      </c>
      <c r="D32" s="159" t="s">
        <v>2316</v>
      </c>
      <c r="E32" s="136" t="s">
        <v>251</v>
      </c>
      <c r="F32" s="137">
        <v>37000</v>
      </c>
      <c r="G32" s="137">
        <v>44800</v>
      </c>
      <c r="H32" s="138">
        <v>10</v>
      </c>
      <c r="I32" s="138" t="s">
        <v>93</v>
      </c>
      <c r="J32" s="138">
        <v>10</v>
      </c>
      <c r="K32" s="137">
        <v>8200</v>
      </c>
      <c r="L32" s="105">
        <f t="shared" si="1"/>
        <v>53000</v>
      </c>
      <c r="M32" s="135" t="s">
        <v>2138</v>
      </c>
    </row>
    <row r="33" spans="1:13" ht="30" customHeight="1" x14ac:dyDescent="0.2">
      <c r="A33" s="133" t="s">
        <v>2317</v>
      </c>
      <c r="B33" s="101" t="str">
        <f t="shared" si="0"/>
        <v>61337200</v>
      </c>
      <c r="D33" s="159" t="s">
        <v>2317</v>
      </c>
      <c r="E33" s="136" t="s">
        <v>624</v>
      </c>
      <c r="F33" s="137">
        <v>25111</v>
      </c>
      <c r="G33" s="137">
        <v>28641</v>
      </c>
      <c r="H33" s="138">
        <v>10</v>
      </c>
      <c r="I33" s="138" t="s">
        <v>92</v>
      </c>
      <c r="J33" s="138">
        <v>0</v>
      </c>
      <c r="K33" s="137">
        <v>0</v>
      </c>
      <c r="L33" s="105">
        <f t="shared" si="1"/>
        <v>28641</v>
      </c>
      <c r="M33" s="135" t="s">
        <v>2139</v>
      </c>
    </row>
    <row r="34" spans="1:13" ht="30" customHeight="1" x14ac:dyDescent="0.2">
      <c r="A34" s="134" t="s">
        <v>2287</v>
      </c>
      <c r="B34" s="101" t="str">
        <f t="shared" si="0"/>
        <v>61578100</v>
      </c>
      <c r="D34" s="159" t="s">
        <v>2287</v>
      </c>
      <c r="E34" s="136" t="s">
        <v>625</v>
      </c>
      <c r="F34" s="137">
        <v>45000</v>
      </c>
      <c r="G34" s="137">
        <v>60000</v>
      </c>
      <c r="H34" s="138">
        <v>10</v>
      </c>
      <c r="I34" s="138" t="s">
        <v>92</v>
      </c>
      <c r="J34" s="138">
        <v>0</v>
      </c>
      <c r="K34" s="137">
        <v>0</v>
      </c>
      <c r="L34" s="105">
        <f t="shared" si="1"/>
        <v>60000</v>
      </c>
      <c r="M34" s="135"/>
    </row>
    <row r="35" spans="1:13" ht="30" customHeight="1" x14ac:dyDescent="0.2">
      <c r="A35" s="133" t="s">
        <v>2318</v>
      </c>
      <c r="B35" s="101" t="str">
        <f t="shared" si="0"/>
        <v>62111300</v>
      </c>
      <c r="D35" s="159" t="s">
        <v>2318</v>
      </c>
      <c r="E35" s="136" t="s">
        <v>268</v>
      </c>
      <c r="F35" s="137">
        <v>0</v>
      </c>
      <c r="G35" s="137">
        <v>0</v>
      </c>
      <c r="H35" s="138">
        <v>0</v>
      </c>
      <c r="I35" s="138" t="s">
        <v>92</v>
      </c>
      <c r="J35" s="138">
        <v>0</v>
      </c>
      <c r="K35" s="137">
        <v>0</v>
      </c>
      <c r="L35" s="105">
        <f t="shared" si="1"/>
        <v>0</v>
      </c>
      <c r="M35" s="135" t="s">
        <v>2140</v>
      </c>
    </row>
    <row r="36" spans="1:13" ht="30" customHeight="1" x14ac:dyDescent="0.2">
      <c r="A36" s="134" t="s">
        <v>2319</v>
      </c>
      <c r="B36" s="101" t="str">
        <f t="shared" ref="B36:B67" si="2">IFERROR(VLOOKUP(A36,D:D,1,FALSE),"Falta")</f>
        <v>62385500</v>
      </c>
      <c r="D36" s="159" t="s">
        <v>2319</v>
      </c>
      <c r="E36" s="136" t="s">
        <v>537</v>
      </c>
      <c r="F36" s="137">
        <v>6800</v>
      </c>
      <c r="G36" s="137">
        <v>6800</v>
      </c>
      <c r="H36" s="138">
        <v>10</v>
      </c>
      <c r="I36" s="138" t="s">
        <v>93</v>
      </c>
      <c r="J36" s="138">
        <v>10</v>
      </c>
      <c r="K36" s="137">
        <v>10</v>
      </c>
      <c r="L36" s="105">
        <f t="shared" ref="L36:L67" si="3">+G36+K36</f>
        <v>6810</v>
      </c>
      <c r="M36" s="135" t="s">
        <v>2141</v>
      </c>
    </row>
    <row r="37" spans="1:13" ht="30" customHeight="1" x14ac:dyDescent="0.2">
      <c r="A37" s="133" t="s">
        <v>2320</v>
      </c>
      <c r="B37" s="101" t="str">
        <f t="shared" si="2"/>
        <v>140233600</v>
      </c>
      <c r="D37" s="79" t="s">
        <v>2320</v>
      </c>
      <c r="E37" s="25" t="s">
        <v>298</v>
      </c>
      <c r="F37" s="137">
        <v>55000</v>
      </c>
      <c r="G37" s="137">
        <v>25000</v>
      </c>
      <c r="H37" s="138">
        <v>10</v>
      </c>
      <c r="I37" s="138" t="s">
        <v>92</v>
      </c>
      <c r="J37" s="138">
        <v>0</v>
      </c>
      <c r="K37" s="137">
        <v>0</v>
      </c>
      <c r="L37" s="105">
        <f t="shared" si="3"/>
        <v>25000</v>
      </c>
    </row>
    <row r="38" spans="1:13" ht="30" customHeight="1" x14ac:dyDescent="0.2">
      <c r="A38" s="133" t="s">
        <v>2321</v>
      </c>
      <c r="B38" s="101" t="str">
        <f t="shared" si="2"/>
        <v>140261700</v>
      </c>
      <c r="D38" s="159" t="s">
        <v>2321</v>
      </c>
      <c r="E38" s="136" t="s">
        <v>643</v>
      </c>
      <c r="F38" s="137">
        <v>24000</v>
      </c>
      <c r="G38" s="137">
        <v>25000</v>
      </c>
      <c r="H38" s="138">
        <v>10</v>
      </c>
      <c r="I38" s="138" t="s">
        <v>92</v>
      </c>
      <c r="J38" s="138">
        <v>0</v>
      </c>
      <c r="K38" s="137">
        <v>0</v>
      </c>
      <c r="L38" s="105">
        <f t="shared" si="3"/>
        <v>25000</v>
      </c>
      <c r="M38" s="135"/>
    </row>
    <row r="39" spans="1:13" ht="30" customHeight="1" x14ac:dyDescent="0.2">
      <c r="A39" s="134" t="s">
        <v>2384</v>
      </c>
      <c r="B39" s="101" t="str">
        <f t="shared" si="2"/>
        <v>140319700</v>
      </c>
      <c r="D39" s="79" t="s">
        <v>2384</v>
      </c>
      <c r="E39" s="25" t="s">
        <v>478</v>
      </c>
      <c r="F39" s="137">
        <v>45000</v>
      </c>
      <c r="G39" s="137">
        <v>42000</v>
      </c>
      <c r="H39" s="138">
        <v>12</v>
      </c>
      <c r="I39" s="138" t="s">
        <v>92</v>
      </c>
      <c r="J39" s="138">
        <v>0</v>
      </c>
      <c r="K39" s="137">
        <v>0</v>
      </c>
      <c r="L39" s="105">
        <f t="shared" si="3"/>
        <v>42000</v>
      </c>
    </row>
    <row r="40" spans="1:13" ht="30" customHeight="1" x14ac:dyDescent="0.2">
      <c r="A40" s="133" t="s">
        <v>2385</v>
      </c>
      <c r="B40" s="101" t="str">
        <f t="shared" si="2"/>
        <v>140322200</v>
      </c>
      <c r="D40" s="159" t="s">
        <v>2385</v>
      </c>
      <c r="E40" s="136" t="s">
        <v>301</v>
      </c>
      <c r="F40" s="137">
        <v>29000</v>
      </c>
      <c r="G40" s="137">
        <v>26000</v>
      </c>
      <c r="H40" s="138">
        <v>10</v>
      </c>
      <c r="I40" s="138" t="s">
        <v>92</v>
      </c>
      <c r="J40" s="138">
        <v>0</v>
      </c>
      <c r="K40" s="137">
        <v>0</v>
      </c>
      <c r="L40" s="105">
        <f t="shared" si="3"/>
        <v>26000</v>
      </c>
      <c r="M40" s="135"/>
    </row>
    <row r="41" spans="1:13" ht="30" customHeight="1" x14ac:dyDescent="0.2">
      <c r="A41" s="133" t="s">
        <v>2322</v>
      </c>
      <c r="B41" s="101" t="str">
        <f t="shared" si="2"/>
        <v>140333900</v>
      </c>
      <c r="D41" s="159" t="s">
        <v>2322</v>
      </c>
      <c r="E41" s="136" t="s">
        <v>161</v>
      </c>
      <c r="F41" s="137">
        <v>55000</v>
      </c>
      <c r="G41" s="137">
        <v>40000</v>
      </c>
      <c r="H41" s="138">
        <v>10</v>
      </c>
      <c r="I41" s="138" t="s">
        <v>92</v>
      </c>
      <c r="J41" s="138">
        <v>0</v>
      </c>
      <c r="K41" s="137">
        <v>0</v>
      </c>
      <c r="L41" s="105">
        <f t="shared" si="3"/>
        <v>40000</v>
      </c>
      <c r="M41" s="135"/>
    </row>
    <row r="42" spans="1:13" ht="30" customHeight="1" x14ac:dyDescent="0.2">
      <c r="A42" s="133" t="s">
        <v>2323</v>
      </c>
      <c r="B42" s="101" t="str">
        <f t="shared" si="2"/>
        <v>140443800</v>
      </c>
      <c r="D42" s="159" t="s">
        <v>2323</v>
      </c>
      <c r="E42" s="136" t="s">
        <v>646</v>
      </c>
      <c r="F42" s="137">
        <v>105000</v>
      </c>
      <c r="G42" s="137">
        <v>63480</v>
      </c>
      <c r="H42" s="138">
        <v>10</v>
      </c>
      <c r="I42" s="138" t="s">
        <v>92</v>
      </c>
      <c r="J42" s="138">
        <v>0</v>
      </c>
      <c r="K42" s="137">
        <v>0</v>
      </c>
      <c r="L42" s="105">
        <f t="shared" si="3"/>
        <v>63480</v>
      </c>
      <c r="M42" s="135"/>
    </row>
    <row r="43" spans="1:13" ht="30" customHeight="1" x14ac:dyDescent="0.2">
      <c r="A43" s="133" t="s">
        <v>2324</v>
      </c>
      <c r="B43" s="101" t="str">
        <f t="shared" si="2"/>
        <v>140463300</v>
      </c>
      <c r="D43" s="159" t="s">
        <v>2324</v>
      </c>
      <c r="E43" s="136" t="s">
        <v>568</v>
      </c>
      <c r="F43" s="137">
        <v>20000</v>
      </c>
      <c r="G43" s="137">
        <v>20000</v>
      </c>
      <c r="H43" s="138">
        <v>10</v>
      </c>
      <c r="I43" s="138" t="s">
        <v>92</v>
      </c>
      <c r="J43" s="138">
        <v>0</v>
      </c>
      <c r="K43" s="137">
        <v>0</v>
      </c>
      <c r="L43" s="105">
        <f t="shared" si="3"/>
        <v>20000</v>
      </c>
      <c r="M43" s="135"/>
    </row>
    <row r="44" spans="1:13" ht="30" customHeight="1" x14ac:dyDescent="0.2">
      <c r="A44" s="133" t="s">
        <v>2386</v>
      </c>
      <c r="B44" s="101" t="str">
        <f t="shared" si="2"/>
        <v>140488900</v>
      </c>
      <c r="D44" s="159" t="s">
        <v>2386</v>
      </c>
      <c r="E44" s="136" t="s">
        <v>647</v>
      </c>
      <c r="F44" s="137">
        <v>65000</v>
      </c>
      <c r="G44" s="137">
        <v>40000</v>
      </c>
      <c r="H44" s="138">
        <v>10</v>
      </c>
      <c r="I44" s="138" t="s">
        <v>92</v>
      </c>
      <c r="J44" s="138">
        <v>0</v>
      </c>
      <c r="K44" s="137">
        <v>0</v>
      </c>
      <c r="L44" s="105">
        <f t="shared" si="3"/>
        <v>40000</v>
      </c>
      <c r="M44" s="135"/>
    </row>
    <row r="45" spans="1:13" ht="30" customHeight="1" x14ac:dyDescent="0.2">
      <c r="A45" s="133" t="s">
        <v>2325</v>
      </c>
      <c r="B45" s="101" t="str">
        <f t="shared" si="2"/>
        <v>140510100</v>
      </c>
      <c r="D45" s="159" t="s">
        <v>2325</v>
      </c>
      <c r="E45" s="136" t="s">
        <v>648</v>
      </c>
      <c r="F45" s="137">
        <v>30000</v>
      </c>
      <c r="G45" s="137">
        <v>15000</v>
      </c>
      <c r="H45" s="138">
        <v>10</v>
      </c>
      <c r="I45" s="138" t="s">
        <v>92</v>
      </c>
      <c r="J45" s="138">
        <v>0</v>
      </c>
      <c r="K45" s="137">
        <v>0</v>
      </c>
      <c r="L45" s="105">
        <f t="shared" si="3"/>
        <v>15000</v>
      </c>
      <c r="M45" s="135"/>
    </row>
    <row r="46" spans="1:13" ht="30" customHeight="1" x14ac:dyDescent="0.2">
      <c r="A46" s="133" t="s">
        <v>2326</v>
      </c>
      <c r="B46" s="101" t="str">
        <f t="shared" si="2"/>
        <v>140510101</v>
      </c>
      <c r="D46" s="159" t="s">
        <v>2326</v>
      </c>
      <c r="E46" s="136" t="s">
        <v>164</v>
      </c>
      <c r="F46" s="137">
        <v>30000</v>
      </c>
      <c r="G46" s="137">
        <v>15000</v>
      </c>
      <c r="H46" s="138">
        <v>10</v>
      </c>
      <c r="I46" s="138" t="s">
        <v>92</v>
      </c>
      <c r="J46" s="138">
        <v>0</v>
      </c>
      <c r="K46" s="137">
        <v>0</v>
      </c>
      <c r="L46" s="105">
        <f t="shared" si="3"/>
        <v>15000</v>
      </c>
      <c r="M46" s="135"/>
    </row>
    <row r="47" spans="1:13" ht="30" customHeight="1" x14ac:dyDescent="0.2">
      <c r="A47" s="133" t="s">
        <v>2327</v>
      </c>
      <c r="B47" s="101" t="str">
        <f t="shared" si="2"/>
        <v>140510102</v>
      </c>
      <c r="D47" s="159" t="s">
        <v>2327</v>
      </c>
      <c r="E47" s="136" t="s">
        <v>178</v>
      </c>
      <c r="F47" s="137">
        <v>30000</v>
      </c>
      <c r="G47" s="137">
        <v>15000</v>
      </c>
      <c r="H47" s="138">
        <v>10</v>
      </c>
      <c r="I47" s="138" t="s">
        <v>92</v>
      </c>
      <c r="J47" s="138">
        <v>0</v>
      </c>
      <c r="K47" s="137">
        <v>0</v>
      </c>
      <c r="L47" s="105">
        <f t="shared" si="3"/>
        <v>15000</v>
      </c>
      <c r="M47" s="135"/>
    </row>
    <row r="48" spans="1:13" ht="30" customHeight="1" x14ac:dyDescent="0.2">
      <c r="A48" s="133" t="s">
        <v>2387</v>
      </c>
      <c r="B48" s="101" t="str">
        <f t="shared" si="2"/>
        <v>140510103</v>
      </c>
      <c r="D48" s="159" t="s">
        <v>2387</v>
      </c>
      <c r="E48" s="136" t="s">
        <v>180</v>
      </c>
      <c r="F48" s="137">
        <v>30000</v>
      </c>
      <c r="G48" s="137">
        <v>15000</v>
      </c>
      <c r="H48" s="138">
        <v>10</v>
      </c>
      <c r="I48" s="138" t="s">
        <v>92</v>
      </c>
      <c r="J48" s="138">
        <v>0</v>
      </c>
      <c r="K48" s="137">
        <v>0</v>
      </c>
      <c r="L48" s="105">
        <f t="shared" si="3"/>
        <v>15000</v>
      </c>
      <c r="M48" s="135"/>
    </row>
    <row r="49" spans="1:13" ht="30" customHeight="1" x14ac:dyDescent="0.2">
      <c r="A49" s="134" t="s">
        <v>2388</v>
      </c>
      <c r="B49" s="101" t="str">
        <f t="shared" si="2"/>
        <v>140510104</v>
      </c>
      <c r="D49" s="159" t="s">
        <v>2388</v>
      </c>
      <c r="E49" s="136" t="s">
        <v>176</v>
      </c>
      <c r="F49" s="137">
        <v>30000</v>
      </c>
      <c r="G49" s="137">
        <v>15000</v>
      </c>
      <c r="H49" s="138">
        <v>10</v>
      </c>
      <c r="I49" s="138" t="s">
        <v>92</v>
      </c>
      <c r="J49" s="138">
        <v>0</v>
      </c>
      <c r="K49" s="137">
        <v>0</v>
      </c>
      <c r="L49" s="105">
        <f t="shared" si="3"/>
        <v>15000</v>
      </c>
      <c r="M49" s="135"/>
    </row>
    <row r="50" spans="1:13" ht="30" customHeight="1" x14ac:dyDescent="0.2">
      <c r="A50" s="133" t="s">
        <v>2328</v>
      </c>
      <c r="B50" s="101" t="str">
        <f t="shared" si="2"/>
        <v>140510105</v>
      </c>
      <c r="D50" s="159" t="s">
        <v>2328</v>
      </c>
      <c r="E50" s="136" t="s">
        <v>179</v>
      </c>
      <c r="F50" s="137">
        <v>30000</v>
      </c>
      <c r="G50" s="137">
        <v>15000</v>
      </c>
      <c r="H50" s="138">
        <v>10</v>
      </c>
      <c r="I50" s="138" t="s">
        <v>92</v>
      </c>
      <c r="J50" s="138">
        <v>0</v>
      </c>
      <c r="K50" s="137">
        <v>0</v>
      </c>
      <c r="L50" s="105">
        <f t="shared" si="3"/>
        <v>15000</v>
      </c>
      <c r="M50" s="135"/>
    </row>
    <row r="51" spans="1:13" ht="30" customHeight="1" x14ac:dyDescent="0.2">
      <c r="A51" s="134" t="s">
        <v>2389</v>
      </c>
      <c r="B51" s="101" t="str">
        <f t="shared" si="2"/>
        <v>140510106</v>
      </c>
      <c r="D51" s="159" t="s">
        <v>2389</v>
      </c>
      <c r="E51" s="136" t="s">
        <v>165</v>
      </c>
      <c r="F51" s="137">
        <v>30000</v>
      </c>
      <c r="G51" s="137">
        <v>15000</v>
      </c>
      <c r="H51" s="138">
        <v>10</v>
      </c>
      <c r="I51" s="138" t="s">
        <v>92</v>
      </c>
      <c r="J51" s="138">
        <v>0</v>
      </c>
      <c r="K51" s="137">
        <v>0</v>
      </c>
      <c r="L51" s="105">
        <f t="shared" si="3"/>
        <v>15000</v>
      </c>
      <c r="M51" s="135"/>
    </row>
    <row r="52" spans="1:13" ht="30" customHeight="1" x14ac:dyDescent="0.2">
      <c r="A52" s="133" t="s">
        <v>2329</v>
      </c>
      <c r="B52" s="101" t="str">
        <f t="shared" si="2"/>
        <v>140510107</v>
      </c>
      <c r="D52" s="159" t="s">
        <v>2329</v>
      </c>
      <c r="E52" s="136" t="s">
        <v>181</v>
      </c>
      <c r="F52" s="137">
        <v>30000</v>
      </c>
      <c r="G52" s="137">
        <v>15000</v>
      </c>
      <c r="H52" s="138">
        <v>10</v>
      </c>
      <c r="I52" s="138" t="s">
        <v>92</v>
      </c>
      <c r="J52" s="138">
        <v>0</v>
      </c>
      <c r="K52" s="137">
        <v>0</v>
      </c>
      <c r="L52" s="105">
        <f t="shared" si="3"/>
        <v>15000</v>
      </c>
      <c r="M52" s="135"/>
    </row>
    <row r="53" spans="1:13" ht="30" customHeight="1" x14ac:dyDescent="0.2">
      <c r="A53" s="133" t="s">
        <v>2330</v>
      </c>
      <c r="B53" s="101" t="str">
        <f t="shared" si="2"/>
        <v>140510108</v>
      </c>
      <c r="D53" s="159" t="s">
        <v>2330</v>
      </c>
      <c r="E53" s="136" t="s">
        <v>564</v>
      </c>
      <c r="F53" s="137">
        <v>30000</v>
      </c>
      <c r="G53" s="137">
        <v>15000</v>
      </c>
      <c r="H53" s="138">
        <v>10</v>
      </c>
      <c r="I53" s="138" t="s">
        <v>92</v>
      </c>
      <c r="J53" s="138">
        <v>0</v>
      </c>
      <c r="K53" s="137">
        <v>0</v>
      </c>
      <c r="L53" s="105">
        <f t="shared" si="3"/>
        <v>15000</v>
      </c>
      <c r="M53" s="135"/>
    </row>
    <row r="54" spans="1:13" ht="30" customHeight="1" x14ac:dyDescent="0.2">
      <c r="A54" s="133" t="s">
        <v>2390</v>
      </c>
      <c r="B54" s="101" t="str">
        <f t="shared" si="2"/>
        <v>140532900</v>
      </c>
      <c r="D54" s="159" t="s">
        <v>2390</v>
      </c>
      <c r="E54" s="136" t="s">
        <v>479</v>
      </c>
      <c r="F54" s="137">
        <v>65000</v>
      </c>
      <c r="G54" s="137">
        <v>50000</v>
      </c>
      <c r="H54" s="138">
        <v>10</v>
      </c>
      <c r="I54" s="138" t="s">
        <v>92</v>
      </c>
      <c r="J54" s="138">
        <v>0</v>
      </c>
      <c r="K54" s="137">
        <v>0</v>
      </c>
      <c r="L54" s="105">
        <f t="shared" si="3"/>
        <v>50000</v>
      </c>
      <c r="M54" s="135" t="s">
        <v>2150</v>
      </c>
    </row>
    <row r="55" spans="1:13" ht="30" customHeight="1" x14ac:dyDescent="0.2">
      <c r="A55" s="134" t="s">
        <v>2393</v>
      </c>
      <c r="B55" s="101" t="str">
        <f t="shared" si="2"/>
        <v>180121600</v>
      </c>
      <c r="D55" s="159" t="s">
        <v>2393</v>
      </c>
      <c r="E55" s="136" t="s">
        <v>652</v>
      </c>
      <c r="F55" s="137">
        <v>8000</v>
      </c>
      <c r="G55" s="137">
        <v>18000</v>
      </c>
      <c r="H55" s="138">
        <v>10</v>
      </c>
      <c r="I55" s="138" t="s">
        <v>92</v>
      </c>
      <c r="J55" s="138">
        <v>0</v>
      </c>
      <c r="K55" s="137">
        <v>0</v>
      </c>
      <c r="L55" s="105">
        <f t="shared" si="3"/>
        <v>18000</v>
      </c>
      <c r="M55" s="135" t="s">
        <v>2142</v>
      </c>
    </row>
    <row r="56" spans="1:13" ht="30" customHeight="1" x14ac:dyDescent="0.2">
      <c r="A56" s="134" t="s">
        <v>2331</v>
      </c>
      <c r="B56" s="101" t="str">
        <f t="shared" si="2"/>
        <v>180143000</v>
      </c>
      <c r="D56" s="134" t="s">
        <v>2331</v>
      </c>
      <c r="E56" s="136" t="s">
        <v>656</v>
      </c>
      <c r="F56" s="137">
        <v>51000</v>
      </c>
      <c r="G56" s="137">
        <v>31000</v>
      </c>
      <c r="H56" s="138">
        <v>10</v>
      </c>
      <c r="I56" s="138" t="s">
        <v>92</v>
      </c>
      <c r="J56" s="138">
        <v>0</v>
      </c>
      <c r="K56" s="137">
        <v>0</v>
      </c>
      <c r="L56" s="105">
        <f t="shared" si="3"/>
        <v>31000</v>
      </c>
    </row>
    <row r="57" spans="1:13" ht="30" customHeight="1" x14ac:dyDescent="0.2">
      <c r="A57" s="134" t="s">
        <v>2398</v>
      </c>
      <c r="B57" s="134" t="str">
        <f t="shared" si="2"/>
        <v>260061100</v>
      </c>
      <c r="D57" s="159" t="s">
        <v>2398</v>
      </c>
      <c r="E57" s="136" t="s">
        <v>480</v>
      </c>
      <c r="F57" s="137">
        <v>12000</v>
      </c>
      <c r="G57" s="137">
        <v>12000</v>
      </c>
      <c r="H57" s="138">
        <v>10</v>
      </c>
      <c r="I57" s="138" t="s">
        <v>92</v>
      </c>
      <c r="J57" s="138">
        <v>0</v>
      </c>
      <c r="K57" s="137">
        <v>0</v>
      </c>
      <c r="L57" s="105">
        <f t="shared" si="3"/>
        <v>12000</v>
      </c>
      <c r="M57" s="135" t="s">
        <v>2760</v>
      </c>
    </row>
    <row r="58" spans="1:13" ht="30" customHeight="1" x14ac:dyDescent="0.2">
      <c r="A58" s="134">
        <v>260061101</v>
      </c>
      <c r="B58" s="134">
        <f t="shared" si="2"/>
        <v>260061101</v>
      </c>
      <c r="D58" s="159">
        <v>260061101</v>
      </c>
      <c r="E58" s="136" t="s">
        <v>480</v>
      </c>
      <c r="F58" s="137">
        <v>12000</v>
      </c>
      <c r="G58" s="137">
        <v>12000</v>
      </c>
      <c r="H58" s="138">
        <v>10</v>
      </c>
      <c r="I58" s="138" t="s">
        <v>92</v>
      </c>
      <c r="J58" s="138">
        <v>0</v>
      </c>
      <c r="K58" s="137">
        <v>0</v>
      </c>
      <c r="L58" s="105">
        <f t="shared" si="3"/>
        <v>12000</v>
      </c>
      <c r="M58" s="135" t="s">
        <v>2760</v>
      </c>
    </row>
    <row r="59" spans="1:13" ht="30" customHeight="1" x14ac:dyDescent="0.2">
      <c r="A59" s="134" t="s">
        <v>2332</v>
      </c>
      <c r="B59" s="134" t="str">
        <f t="shared" si="2"/>
        <v>300029300</v>
      </c>
      <c r="D59" s="159" t="s">
        <v>2332</v>
      </c>
      <c r="E59" s="136" t="s">
        <v>574</v>
      </c>
      <c r="F59" s="137">
        <v>25000</v>
      </c>
      <c r="G59" s="137">
        <v>26500</v>
      </c>
      <c r="H59" s="138">
        <v>10</v>
      </c>
      <c r="I59" s="138" t="s">
        <v>92</v>
      </c>
      <c r="J59" s="138">
        <v>0</v>
      </c>
      <c r="K59" s="137">
        <v>0</v>
      </c>
      <c r="L59" s="105">
        <f t="shared" si="3"/>
        <v>26500</v>
      </c>
      <c r="M59" s="135"/>
    </row>
    <row r="60" spans="1:13" ht="30" customHeight="1" x14ac:dyDescent="0.2">
      <c r="A60" s="134" t="s">
        <v>2333</v>
      </c>
      <c r="B60" s="134" t="str">
        <f t="shared" si="2"/>
        <v>300201100</v>
      </c>
      <c r="D60" s="79" t="s">
        <v>2333</v>
      </c>
      <c r="E60" s="25" t="s">
        <v>671</v>
      </c>
      <c r="F60" s="137">
        <v>16000</v>
      </c>
      <c r="G60" s="137">
        <v>18000</v>
      </c>
      <c r="H60" s="138">
        <v>10</v>
      </c>
      <c r="I60" s="138" t="s">
        <v>92</v>
      </c>
      <c r="J60" s="138">
        <v>0</v>
      </c>
      <c r="K60" s="137">
        <v>0</v>
      </c>
      <c r="L60" s="105">
        <f t="shared" si="3"/>
        <v>18000</v>
      </c>
      <c r="M60" s="133" t="s">
        <v>2699</v>
      </c>
    </row>
    <row r="61" spans="1:13" ht="30" customHeight="1" x14ac:dyDescent="0.2">
      <c r="A61" s="134" t="s">
        <v>2334</v>
      </c>
      <c r="B61" s="134" t="str">
        <f t="shared" si="2"/>
        <v>300251300</v>
      </c>
      <c r="D61" s="159" t="s">
        <v>2334</v>
      </c>
      <c r="E61" s="136" t="s">
        <v>672</v>
      </c>
      <c r="F61" s="137">
        <v>0</v>
      </c>
      <c r="G61" s="137">
        <v>15000</v>
      </c>
      <c r="H61" s="138">
        <v>10</v>
      </c>
      <c r="I61" s="138" t="s">
        <v>92</v>
      </c>
      <c r="J61" s="138">
        <v>0</v>
      </c>
      <c r="K61" s="137">
        <v>0</v>
      </c>
      <c r="L61" s="105">
        <f t="shared" si="3"/>
        <v>15000</v>
      </c>
      <c r="M61" s="135"/>
    </row>
    <row r="62" spans="1:13" ht="30" customHeight="1" x14ac:dyDescent="0.2">
      <c r="A62" s="133" t="s">
        <v>2335</v>
      </c>
      <c r="B62" s="134" t="str">
        <f t="shared" si="2"/>
        <v>Falta</v>
      </c>
      <c r="D62" s="159" t="s">
        <v>2338</v>
      </c>
      <c r="E62" s="136" t="s">
        <v>2751</v>
      </c>
      <c r="F62" s="137">
        <v>8000</v>
      </c>
      <c r="G62" s="137">
        <v>28000</v>
      </c>
      <c r="H62" s="138">
        <v>10</v>
      </c>
      <c r="I62" s="138" t="s">
        <v>92</v>
      </c>
      <c r="J62" s="138">
        <v>0</v>
      </c>
      <c r="K62" s="137">
        <v>0</v>
      </c>
      <c r="L62" s="105">
        <f t="shared" si="3"/>
        <v>28000</v>
      </c>
    </row>
    <row r="63" spans="1:13" ht="30" customHeight="1" x14ac:dyDescent="0.2">
      <c r="A63" s="133" t="s">
        <v>2336</v>
      </c>
      <c r="B63" s="101" t="str">
        <f t="shared" si="2"/>
        <v>Falta</v>
      </c>
      <c r="D63" s="159" t="s">
        <v>2340</v>
      </c>
      <c r="E63" s="136" t="s">
        <v>681</v>
      </c>
      <c r="F63" s="137">
        <v>30000</v>
      </c>
      <c r="G63" s="137">
        <v>35829</v>
      </c>
      <c r="H63" s="138">
        <v>10</v>
      </c>
      <c r="I63" s="138" t="s">
        <v>93</v>
      </c>
      <c r="J63" s="138">
        <v>10</v>
      </c>
      <c r="K63" s="137">
        <v>6971</v>
      </c>
      <c r="L63" s="105">
        <f t="shared" si="3"/>
        <v>42800</v>
      </c>
      <c r="M63" s="133" t="s">
        <v>2722</v>
      </c>
    </row>
    <row r="64" spans="1:13" ht="30" customHeight="1" x14ac:dyDescent="0.2">
      <c r="A64" s="133" t="s">
        <v>2337</v>
      </c>
      <c r="B64" s="101" t="str">
        <f t="shared" si="2"/>
        <v>Falta</v>
      </c>
      <c r="D64" s="159" t="s">
        <v>1738</v>
      </c>
      <c r="E64" s="136" t="s">
        <v>432</v>
      </c>
      <c r="F64" s="137">
        <v>30000</v>
      </c>
      <c r="G64" s="137">
        <v>30000</v>
      </c>
      <c r="H64" s="138">
        <v>11</v>
      </c>
      <c r="I64" s="138" t="s">
        <v>92</v>
      </c>
      <c r="J64" s="138">
        <v>0</v>
      </c>
      <c r="K64" s="137">
        <v>0</v>
      </c>
      <c r="L64" s="105">
        <f t="shared" si="3"/>
        <v>30000</v>
      </c>
      <c r="M64" s="135" t="s">
        <v>2143</v>
      </c>
    </row>
    <row r="65" spans="1:13" ht="30" customHeight="1" x14ac:dyDescent="0.2">
      <c r="A65" s="134" t="s">
        <v>2338</v>
      </c>
      <c r="B65" s="101" t="str">
        <f t="shared" si="2"/>
        <v>380098400</v>
      </c>
      <c r="D65" s="159" t="s">
        <v>2341</v>
      </c>
      <c r="E65" s="136" t="s">
        <v>683</v>
      </c>
      <c r="F65" s="137">
        <v>30000</v>
      </c>
      <c r="G65" s="137">
        <v>28000</v>
      </c>
      <c r="H65" s="138">
        <v>11</v>
      </c>
      <c r="I65" s="138" t="s">
        <v>92</v>
      </c>
      <c r="J65" s="138">
        <v>0</v>
      </c>
      <c r="K65" s="137">
        <v>0</v>
      </c>
      <c r="L65" s="105">
        <f t="shared" si="3"/>
        <v>28000</v>
      </c>
      <c r="M65" s="135" t="s">
        <v>2143</v>
      </c>
    </row>
    <row r="66" spans="1:13" ht="30" customHeight="1" x14ac:dyDescent="0.2">
      <c r="A66" s="133" t="s">
        <v>2340</v>
      </c>
      <c r="B66" s="101" t="str">
        <f t="shared" si="2"/>
        <v>500132400</v>
      </c>
      <c r="D66" s="159" t="s">
        <v>2342</v>
      </c>
      <c r="E66" s="136" t="s">
        <v>684</v>
      </c>
      <c r="F66" s="137">
        <v>30000</v>
      </c>
      <c r="G66" s="137">
        <v>30000</v>
      </c>
      <c r="H66" s="138">
        <v>11</v>
      </c>
      <c r="I66" s="138" t="s">
        <v>92</v>
      </c>
      <c r="J66" s="138">
        <v>0</v>
      </c>
      <c r="K66" s="137">
        <v>0</v>
      </c>
      <c r="L66" s="105">
        <f t="shared" si="3"/>
        <v>30000</v>
      </c>
      <c r="M66" s="135" t="s">
        <v>2143</v>
      </c>
    </row>
    <row r="67" spans="1:13" ht="30" customHeight="1" x14ac:dyDescent="0.2">
      <c r="A67" s="133" t="s">
        <v>1738</v>
      </c>
      <c r="B67" s="101" t="str">
        <f t="shared" si="2"/>
        <v>500180400</v>
      </c>
      <c r="D67" s="159" t="s">
        <v>2343</v>
      </c>
      <c r="E67" s="136" t="s">
        <v>685</v>
      </c>
      <c r="F67" s="137">
        <v>30000</v>
      </c>
      <c r="G67" s="137">
        <v>28000</v>
      </c>
      <c r="H67" s="138">
        <v>11</v>
      </c>
      <c r="I67" s="138" t="s">
        <v>92</v>
      </c>
      <c r="J67" s="138">
        <v>0</v>
      </c>
      <c r="K67" s="137">
        <v>0</v>
      </c>
      <c r="L67" s="105">
        <f t="shared" si="3"/>
        <v>28000</v>
      </c>
      <c r="M67" s="135" t="s">
        <v>2143</v>
      </c>
    </row>
    <row r="68" spans="1:13" ht="30" customHeight="1" x14ac:dyDescent="0.2">
      <c r="A68" s="133" t="s">
        <v>2341</v>
      </c>
      <c r="B68" s="101" t="str">
        <f t="shared" ref="B68:B99" si="4">IFERROR(VLOOKUP(A68,D:D,1,FALSE),"Falta")</f>
        <v>500180401</v>
      </c>
      <c r="D68" s="159" t="s">
        <v>2344</v>
      </c>
      <c r="E68" s="136" t="s">
        <v>686</v>
      </c>
      <c r="F68" s="137">
        <v>30000</v>
      </c>
      <c r="G68" s="137">
        <v>28000</v>
      </c>
      <c r="H68" s="138">
        <v>11</v>
      </c>
      <c r="I68" s="138" t="s">
        <v>92</v>
      </c>
      <c r="J68" s="138">
        <v>0</v>
      </c>
      <c r="K68" s="137">
        <v>0</v>
      </c>
      <c r="L68" s="105">
        <f t="shared" ref="L68:L80" si="5">+G68+K68</f>
        <v>28000</v>
      </c>
      <c r="M68" s="135" t="s">
        <v>2143</v>
      </c>
    </row>
    <row r="69" spans="1:13" ht="30" customHeight="1" x14ac:dyDescent="0.2">
      <c r="A69" s="133" t="s">
        <v>2342</v>
      </c>
      <c r="B69" s="101" t="str">
        <f t="shared" si="4"/>
        <v>500180402</v>
      </c>
      <c r="D69" s="159" t="s">
        <v>2345</v>
      </c>
      <c r="E69" s="136" t="s">
        <v>687</v>
      </c>
      <c r="F69" s="137">
        <v>30000</v>
      </c>
      <c r="G69" s="137">
        <v>28000</v>
      </c>
      <c r="H69" s="138">
        <v>11</v>
      </c>
      <c r="I69" s="138" t="s">
        <v>92</v>
      </c>
      <c r="J69" s="138">
        <v>0</v>
      </c>
      <c r="K69" s="137">
        <v>0</v>
      </c>
      <c r="L69" s="105">
        <f t="shared" si="5"/>
        <v>28000</v>
      </c>
      <c r="M69" s="135" t="s">
        <v>2143</v>
      </c>
    </row>
    <row r="70" spans="1:13" ht="30" customHeight="1" x14ac:dyDescent="0.2">
      <c r="A70" s="133" t="s">
        <v>2343</v>
      </c>
      <c r="B70" s="101" t="str">
        <f t="shared" si="4"/>
        <v>500180404</v>
      </c>
      <c r="D70" s="79" t="s">
        <v>2403</v>
      </c>
      <c r="E70" s="25" t="s">
        <v>355</v>
      </c>
      <c r="F70" s="137">
        <v>25000</v>
      </c>
      <c r="G70" s="137">
        <v>36000</v>
      </c>
      <c r="H70" s="138">
        <v>11</v>
      </c>
      <c r="I70" s="138" t="s">
        <v>92</v>
      </c>
      <c r="J70" s="138">
        <v>0</v>
      </c>
      <c r="K70" s="137">
        <v>0</v>
      </c>
      <c r="L70" s="105">
        <f t="shared" si="5"/>
        <v>36000</v>
      </c>
      <c r="M70" s="133" t="s">
        <v>2702</v>
      </c>
    </row>
    <row r="71" spans="1:13" ht="30" customHeight="1" x14ac:dyDescent="0.2">
      <c r="A71" s="133" t="s">
        <v>2344</v>
      </c>
      <c r="B71" s="101" t="str">
        <f t="shared" si="4"/>
        <v>500180406</v>
      </c>
      <c r="D71" s="159" t="s">
        <v>2346</v>
      </c>
      <c r="E71" s="136" t="s">
        <v>16</v>
      </c>
      <c r="F71" s="137">
        <v>52400</v>
      </c>
      <c r="G71" s="137">
        <v>25000</v>
      </c>
      <c r="H71" s="138">
        <v>9</v>
      </c>
      <c r="I71" s="138" t="s">
        <v>93</v>
      </c>
      <c r="J71" s="138">
        <v>9</v>
      </c>
      <c r="K71" s="137">
        <v>31500</v>
      </c>
      <c r="L71" s="105">
        <f t="shared" si="5"/>
        <v>56500</v>
      </c>
      <c r="M71" s="135" t="s">
        <v>2144</v>
      </c>
    </row>
    <row r="72" spans="1:13" ht="30" customHeight="1" x14ac:dyDescent="0.2">
      <c r="A72" s="133" t="s">
        <v>2345</v>
      </c>
      <c r="B72" s="101" t="str">
        <f t="shared" si="4"/>
        <v>500180407</v>
      </c>
      <c r="D72" s="159" t="s">
        <v>2347</v>
      </c>
      <c r="E72" s="136" t="s">
        <v>733</v>
      </c>
      <c r="F72" s="137">
        <v>0</v>
      </c>
      <c r="G72" s="137">
        <v>0</v>
      </c>
      <c r="H72" s="138">
        <v>0</v>
      </c>
      <c r="I72" s="138" t="s">
        <v>92</v>
      </c>
      <c r="J72" s="138">
        <v>0</v>
      </c>
      <c r="K72" s="137">
        <v>0</v>
      </c>
      <c r="L72" s="105">
        <f t="shared" si="5"/>
        <v>0</v>
      </c>
      <c r="M72" s="135" t="s">
        <v>2145</v>
      </c>
    </row>
    <row r="73" spans="1:13" ht="30" customHeight="1" x14ac:dyDescent="0.2">
      <c r="A73" s="133" t="s">
        <v>2403</v>
      </c>
      <c r="B73" s="101" t="str">
        <f t="shared" si="4"/>
        <v>500238900</v>
      </c>
      <c r="D73" s="159" t="s">
        <v>2348</v>
      </c>
      <c r="E73" s="136" t="s">
        <v>11</v>
      </c>
      <c r="F73" s="137">
        <v>19000</v>
      </c>
      <c r="G73" s="137">
        <v>25000</v>
      </c>
      <c r="H73" s="138">
        <v>10</v>
      </c>
      <c r="I73" s="138" t="s">
        <v>92</v>
      </c>
      <c r="J73" s="138">
        <v>0</v>
      </c>
      <c r="K73" s="137">
        <v>0</v>
      </c>
      <c r="L73" s="105">
        <f t="shared" si="5"/>
        <v>25000</v>
      </c>
      <c r="M73" s="135" t="s">
        <v>2146</v>
      </c>
    </row>
    <row r="74" spans="1:13" ht="30" customHeight="1" x14ac:dyDescent="0.2">
      <c r="A74" s="133" t="s">
        <v>2346</v>
      </c>
      <c r="B74" s="101" t="str">
        <f t="shared" si="4"/>
        <v>540027900</v>
      </c>
      <c r="D74" s="159" t="s">
        <v>2349</v>
      </c>
      <c r="E74" s="25" t="s">
        <v>690</v>
      </c>
      <c r="F74" s="137">
        <v>0</v>
      </c>
      <c r="G74" s="137">
        <v>0</v>
      </c>
      <c r="H74" s="138">
        <v>0</v>
      </c>
      <c r="I74" s="138" t="s">
        <v>92</v>
      </c>
      <c r="J74" s="138">
        <v>0</v>
      </c>
      <c r="K74" s="137">
        <v>0</v>
      </c>
      <c r="L74" s="105">
        <f t="shared" si="5"/>
        <v>0</v>
      </c>
      <c r="M74" s="135"/>
    </row>
    <row r="75" spans="1:13" ht="30" customHeight="1" x14ac:dyDescent="0.2">
      <c r="A75" s="133" t="s">
        <v>2347</v>
      </c>
      <c r="B75" s="101" t="str">
        <f t="shared" si="4"/>
        <v>540153300</v>
      </c>
      <c r="D75" s="159" t="s">
        <v>2349</v>
      </c>
      <c r="E75" s="136" t="s">
        <v>690</v>
      </c>
      <c r="F75" s="137">
        <v>16500</v>
      </c>
      <c r="G75" s="137">
        <v>20000</v>
      </c>
      <c r="H75" s="138">
        <v>10</v>
      </c>
      <c r="I75" s="138" t="s">
        <v>92</v>
      </c>
      <c r="J75" s="138">
        <v>0</v>
      </c>
      <c r="K75" s="137">
        <v>0</v>
      </c>
      <c r="L75" s="105">
        <f t="shared" si="5"/>
        <v>20000</v>
      </c>
    </row>
    <row r="76" spans="1:13" ht="30" customHeight="1" x14ac:dyDescent="0.2">
      <c r="A76" s="133" t="s">
        <v>2348</v>
      </c>
      <c r="B76" s="101" t="str">
        <f t="shared" si="4"/>
        <v>540186600</v>
      </c>
      <c r="D76" s="159" t="s">
        <v>2350</v>
      </c>
      <c r="E76" s="136" t="s">
        <v>578</v>
      </c>
      <c r="F76" s="139">
        <v>27000</v>
      </c>
      <c r="G76" s="139">
        <v>30000</v>
      </c>
      <c r="H76" s="138">
        <v>11</v>
      </c>
      <c r="I76" s="138" t="s">
        <v>92</v>
      </c>
      <c r="J76" s="138">
        <v>0</v>
      </c>
      <c r="K76" s="137">
        <v>0</v>
      </c>
      <c r="L76" s="105">
        <f t="shared" si="5"/>
        <v>30000</v>
      </c>
      <c r="M76" s="135"/>
    </row>
    <row r="77" spans="1:13" ht="30" customHeight="1" x14ac:dyDescent="0.2">
      <c r="A77" s="133" t="s">
        <v>2349</v>
      </c>
      <c r="B77" s="101" t="str">
        <f t="shared" si="4"/>
        <v>580075500</v>
      </c>
      <c r="D77" s="133" t="s">
        <v>2351</v>
      </c>
      <c r="E77" s="136" t="s">
        <v>2734</v>
      </c>
      <c r="F77" s="137">
        <v>44500</v>
      </c>
      <c r="G77" s="137">
        <v>49088</v>
      </c>
      <c r="H77" s="138">
        <v>12</v>
      </c>
      <c r="I77" s="138" t="s">
        <v>92</v>
      </c>
      <c r="J77" s="138">
        <v>0</v>
      </c>
      <c r="K77" s="137">
        <v>0</v>
      </c>
      <c r="L77" s="105">
        <f t="shared" si="5"/>
        <v>49088</v>
      </c>
    </row>
    <row r="78" spans="1:13" ht="30" customHeight="1" x14ac:dyDescent="0.2">
      <c r="A78" s="133" t="s">
        <v>2350</v>
      </c>
      <c r="B78" s="101" t="str">
        <f t="shared" si="4"/>
        <v>580108100</v>
      </c>
      <c r="D78" s="159" t="s">
        <v>2352</v>
      </c>
      <c r="E78" s="136" t="s">
        <v>484</v>
      </c>
      <c r="F78" s="137">
        <v>44500</v>
      </c>
      <c r="G78" s="137">
        <v>49088</v>
      </c>
      <c r="H78" s="138">
        <v>12</v>
      </c>
      <c r="I78" s="138" t="s">
        <v>92</v>
      </c>
      <c r="J78" s="138">
        <v>0</v>
      </c>
      <c r="K78" s="137">
        <v>0</v>
      </c>
      <c r="L78" s="105">
        <f t="shared" si="5"/>
        <v>49088</v>
      </c>
    </row>
    <row r="79" spans="1:13" ht="30" customHeight="1" x14ac:dyDescent="0.2">
      <c r="A79" s="133" t="s">
        <v>2351</v>
      </c>
      <c r="B79" s="101" t="str">
        <f t="shared" si="4"/>
        <v>620100300</v>
      </c>
      <c r="D79" s="159" t="s">
        <v>2353</v>
      </c>
      <c r="E79" s="136" t="s">
        <v>485</v>
      </c>
      <c r="F79" s="137">
        <v>44500</v>
      </c>
      <c r="G79" s="137">
        <v>49088</v>
      </c>
      <c r="H79" s="138">
        <v>12</v>
      </c>
      <c r="I79" s="138" t="s">
        <v>92</v>
      </c>
      <c r="J79" s="138">
        <v>0</v>
      </c>
      <c r="K79" s="137">
        <v>0</v>
      </c>
      <c r="L79" s="105">
        <f t="shared" si="5"/>
        <v>49088</v>
      </c>
    </row>
    <row r="80" spans="1:13" ht="30" customHeight="1" x14ac:dyDescent="0.2">
      <c r="A80" s="133" t="s">
        <v>2352</v>
      </c>
      <c r="B80" s="101" t="str">
        <f t="shared" si="4"/>
        <v>620100301</v>
      </c>
      <c r="D80" s="159" t="s">
        <v>2354</v>
      </c>
      <c r="E80" s="136" t="s">
        <v>486</v>
      </c>
      <c r="F80" s="137">
        <v>44500</v>
      </c>
      <c r="G80" s="137">
        <v>49088</v>
      </c>
      <c r="H80" s="138">
        <v>12</v>
      </c>
      <c r="I80" s="138" t="s">
        <v>92</v>
      </c>
      <c r="J80" s="138">
        <v>0</v>
      </c>
      <c r="K80" s="137">
        <v>0</v>
      </c>
      <c r="L80" s="105">
        <f t="shared" si="5"/>
        <v>49088</v>
      </c>
    </row>
    <row r="81" spans="1:13" ht="30" customHeight="1" x14ac:dyDescent="0.2">
      <c r="A81" s="133" t="s">
        <v>2353</v>
      </c>
      <c r="B81" s="101" t="str">
        <f t="shared" si="4"/>
        <v>620100302</v>
      </c>
      <c r="D81" s="133" t="s">
        <v>2355</v>
      </c>
      <c r="E81" s="25" t="s">
        <v>487</v>
      </c>
      <c r="L81" s="105"/>
    </row>
    <row r="82" spans="1:13" ht="30" customHeight="1" x14ac:dyDescent="0.2">
      <c r="A82" s="133" t="s">
        <v>2354</v>
      </c>
      <c r="B82" s="101" t="str">
        <f t="shared" si="4"/>
        <v>620100305</v>
      </c>
      <c r="D82" s="159" t="s">
        <v>2357</v>
      </c>
      <c r="E82" s="136" t="s">
        <v>691</v>
      </c>
      <c r="F82" s="137">
        <v>60000</v>
      </c>
      <c r="G82" s="137">
        <v>81000</v>
      </c>
      <c r="H82" s="138">
        <v>10</v>
      </c>
      <c r="I82" s="138" t="s">
        <v>92</v>
      </c>
      <c r="J82" s="138">
        <v>0</v>
      </c>
      <c r="K82" s="137">
        <v>0</v>
      </c>
      <c r="L82" s="105">
        <f t="shared" ref="L82:L102" si="6">+G82+K82</f>
        <v>81000</v>
      </c>
      <c r="M82" s="135" t="s">
        <v>2147</v>
      </c>
    </row>
    <row r="83" spans="1:13" ht="30" customHeight="1" x14ac:dyDescent="0.2">
      <c r="A83" s="133" t="s">
        <v>2355</v>
      </c>
      <c r="B83" s="101" t="str">
        <f t="shared" si="4"/>
        <v>620100306</v>
      </c>
      <c r="D83" s="159" t="s">
        <v>2358</v>
      </c>
      <c r="E83" s="136" t="s">
        <v>490</v>
      </c>
      <c r="F83" s="137">
        <v>35000</v>
      </c>
      <c r="G83" s="137">
        <v>46000</v>
      </c>
      <c r="H83" s="138">
        <v>10</v>
      </c>
      <c r="I83" s="138" t="s">
        <v>92</v>
      </c>
      <c r="J83" s="138">
        <v>0</v>
      </c>
      <c r="K83" s="137">
        <v>0</v>
      </c>
      <c r="L83" s="105">
        <f t="shared" si="6"/>
        <v>46000</v>
      </c>
      <c r="M83" s="135"/>
    </row>
    <row r="84" spans="1:13" ht="30" customHeight="1" x14ac:dyDescent="0.2">
      <c r="A84" s="133" t="s">
        <v>2357</v>
      </c>
      <c r="B84" s="101" t="str">
        <f t="shared" si="4"/>
        <v>660063300</v>
      </c>
      <c r="D84" s="159" t="s">
        <v>2359</v>
      </c>
      <c r="E84" s="136" t="s">
        <v>491</v>
      </c>
      <c r="F84" s="137">
        <v>35000</v>
      </c>
      <c r="G84" s="137">
        <v>46000</v>
      </c>
      <c r="H84" s="138">
        <v>10</v>
      </c>
      <c r="I84" s="138" t="s">
        <v>92</v>
      </c>
      <c r="J84" s="138">
        <v>0</v>
      </c>
      <c r="K84" s="137">
        <v>0</v>
      </c>
      <c r="L84" s="105">
        <f t="shared" si="6"/>
        <v>46000</v>
      </c>
      <c r="M84" s="135"/>
    </row>
    <row r="85" spans="1:13" ht="30" customHeight="1" x14ac:dyDescent="0.2">
      <c r="A85" s="133" t="s">
        <v>2358</v>
      </c>
      <c r="B85" s="101" t="str">
        <f t="shared" si="4"/>
        <v>660117400</v>
      </c>
      <c r="D85" s="159" t="s">
        <v>2360</v>
      </c>
      <c r="E85" s="136" t="s">
        <v>492</v>
      </c>
      <c r="F85" s="137">
        <v>35000</v>
      </c>
      <c r="G85" s="137">
        <v>46000</v>
      </c>
      <c r="H85" s="138">
        <v>10</v>
      </c>
      <c r="I85" s="138" t="s">
        <v>92</v>
      </c>
      <c r="J85" s="138">
        <v>0</v>
      </c>
      <c r="K85" s="137">
        <v>0</v>
      </c>
      <c r="L85" s="105">
        <f t="shared" si="6"/>
        <v>46000</v>
      </c>
      <c r="M85" s="135"/>
    </row>
    <row r="86" spans="1:13" ht="30" customHeight="1" x14ac:dyDescent="0.2">
      <c r="A86" s="133" t="s">
        <v>2359</v>
      </c>
      <c r="B86" s="101" t="str">
        <f t="shared" si="4"/>
        <v>660117401</v>
      </c>
      <c r="D86" s="159" t="s">
        <v>2361</v>
      </c>
      <c r="E86" s="136" t="s">
        <v>493</v>
      </c>
      <c r="F86" s="137">
        <v>35000</v>
      </c>
      <c r="G86" s="137">
        <v>46000</v>
      </c>
      <c r="H86" s="138">
        <v>10</v>
      </c>
      <c r="I86" s="138" t="s">
        <v>92</v>
      </c>
      <c r="J86" s="138">
        <v>0</v>
      </c>
      <c r="K86" s="137">
        <v>0</v>
      </c>
      <c r="L86" s="105">
        <f t="shared" si="6"/>
        <v>46000</v>
      </c>
      <c r="M86" s="135"/>
    </row>
    <row r="87" spans="1:13" ht="30" customHeight="1" x14ac:dyDescent="0.2">
      <c r="A87" s="133" t="s">
        <v>2360</v>
      </c>
      <c r="B87" s="101" t="str">
        <f t="shared" si="4"/>
        <v>660117402</v>
      </c>
      <c r="D87" s="79" t="s">
        <v>2362</v>
      </c>
      <c r="E87" s="25" t="s">
        <v>494</v>
      </c>
      <c r="F87" s="137">
        <v>35000</v>
      </c>
      <c r="G87" s="137">
        <v>46000</v>
      </c>
      <c r="H87" s="138">
        <v>10</v>
      </c>
      <c r="I87" s="138" t="s">
        <v>92</v>
      </c>
      <c r="J87" s="138">
        <v>0</v>
      </c>
      <c r="K87" s="137">
        <v>0</v>
      </c>
      <c r="L87" s="105">
        <f t="shared" si="6"/>
        <v>46000</v>
      </c>
    </row>
    <row r="88" spans="1:13" ht="30" customHeight="1" x14ac:dyDescent="0.2">
      <c r="A88" s="133" t="s">
        <v>2361</v>
      </c>
      <c r="B88" s="101" t="str">
        <f t="shared" si="4"/>
        <v>660117403</v>
      </c>
      <c r="D88" s="159" t="s">
        <v>2363</v>
      </c>
      <c r="E88" s="136" t="s">
        <v>495</v>
      </c>
      <c r="F88" s="137">
        <v>35000</v>
      </c>
      <c r="G88" s="137">
        <v>46000</v>
      </c>
      <c r="H88" s="138">
        <v>10</v>
      </c>
      <c r="I88" s="138" t="s">
        <v>92</v>
      </c>
      <c r="J88" s="138">
        <v>0</v>
      </c>
      <c r="K88" s="137">
        <v>0</v>
      </c>
      <c r="L88" s="105">
        <f t="shared" si="6"/>
        <v>46000</v>
      </c>
      <c r="M88" s="135"/>
    </row>
    <row r="89" spans="1:13" ht="30" customHeight="1" x14ac:dyDescent="0.2">
      <c r="A89" s="133" t="s">
        <v>2362</v>
      </c>
      <c r="B89" s="101" t="str">
        <f t="shared" si="4"/>
        <v>660117404</v>
      </c>
      <c r="D89" s="159" t="s">
        <v>2364</v>
      </c>
      <c r="E89" s="136" t="s">
        <v>496</v>
      </c>
      <c r="F89" s="137">
        <v>35000</v>
      </c>
      <c r="G89" s="137">
        <v>46000</v>
      </c>
      <c r="H89" s="138">
        <v>10</v>
      </c>
      <c r="I89" s="138" t="s">
        <v>92</v>
      </c>
      <c r="J89" s="138">
        <v>0</v>
      </c>
      <c r="K89" s="137">
        <v>0</v>
      </c>
      <c r="L89" s="105">
        <f t="shared" si="6"/>
        <v>46000</v>
      </c>
      <c r="M89" s="135"/>
    </row>
    <row r="90" spans="1:13" ht="30" customHeight="1" x14ac:dyDescent="0.2">
      <c r="A90" s="133" t="s">
        <v>2363</v>
      </c>
      <c r="B90" s="101" t="str">
        <f t="shared" si="4"/>
        <v>660117405</v>
      </c>
      <c r="D90" s="159" t="s">
        <v>2365</v>
      </c>
      <c r="E90" s="136" t="s">
        <v>497</v>
      </c>
      <c r="F90" s="137">
        <v>35000</v>
      </c>
      <c r="G90" s="137">
        <v>46000</v>
      </c>
      <c r="H90" s="138">
        <v>10</v>
      </c>
      <c r="I90" s="138" t="s">
        <v>92</v>
      </c>
      <c r="J90" s="138">
        <v>0</v>
      </c>
      <c r="K90" s="137">
        <v>0</v>
      </c>
      <c r="L90" s="105">
        <f t="shared" si="6"/>
        <v>46000</v>
      </c>
      <c r="M90" s="135"/>
    </row>
    <row r="91" spans="1:13" ht="30" customHeight="1" x14ac:dyDescent="0.2">
      <c r="A91" s="133" t="s">
        <v>2364</v>
      </c>
      <c r="B91" s="101" t="str">
        <f t="shared" si="4"/>
        <v>660117408</v>
      </c>
      <c r="D91" s="159" t="s">
        <v>2366</v>
      </c>
      <c r="E91" s="136" t="s">
        <v>1102</v>
      </c>
      <c r="F91" s="137">
        <v>15000</v>
      </c>
      <c r="G91" s="137">
        <v>40000</v>
      </c>
      <c r="H91" s="138">
        <v>10</v>
      </c>
      <c r="I91" s="138" t="s">
        <v>92</v>
      </c>
      <c r="J91" s="138">
        <v>0</v>
      </c>
      <c r="K91" s="137">
        <v>0</v>
      </c>
      <c r="L91" s="105">
        <f t="shared" si="6"/>
        <v>40000</v>
      </c>
      <c r="M91" s="135"/>
    </row>
    <row r="92" spans="1:13" ht="30" customHeight="1" x14ac:dyDescent="0.2">
      <c r="A92" s="133" t="s">
        <v>2365</v>
      </c>
      <c r="B92" s="101" t="str">
        <f t="shared" si="4"/>
        <v>660117410</v>
      </c>
      <c r="D92" s="79" t="s">
        <v>2367</v>
      </c>
      <c r="E92" s="25" t="s">
        <v>499</v>
      </c>
      <c r="F92" s="137">
        <v>120000</v>
      </c>
      <c r="G92" s="137">
        <v>27000</v>
      </c>
      <c r="H92" s="138">
        <v>10</v>
      </c>
      <c r="I92" s="138" t="s">
        <v>92</v>
      </c>
      <c r="J92" s="138">
        <v>0</v>
      </c>
      <c r="K92" s="137">
        <v>0</v>
      </c>
      <c r="L92" s="105">
        <f t="shared" si="6"/>
        <v>27000</v>
      </c>
    </row>
    <row r="93" spans="1:13" ht="30" customHeight="1" x14ac:dyDescent="0.2">
      <c r="A93" s="133" t="s">
        <v>2366</v>
      </c>
      <c r="B93" s="101" t="str">
        <f t="shared" si="4"/>
        <v>820017501</v>
      </c>
      <c r="D93" s="133" t="s">
        <v>2368</v>
      </c>
      <c r="E93" s="25" t="s">
        <v>499</v>
      </c>
      <c r="F93" s="137">
        <v>120000</v>
      </c>
      <c r="G93" s="137">
        <v>27000</v>
      </c>
      <c r="H93" s="138">
        <v>10</v>
      </c>
      <c r="I93" s="138" t="s">
        <v>92</v>
      </c>
      <c r="J93" s="138">
        <v>0</v>
      </c>
      <c r="K93" s="137">
        <v>0</v>
      </c>
      <c r="L93" s="105">
        <f t="shared" si="6"/>
        <v>27000</v>
      </c>
    </row>
    <row r="94" spans="1:13" ht="30" customHeight="1" x14ac:dyDescent="0.2">
      <c r="A94" s="133" t="s">
        <v>2367</v>
      </c>
      <c r="B94" s="101" t="str">
        <f t="shared" si="4"/>
        <v>820061900</v>
      </c>
      <c r="D94" s="159" t="s">
        <v>2369</v>
      </c>
      <c r="E94" s="136" t="s">
        <v>357</v>
      </c>
      <c r="F94" s="137">
        <v>15000</v>
      </c>
      <c r="G94" s="137">
        <v>13000</v>
      </c>
      <c r="H94" s="138">
        <v>9</v>
      </c>
      <c r="I94" s="138" t="s">
        <v>93</v>
      </c>
      <c r="J94" s="138">
        <v>1</v>
      </c>
      <c r="K94" s="137">
        <v>2000</v>
      </c>
      <c r="L94" s="105">
        <f t="shared" si="6"/>
        <v>15000</v>
      </c>
      <c r="M94" s="135"/>
    </row>
    <row r="95" spans="1:13" ht="30" customHeight="1" x14ac:dyDescent="0.2">
      <c r="A95" s="133" t="s">
        <v>2368</v>
      </c>
      <c r="B95" s="101" t="str">
        <f t="shared" si="4"/>
        <v>820061901</v>
      </c>
      <c r="D95" s="159" t="s">
        <v>2370</v>
      </c>
      <c r="E95" s="136" t="s">
        <v>2411</v>
      </c>
      <c r="F95" s="137">
        <v>60000</v>
      </c>
      <c r="G95" s="137">
        <v>35290</v>
      </c>
      <c r="H95" s="138">
        <v>10</v>
      </c>
      <c r="I95" s="138" t="s">
        <v>92</v>
      </c>
      <c r="J95" s="138">
        <v>0</v>
      </c>
      <c r="K95" s="137">
        <v>0</v>
      </c>
      <c r="L95" s="105">
        <f t="shared" si="6"/>
        <v>35290</v>
      </c>
      <c r="M95" s="135"/>
    </row>
    <row r="96" spans="1:13" ht="30" customHeight="1" x14ac:dyDescent="0.2">
      <c r="A96" s="133" t="s">
        <v>2369</v>
      </c>
      <c r="B96" s="101" t="str">
        <f t="shared" si="4"/>
        <v>820104900</v>
      </c>
      <c r="D96" s="159" t="s">
        <v>2371</v>
      </c>
      <c r="E96" s="136" t="s">
        <v>692</v>
      </c>
      <c r="F96" s="137">
        <v>32000</v>
      </c>
      <c r="G96" s="137">
        <v>24000</v>
      </c>
      <c r="H96" s="138">
        <v>10</v>
      </c>
      <c r="I96" s="138" t="s">
        <v>92</v>
      </c>
      <c r="J96" s="138">
        <v>0</v>
      </c>
      <c r="K96" s="137">
        <v>0</v>
      </c>
      <c r="L96" s="105">
        <f t="shared" si="6"/>
        <v>24000</v>
      </c>
      <c r="M96" s="135" t="s">
        <v>2148</v>
      </c>
    </row>
    <row r="97" spans="1:13" ht="30" customHeight="1" x14ac:dyDescent="0.2">
      <c r="A97" s="133" t="s">
        <v>2370</v>
      </c>
      <c r="B97" s="101" t="str">
        <f t="shared" si="4"/>
        <v>820188400</v>
      </c>
      <c r="D97" s="159" t="s">
        <v>2372</v>
      </c>
      <c r="E97" s="136" t="s">
        <v>583</v>
      </c>
      <c r="F97" s="137">
        <v>16000</v>
      </c>
      <c r="G97" s="137">
        <v>20000</v>
      </c>
      <c r="H97" s="138">
        <v>10</v>
      </c>
      <c r="I97" s="138" t="s">
        <v>92</v>
      </c>
      <c r="J97" s="138">
        <v>0</v>
      </c>
      <c r="K97" s="137">
        <v>0</v>
      </c>
      <c r="L97" s="105">
        <f t="shared" si="6"/>
        <v>20000</v>
      </c>
      <c r="M97" s="135"/>
    </row>
    <row r="98" spans="1:13" ht="30" customHeight="1" x14ac:dyDescent="0.2">
      <c r="A98" s="133" t="s">
        <v>2371</v>
      </c>
      <c r="B98" s="101" t="str">
        <f t="shared" si="4"/>
        <v>820188401</v>
      </c>
      <c r="D98" s="159" t="s">
        <v>2373</v>
      </c>
      <c r="E98" s="136" t="s">
        <v>694</v>
      </c>
      <c r="F98" s="137">
        <v>30000</v>
      </c>
      <c r="G98" s="137">
        <v>24480</v>
      </c>
      <c r="H98" s="138">
        <v>9</v>
      </c>
      <c r="I98" s="138" t="s">
        <v>92</v>
      </c>
      <c r="J98" s="138">
        <v>0</v>
      </c>
      <c r="K98" s="137">
        <v>0</v>
      </c>
      <c r="L98" s="105">
        <f t="shared" si="6"/>
        <v>24480</v>
      </c>
      <c r="M98" s="135"/>
    </row>
    <row r="99" spans="1:13" ht="30" customHeight="1" x14ac:dyDescent="0.2">
      <c r="A99" s="133" t="s">
        <v>2372</v>
      </c>
      <c r="B99" s="101" t="str">
        <f t="shared" si="4"/>
        <v>820188402</v>
      </c>
      <c r="D99" s="159" t="s">
        <v>2374</v>
      </c>
      <c r="E99" s="136" t="s">
        <v>586</v>
      </c>
      <c r="F99" s="137">
        <v>40000</v>
      </c>
      <c r="G99" s="137">
        <v>22740</v>
      </c>
      <c r="H99" s="138">
        <v>10</v>
      </c>
      <c r="I99" s="138" t="s">
        <v>92</v>
      </c>
      <c r="J99" s="138">
        <v>0</v>
      </c>
      <c r="K99" s="137">
        <v>0</v>
      </c>
      <c r="L99" s="105">
        <f t="shared" si="6"/>
        <v>22740</v>
      </c>
      <c r="M99" s="135"/>
    </row>
    <row r="100" spans="1:13" ht="30" customHeight="1" x14ac:dyDescent="0.2">
      <c r="A100" s="133" t="s">
        <v>2373</v>
      </c>
      <c r="B100" s="101" t="str">
        <f t="shared" ref="B100:B107" si="7">IFERROR(VLOOKUP(A100,D:D,1,FALSE),"Falta")</f>
        <v>820250700</v>
      </c>
      <c r="D100" s="159" t="s">
        <v>2375</v>
      </c>
      <c r="E100" s="136" t="s">
        <v>368</v>
      </c>
      <c r="F100" s="137">
        <v>60000</v>
      </c>
      <c r="G100" s="137">
        <v>35000</v>
      </c>
      <c r="H100" s="138">
        <v>10</v>
      </c>
      <c r="I100" s="138" t="s">
        <v>92</v>
      </c>
      <c r="J100" s="138">
        <v>0</v>
      </c>
      <c r="K100" s="137">
        <v>0</v>
      </c>
      <c r="L100" s="105">
        <f t="shared" si="6"/>
        <v>35000</v>
      </c>
      <c r="M100" s="135"/>
    </row>
    <row r="101" spans="1:13" ht="30" customHeight="1" x14ac:dyDescent="0.2">
      <c r="A101" s="133" t="s">
        <v>2374</v>
      </c>
      <c r="B101" s="101" t="str">
        <f t="shared" si="7"/>
        <v>820381400</v>
      </c>
      <c r="D101" s="159" t="s">
        <v>2376</v>
      </c>
      <c r="E101" s="136" t="s">
        <v>369</v>
      </c>
      <c r="F101" s="137">
        <v>40000</v>
      </c>
      <c r="G101" s="137">
        <v>39000</v>
      </c>
      <c r="H101" s="138">
        <v>12</v>
      </c>
      <c r="I101" s="138" t="s">
        <v>92</v>
      </c>
      <c r="J101" s="138">
        <v>0</v>
      </c>
      <c r="K101" s="137">
        <v>0</v>
      </c>
      <c r="L101" s="105">
        <f t="shared" si="6"/>
        <v>39000</v>
      </c>
      <c r="M101" s="135"/>
    </row>
    <row r="102" spans="1:13" ht="30" customHeight="1" x14ac:dyDescent="0.2">
      <c r="A102" s="133" t="s">
        <v>2375</v>
      </c>
      <c r="B102" s="101" t="str">
        <f t="shared" si="7"/>
        <v>820382000</v>
      </c>
      <c r="D102" s="159" t="s">
        <v>2377</v>
      </c>
      <c r="E102" s="136" t="s">
        <v>695</v>
      </c>
      <c r="F102" s="137">
        <v>54000</v>
      </c>
      <c r="G102" s="137">
        <v>51000</v>
      </c>
      <c r="H102" s="138">
        <v>12</v>
      </c>
      <c r="I102" s="138" t="s">
        <v>93</v>
      </c>
      <c r="J102" s="138">
        <v>8</v>
      </c>
      <c r="K102" s="137">
        <v>1500</v>
      </c>
      <c r="L102" s="105">
        <f t="shared" si="6"/>
        <v>52500</v>
      </c>
      <c r="M102" s="133" t="s">
        <v>2149</v>
      </c>
    </row>
    <row r="103" spans="1:13" ht="30" customHeight="1" x14ac:dyDescent="0.2">
      <c r="A103" s="133" t="s">
        <v>2376</v>
      </c>
      <c r="B103" s="101" t="str">
        <f t="shared" si="7"/>
        <v>820412100</v>
      </c>
      <c r="D103" s="159" t="s">
        <v>2378</v>
      </c>
      <c r="E103" s="136" t="s">
        <v>706</v>
      </c>
      <c r="F103" s="137">
        <v>40000</v>
      </c>
      <c r="G103" s="137">
        <v>20000</v>
      </c>
      <c r="H103" s="138">
        <v>10</v>
      </c>
      <c r="I103" s="138" t="s">
        <v>92</v>
      </c>
      <c r="J103" s="138">
        <v>0</v>
      </c>
      <c r="K103" s="137">
        <v>0</v>
      </c>
      <c r="L103" s="105"/>
      <c r="M103" s="135"/>
    </row>
    <row r="104" spans="1:13" ht="30" customHeight="1" x14ac:dyDescent="0.2">
      <c r="A104" s="133" t="s">
        <v>2377</v>
      </c>
      <c r="B104" s="101" t="str">
        <f t="shared" si="7"/>
        <v>820413900</v>
      </c>
      <c r="D104" s="159" t="s">
        <v>2407</v>
      </c>
      <c r="E104" s="136" t="s">
        <v>707</v>
      </c>
      <c r="F104" s="137">
        <v>20000</v>
      </c>
      <c r="G104" s="137">
        <v>10000</v>
      </c>
      <c r="H104" s="138">
        <v>10</v>
      </c>
      <c r="I104" s="138" t="s">
        <v>92</v>
      </c>
      <c r="J104" s="138">
        <v>0</v>
      </c>
      <c r="K104" s="137">
        <v>0</v>
      </c>
      <c r="L104" s="105">
        <f>+G104+K104</f>
        <v>10000</v>
      </c>
      <c r="M104" s="133" t="s">
        <v>2281</v>
      </c>
    </row>
    <row r="105" spans="1:13" ht="30" customHeight="1" x14ac:dyDescent="0.2">
      <c r="A105" s="133" t="s">
        <v>2406</v>
      </c>
      <c r="B105" s="101" t="str">
        <f t="shared" si="7"/>
        <v>Falta</v>
      </c>
      <c r="L105" s="105"/>
    </row>
    <row r="106" spans="1:13" ht="30" customHeight="1" x14ac:dyDescent="0.2">
      <c r="A106" s="133" t="s">
        <v>2378</v>
      </c>
      <c r="B106" s="101" t="str">
        <f t="shared" si="7"/>
        <v>860187600</v>
      </c>
      <c r="L106" s="105"/>
    </row>
    <row r="107" spans="1:13" ht="30" customHeight="1" x14ac:dyDescent="0.2">
      <c r="A107" s="133" t="s">
        <v>2407</v>
      </c>
      <c r="B107" s="101" t="str">
        <f t="shared" si="7"/>
        <v>860220000</v>
      </c>
      <c r="L107" s="105"/>
    </row>
    <row r="108" spans="1:13" ht="30" customHeight="1" x14ac:dyDescent="0.2">
      <c r="L108" s="105"/>
    </row>
    <row r="109" spans="1:13" ht="30" customHeight="1" x14ac:dyDescent="0.2">
      <c r="A109" s="133"/>
      <c r="L109" s="105"/>
    </row>
    <row r="110" spans="1:13" ht="30" customHeight="1" x14ac:dyDescent="0.2">
      <c r="L110" s="105"/>
    </row>
    <row r="111" spans="1:13" ht="30" customHeight="1" x14ac:dyDescent="0.2">
      <c r="L111" s="105"/>
    </row>
    <row r="112" spans="1:13" ht="30" customHeight="1" x14ac:dyDescent="0.2">
      <c r="L112" s="105"/>
    </row>
    <row r="113" spans="12:12" ht="30" customHeight="1" x14ac:dyDescent="0.2">
      <c r="L113" s="105"/>
    </row>
    <row r="114" spans="12:12" ht="30" customHeight="1" x14ac:dyDescent="0.2">
      <c r="L114" s="105"/>
    </row>
    <row r="115" spans="12:12" ht="30" customHeight="1" x14ac:dyDescent="0.2">
      <c r="L115" s="105"/>
    </row>
    <row r="116" spans="12:12" ht="30" customHeight="1" x14ac:dyDescent="0.2">
      <c r="L116" s="105"/>
    </row>
    <row r="117" spans="12:12" ht="30" customHeight="1" x14ac:dyDescent="0.2">
      <c r="L117" s="105"/>
    </row>
    <row r="118" spans="12:12" ht="30" customHeight="1" x14ac:dyDescent="0.2">
      <c r="L118" s="105"/>
    </row>
    <row r="119" spans="12:12" ht="30" customHeight="1" x14ac:dyDescent="0.2">
      <c r="L119" s="105"/>
    </row>
    <row r="120" spans="12:12" ht="30" customHeight="1" x14ac:dyDescent="0.2">
      <c r="L120" s="105"/>
    </row>
    <row r="121" spans="12:12" ht="30" customHeight="1" x14ac:dyDescent="0.2">
      <c r="L121" s="105"/>
    </row>
    <row r="122" spans="12:12" ht="30" customHeight="1" x14ac:dyDescent="0.2">
      <c r="L122" s="105"/>
    </row>
    <row r="123" spans="12:12" ht="30" customHeight="1" x14ac:dyDescent="0.2">
      <c r="L123" s="105"/>
    </row>
    <row r="124" spans="12:12" ht="30" customHeight="1" x14ac:dyDescent="0.2">
      <c r="L124" s="105"/>
    </row>
    <row r="125" spans="12:12" ht="30" customHeight="1" x14ac:dyDescent="0.2">
      <c r="L125" s="105"/>
    </row>
    <row r="126" spans="12:12" ht="30" customHeight="1" x14ac:dyDescent="0.2">
      <c r="L126" s="105"/>
    </row>
    <row r="127" spans="12:12" ht="30" customHeight="1" x14ac:dyDescent="0.2">
      <c r="L127" s="105"/>
    </row>
    <row r="128" spans="12:12" ht="30" customHeight="1" x14ac:dyDescent="0.2">
      <c r="L128" s="105"/>
    </row>
    <row r="129" spans="12:12" ht="30" customHeight="1" x14ac:dyDescent="0.2">
      <c r="L129" s="105"/>
    </row>
    <row r="130" spans="12:12" ht="30" customHeight="1" x14ac:dyDescent="0.2">
      <c r="L130" s="105"/>
    </row>
    <row r="131" spans="12:12" ht="30" customHeight="1" x14ac:dyDescent="0.2">
      <c r="L131" s="105"/>
    </row>
    <row r="132" spans="12:12" ht="30" customHeight="1" x14ac:dyDescent="0.2">
      <c r="L132" s="105"/>
    </row>
    <row r="133" spans="12:12" ht="30" customHeight="1" x14ac:dyDescent="0.2">
      <c r="L133" s="105"/>
    </row>
    <row r="134" spans="12:12" ht="30" customHeight="1" x14ac:dyDescent="0.2">
      <c r="L134" s="105"/>
    </row>
    <row r="135" spans="12:12" ht="30" customHeight="1" x14ac:dyDescent="0.2">
      <c r="L135" s="105"/>
    </row>
    <row r="136" spans="12:12" ht="30" customHeight="1" x14ac:dyDescent="0.2">
      <c r="L136" s="105"/>
    </row>
    <row r="137" spans="12:12" ht="30" customHeight="1" x14ac:dyDescent="0.2">
      <c r="L137" s="105"/>
    </row>
    <row r="138" spans="12:12" ht="30" customHeight="1" x14ac:dyDescent="0.2">
      <c r="L138" s="105"/>
    </row>
    <row r="139" spans="12:12" ht="30" customHeight="1" x14ac:dyDescent="0.2">
      <c r="L139" s="105"/>
    </row>
    <row r="140" spans="12:12" ht="30" customHeight="1" x14ac:dyDescent="0.2">
      <c r="L140" s="105"/>
    </row>
    <row r="141" spans="12:12" ht="30" customHeight="1" x14ac:dyDescent="0.2">
      <c r="L141" s="105"/>
    </row>
    <row r="142" spans="12:12" ht="30" customHeight="1" x14ac:dyDescent="0.2">
      <c r="L142" s="105"/>
    </row>
    <row r="143" spans="12:12" ht="30" customHeight="1" x14ac:dyDescent="0.2">
      <c r="L143" s="105"/>
    </row>
    <row r="144" spans="12:12" ht="30" customHeight="1" x14ac:dyDescent="0.2">
      <c r="L144" s="105"/>
    </row>
    <row r="145" spans="12:12" ht="30" customHeight="1" x14ac:dyDescent="0.2">
      <c r="L145" s="105"/>
    </row>
    <row r="146" spans="12:12" ht="30" customHeight="1" x14ac:dyDescent="0.2">
      <c r="L146" s="105"/>
    </row>
    <row r="147" spans="12:12" ht="30" customHeight="1" x14ac:dyDescent="0.2">
      <c r="L147" s="105"/>
    </row>
    <row r="148" spans="12:12" ht="30" customHeight="1" x14ac:dyDescent="0.2">
      <c r="L148" s="105"/>
    </row>
    <row r="149" spans="12:12" ht="30" customHeight="1" x14ac:dyDescent="0.2">
      <c r="L149" s="105"/>
    </row>
    <row r="150" spans="12:12" ht="30" customHeight="1" x14ac:dyDescent="0.2">
      <c r="L150" s="105"/>
    </row>
    <row r="151" spans="12:12" ht="30" customHeight="1" x14ac:dyDescent="0.2">
      <c r="L151" s="105"/>
    </row>
    <row r="152" spans="12:12" ht="30" customHeight="1" x14ac:dyDescent="0.2">
      <c r="L152" s="105"/>
    </row>
    <row r="153" spans="12:12" ht="30" customHeight="1" x14ac:dyDescent="0.2">
      <c r="L153" s="105"/>
    </row>
    <row r="154" spans="12:12" ht="30" customHeight="1" x14ac:dyDescent="0.2">
      <c r="L154" s="105"/>
    </row>
    <row r="155" spans="12:12" ht="30" customHeight="1" x14ac:dyDescent="0.2">
      <c r="L155" s="105"/>
    </row>
    <row r="156" spans="12:12" ht="30" customHeight="1" x14ac:dyDescent="0.2">
      <c r="L156" s="105"/>
    </row>
    <row r="157" spans="12:12" ht="30" customHeight="1" x14ac:dyDescent="0.2">
      <c r="L157" s="105"/>
    </row>
    <row r="158" spans="12:12" ht="30" customHeight="1" x14ac:dyDescent="0.2">
      <c r="L158" s="105"/>
    </row>
    <row r="159" spans="12:12" ht="30" customHeight="1" x14ac:dyDescent="0.2">
      <c r="L159" s="105"/>
    </row>
    <row r="160" spans="12:12" ht="30" customHeight="1" x14ac:dyDescent="0.2">
      <c r="L160" s="105"/>
    </row>
    <row r="161" spans="12:12" ht="30" customHeight="1" x14ac:dyDescent="0.2">
      <c r="L161" s="105"/>
    </row>
    <row r="162" spans="12:12" ht="30" customHeight="1" x14ac:dyDescent="0.2">
      <c r="L162" s="105"/>
    </row>
    <row r="163" spans="12:12" ht="30" customHeight="1" x14ac:dyDescent="0.2">
      <c r="L163" s="105"/>
    </row>
    <row r="164" spans="12:12" ht="30" customHeight="1" x14ac:dyDescent="0.2">
      <c r="L164" s="105"/>
    </row>
    <row r="165" spans="12:12" ht="30" customHeight="1" x14ac:dyDescent="0.2">
      <c r="L165" s="105"/>
    </row>
    <row r="166" spans="12:12" ht="30" customHeight="1" x14ac:dyDescent="0.2">
      <c r="L166" s="105"/>
    </row>
    <row r="167" spans="12:12" ht="30" customHeight="1" x14ac:dyDescent="0.2">
      <c r="L167" s="105"/>
    </row>
    <row r="168" spans="12:12" ht="30" customHeight="1" x14ac:dyDescent="0.2">
      <c r="L168" s="105"/>
    </row>
    <row r="169" spans="12:12" ht="30" customHeight="1" x14ac:dyDescent="0.2">
      <c r="L169" s="105"/>
    </row>
    <row r="170" spans="12:12" ht="30" customHeight="1" x14ac:dyDescent="0.2">
      <c r="L170" s="105"/>
    </row>
    <row r="171" spans="12:12" ht="30" customHeight="1" x14ac:dyDescent="0.2">
      <c r="L171" s="105"/>
    </row>
    <row r="172" spans="12:12" ht="30" customHeight="1" x14ac:dyDescent="0.2">
      <c r="L172" s="105"/>
    </row>
    <row r="173" spans="12:12" ht="30" customHeight="1" x14ac:dyDescent="0.2">
      <c r="L173" s="105"/>
    </row>
    <row r="174" spans="12:12" ht="30" customHeight="1" x14ac:dyDescent="0.2">
      <c r="L174" s="105"/>
    </row>
    <row r="175" spans="12:12" ht="30" customHeight="1" x14ac:dyDescent="0.2">
      <c r="L175" s="105"/>
    </row>
    <row r="176" spans="12:12" ht="30" customHeight="1" x14ac:dyDescent="0.2">
      <c r="L176" s="105"/>
    </row>
    <row r="177" spans="12:12" ht="30" customHeight="1" x14ac:dyDescent="0.2">
      <c r="L177" s="105"/>
    </row>
    <row r="178" spans="12:12" ht="30" customHeight="1" x14ac:dyDescent="0.2">
      <c r="L178" s="105"/>
    </row>
    <row r="179" spans="12:12" ht="30" customHeight="1" x14ac:dyDescent="0.2">
      <c r="L179" s="105"/>
    </row>
    <row r="180" spans="12:12" ht="30" customHeight="1" x14ac:dyDescent="0.2">
      <c r="L180" s="105"/>
    </row>
    <row r="181" spans="12:12" ht="30" customHeight="1" x14ac:dyDescent="0.2">
      <c r="L181" s="105"/>
    </row>
    <row r="182" spans="12:12" ht="30" customHeight="1" x14ac:dyDescent="0.2">
      <c r="L182" s="105"/>
    </row>
    <row r="183" spans="12:12" ht="30" customHeight="1" x14ac:dyDescent="0.2">
      <c r="L183" s="105"/>
    </row>
    <row r="184" spans="12:12" ht="30" customHeight="1" x14ac:dyDescent="0.2">
      <c r="L184" s="105"/>
    </row>
    <row r="185" spans="12:12" ht="30" customHeight="1" x14ac:dyDescent="0.2">
      <c r="L185" s="105"/>
    </row>
    <row r="186" spans="12:12" ht="30" customHeight="1" x14ac:dyDescent="0.2">
      <c r="L186" s="105"/>
    </row>
    <row r="187" spans="12:12" ht="30" customHeight="1" x14ac:dyDescent="0.2">
      <c r="L187" s="105"/>
    </row>
    <row r="188" spans="12:12" ht="30" customHeight="1" x14ac:dyDescent="0.2">
      <c r="L188" s="105"/>
    </row>
    <row r="189" spans="12:12" ht="30" customHeight="1" x14ac:dyDescent="0.2">
      <c r="L189" s="105"/>
    </row>
    <row r="190" spans="12:12" ht="30" customHeight="1" x14ac:dyDescent="0.2">
      <c r="L190" s="105"/>
    </row>
    <row r="191" spans="12:12" ht="30" customHeight="1" x14ac:dyDescent="0.2">
      <c r="L191" s="105"/>
    </row>
    <row r="192" spans="12:12" ht="30" customHeight="1" x14ac:dyDescent="0.2">
      <c r="L192" s="105"/>
    </row>
    <row r="193" spans="12:12" ht="30" customHeight="1" x14ac:dyDescent="0.2">
      <c r="L193" s="105"/>
    </row>
    <row r="194" spans="12:12" ht="30" customHeight="1" x14ac:dyDescent="0.2">
      <c r="L194" s="105"/>
    </row>
    <row r="195" spans="12:12" ht="30" customHeight="1" x14ac:dyDescent="0.2">
      <c r="L195" s="105"/>
    </row>
    <row r="196" spans="12:12" ht="30" customHeight="1" x14ac:dyDescent="0.2">
      <c r="L196" s="105"/>
    </row>
    <row r="197" spans="12:12" ht="30" customHeight="1" x14ac:dyDescent="0.2">
      <c r="L197" s="105"/>
    </row>
    <row r="198" spans="12:12" ht="30" customHeight="1" x14ac:dyDescent="0.2">
      <c r="L198" s="105"/>
    </row>
    <row r="199" spans="12:12" ht="30" customHeight="1" x14ac:dyDescent="0.2">
      <c r="L199" s="105"/>
    </row>
    <row r="200" spans="12:12" ht="30" customHeight="1" x14ac:dyDescent="0.2">
      <c r="L200" s="105"/>
    </row>
    <row r="201" spans="12:12" ht="30" customHeight="1" x14ac:dyDescent="0.2">
      <c r="L201" s="105"/>
    </row>
    <row r="202" spans="12:12" ht="30" customHeight="1" x14ac:dyDescent="0.2">
      <c r="L202" s="105"/>
    </row>
    <row r="203" spans="12:12" ht="30" customHeight="1" x14ac:dyDescent="0.2">
      <c r="L203" s="105"/>
    </row>
    <row r="204" spans="12:12" ht="30" customHeight="1" x14ac:dyDescent="0.2">
      <c r="L204" s="105"/>
    </row>
    <row r="205" spans="12:12" ht="30" customHeight="1" x14ac:dyDescent="0.2">
      <c r="L205" s="105"/>
    </row>
    <row r="206" spans="12:12" ht="30" customHeight="1" x14ac:dyDescent="0.2">
      <c r="L206" s="105"/>
    </row>
    <row r="207" spans="12:12" ht="30" customHeight="1" x14ac:dyDescent="0.2">
      <c r="L207" s="105"/>
    </row>
    <row r="208" spans="12:12" ht="30" customHeight="1" x14ac:dyDescent="0.2">
      <c r="L208" s="105"/>
    </row>
    <row r="209" spans="12:12" ht="30" customHeight="1" x14ac:dyDescent="0.2">
      <c r="L209" s="105"/>
    </row>
    <row r="210" spans="12:12" ht="30" customHeight="1" x14ac:dyDescent="0.2">
      <c r="L210" s="105"/>
    </row>
    <row r="211" spans="12:12" ht="30" customHeight="1" x14ac:dyDescent="0.2">
      <c r="L211" s="105"/>
    </row>
    <row r="212" spans="12:12" ht="30" customHeight="1" x14ac:dyDescent="0.2">
      <c r="L212" s="105"/>
    </row>
    <row r="213" spans="12:12" ht="30" customHeight="1" x14ac:dyDescent="0.2">
      <c r="L213" s="105"/>
    </row>
    <row r="214" spans="12:12" ht="30" customHeight="1" x14ac:dyDescent="0.2">
      <c r="L214" s="105"/>
    </row>
    <row r="215" spans="12:12" ht="30" customHeight="1" x14ac:dyDescent="0.2">
      <c r="L215" s="105"/>
    </row>
    <row r="216" spans="12:12" ht="30" customHeight="1" x14ac:dyDescent="0.2">
      <c r="L216" s="105"/>
    </row>
    <row r="217" spans="12:12" ht="30" customHeight="1" x14ac:dyDescent="0.2">
      <c r="L217" s="105"/>
    </row>
    <row r="218" spans="12:12" ht="30" customHeight="1" x14ac:dyDescent="0.2">
      <c r="L218" s="105"/>
    </row>
    <row r="219" spans="12:12" ht="30" customHeight="1" x14ac:dyDescent="0.2">
      <c r="L219" s="105"/>
    </row>
    <row r="220" spans="12:12" ht="30" customHeight="1" x14ac:dyDescent="0.2">
      <c r="L220" s="105"/>
    </row>
    <row r="221" spans="12:12" ht="30" customHeight="1" x14ac:dyDescent="0.2">
      <c r="L221" s="105"/>
    </row>
    <row r="222" spans="12:12" ht="30" customHeight="1" x14ac:dyDescent="0.2">
      <c r="L222" s="105"/>
    </row>
    <row r="223" spans="12:12" ht="30" customHeight="1" x14ac:dyDescent="0.2">
      <c r="L223" s="105"/>
    </row>
    <row r="224" spans="12:12" ht="30" customHeight="1" x14ac:dyDescent="0.2">
      <c r="L224" s="105"/>
    </row>
    <row r="225" spans="12:12" ht="30" customHeight="1" x14ac:dyDescent="0.2">
      <c r="L225" s="105"/>
    </row>
    <row r="226" spans="12:12" ht="30" customHeight="1" x14ac:dyDescent="0.2">
      <c r="L226" s="105"/>
    </row>
    <row r="227" spans="12:12" ht="30" customHeight="1" x14ac:dyDescent="0.2">
      <c r="L227" s="105"/>
    </row>
    <row r="228" spans="12:12" ht="30" customHeight="1" x14ac:dyDescent="0.2">
      <c r="L228" s="105"/>
    </row>
    <row r="229" spans="12:12" ht="30" customHeight="1" x14ac:dyDescent="0.2">
      <c r="L229" s="105"/>
    </row>
    <row r="230" spans="12:12" ht="30" customHeight="1" x14ac:dyDescent="0.2">
      <c r="L230" s="105"/>
    </row>
    <row r="231" spans="12:12" ht="30" customHeight="1" x14ac:dyDescent="0.2">
      <c r="L231" s="105"/>
    </row>
    <row r="232" spans="12:12" ht="30" customHeight="1" x14ac:dyDescent="0.2">
      <c r="L232" s="105"/>
    </row>
    <row r="233" spans="12:12" ht="30" customHeight="1" x14ac:dyDescent="0.2">
      <c r="L233" s="105"/>
    </row>
    <row r="234" spans="12:12" ht="30" customHeight="1" x14ac:dyDescent="0.2">
      <c r="L234" s="105"/>
    </row>
    <row r="235" spans="12:12" ht="30" customHeight="1" x14ac:dyDescent="0.2">
      <c r="L235" s="105"/>
    </row>
    <row r="236" spans="12:12" ht="30" customHeight="1" x14ac:dyDescent="0.2">
      <c r="L236" s="105"/>
    </row>
    <row r="237" spans="12:12" ht="30" customHeight="1" x14ac:dyDescent="0.2">
      <c r="L237" s="105"/>
    </row>
    <row r="238" spans="12:12" ht="30" customHeight="1" x14ac:dyDescent="0.2">
      <c r="L238" s="105"/>
    </row>
    <row r="239" spans="12:12" ht="30" customHeight="1" x14ac:dyDescent="0.2">
      <c r="L239" s="105"/>
    </row>
    <row r="240" spans="12:12" ht="30" customHeight="1" x14ac:dyDescent="0.2">
      <c r="L240" s="105"/>
    </row>
    <row r="241" spans="12:12" ht="30" customHeight="1" x14ac:dyDescent="0.2">
      <c r="L241" s="105"/>
    </row>
    <row r="242" spans="12:12" ht="30" customHeight="1" x14ac:dyDescent="0.2">
      <c r="L242" s="105"/>
    </row>
    <row r="243" spans="12:12" ht="30" customHeight="1" x14ac:dyDescent="0.2">
      <c r="L243" s="105"/>
    </row>
    <row r="244" spans="12:12" ht="30" customHeight="1" x14ac:dyDescent="0.2">
      <c r="L244" s="105"/>
    </row>
    <row r="245" spans="12:12" ht="30" customHeight="1" x14ac:dyDescent="0.2">
      <c r="L245" s="105"/>
    </row>
    <row r="246" spans="12:12" ht="30" customHeight="1" x14ac:dyDescent="0.2">
      <c r="L246" s="105"/>
    </row>
    <row r="247" spans="12:12" ht="30" customHeight="1" x14ac:dyDescent="0.2">
      <c r="L247" s="105"/>
    </row>
    <row r="248" spans="12:12" ht="30" customHeight="1" x14ac:dyDescent="0.2">
      <c r="L248" s="105"/>
    </row>
    <row r="249" spans="12:12" ht="30" customHeight="1" x14ac:dyDescent="0.2">
      <c r="L249" s="105"/>
    </row>
    <row r="250" spans="12:12" ht="30" customHeight="1" x14ac:dyDescent="0.2">
      <c r="L250" s="105"/>
    </row>
    <row r="251" spans="12:12" ht="30" customHeight="1" x14ac:dyDescent="0.2">
      <c r="L251" s="105"/>
    </row>
    <row r="252" spans="12:12" ht="30" customHeight="1" x14ac:dyDescent="0.2">
      <c r="L252" s="105"/>
    </row>
    <row r="253" spans="12:12" ht="30" customHeight="1" x14ac:dyDescent="0.2">
      <c r="L253" s="105"/>
    </row>
    <row r="254" spans="12:12" ht="30" customHeight="1" x14ac:dyDescent="0.2">
      <c r="L254" s="105"/>
    </row>
    <row r="255" spans="12:12" ht="30" customHeight="1" x14ac:dyDescent="0.2">
      <c r="L255" s="105"/>
    </row>
    <row r="256" spans="12:12" ht="30" customHeight="1" x14ac:dyDescent="0.2">
      <c r="L256" s="105"/>
    </row>
    <row r="257" spans="12:12" ht="30" customHeight="1" x14ac:dyDescent="0.2">
      <c r="L257" s="105"/>
    </row>
    <row r="258" spans="12:12" ht="30" customHeight="1" x14ac:dyDescent="0.2">
      <c r="L258" s="105"/>
    </row>
    <row r="259" spans="12:12" ht="30" customHeight="1" x14ac:dyDescent="0.2">
      <c r="L259" s="105"/>
    </row>
    <row r="260" spans="12:12" ht="30" customHeight="1" x14ac:dyDescent="0.2">
      <c r="L260" s="105"/>
    </row>
    <row r="261" spans="12:12" ht="30" customHeight="1" x14ac:dyDescent="0.2">
      <c r="L261" s="105"/>
    </row>
    <row r="262" spans="12:12" ht="30" customHeight="1" x14ac:dyDescent="0.2">
      <c r="L262" s="105"/>
    </row>
    <row r="263" spans="12:12" ht="30" customHeight="1" x14ac:dyDescent="0.2">
      <c r="L263" s="105"/>
    </row>
    <row r="264" spans="12:12" ht="30" customHeight="1" x14ac:dyDescent="0.2">
      <c r="L264" s="105"/>
    </row>
    <row r="265" spans="12:12" ht="30" customHeight="1" x14ac:dyDescent="0.2">
      <c r="L265" s="105"/>
    </row>
    <row r="266" spans="12:12" ht="30" customHeight="1" x14ac:dyDescent="0.2">
      <c r="L266" s="105"/>
    </row>
    <row r="267" spans="12:12" ht="30" customHeight="1" x14ac:dyDescent="0.2">
      <c r="L267" s="105"/>
    </row>
    <row r="268" spans="12:12" ht="30" customHeight="1" x14ac:dyDescent="0.2">
      <c r="L268" s="105"/>
    </row>
    <row r="269" spans="12:12" ht="30" customHeight="1" x14ac:dyDescent="0.2">
      <c r="L269" s="105"/>
    </row>
    <row r="270" spans="12:12" ht="30" customHeight="1" x14ac:dyDescent="0.2">
      <c r="L270" s="105"/>
    </row>
    <row r="271" spans="12:12" ht="30" customHeight="1" x14ac:dyDescent="0.2">
      <c r="L271" s="105"/>
    </row>
    <row r="272" spans="12:12" ht="30" customHeight="1" x14ac:dyDescent="0.2">
      <c r="L272" s="105"/>
    </row>
    <row r="273" spans="12:12" ht="30" customHeight="1" x14ac:dyDescent="0.2">
      <c r="L273" s="105"/>
    </row>
    <row r="274" spans="12:12" ht="30" customHeight="1" x14ac:dyDescent="0.2">
      <c r="L274" s="105"/>
    </row>
    <row r="275" spans="12:12" ht="30" customHeight="1" x14ac:dyDescent="0.2">
      <c r="L275" s="105"/>
    </row>
    <row r="276" spans="12:12" ht="30" customHeight="1" x14ac:dyDescent="0.2">
      <c r="L276" s="105"/>
    </row>
    <row r="277" spans="12:12" ht="30" customHeight="1" x14ac:dyDescent="0.2">
      <c r="L277" s="105"/>
    </row>
    <row r="278" spans="12:12" ht="30" customHeight="1" x14ac:dyDescent="0.2">
      <c r="L278" s="105"/>
    </row>
    <row r="279" spans="12:12" ht="30" customHeight="1" x14ac:dyDescent="0.2">
      <c r="L279" s="105"/>
    </row>
    <row r="280" spans="12:12" ht="30" customHeight="1" x14ac:dyDescent="0.2">
      <c r="L280" s="105"/>
    </row>
    <row r="281" spans="12:12" ht="30" customHeight="1" x14ac:dyDescent="0.2">
      <c r="L281" s="105"/>
    </row>
    <row r="282" spans="12:12" ht="30" customHeight="1" x14ac:dyDescent="0.2">
      <c r="L282" s="105"/>
    </row>
    <row r="283" spans="12:12" ht="30" customHeight="1" x14ac:dyDescent="0.2">
      <c r="L283" s="105"/>
    </row>
    <row r="284" spans="12:12" ht="30" customHeight="1" x14ac:dyDescent="0.2">
      <c r="L284" s="105"/>
    </row>
    <row r="285" spans="12:12" ht="30" customHeight="1" x14ac:dyDescent="0.2">
      <c r="L285" s="105"/>
    </row>
    <row r="286" spans="12:12" ht="30" customHeight="1" x14ac:dyDescent="0.2">
      <c r="L286" s="105"/>
    </row>
    <row r="287" spans="12:12" ht="30" customHeight="1" x14ac:dyDescent="0.2">
      <c r="L287" s="105"/>
    </row>
    <row r="288" spans="12:12" ht="30" customHeight="1" x14ac:dyDescent="0.2">
      <c r="L288" s="105"/>
    </row>
    <row r="289" spans="12:12" ht="30" customHeight="1" x14ac:dyDescent="0.2">
      <c r="L289" s="105"/>
    </row>
    <row r="290" spans="12:12" ht="30" customHeight="1" x14ac:dyDescent="0.2">
      <c r="L290" s="105"/>
    </row>
    <row r="291" spans="12:12" ht="30" customHeight="1" x14ac:dyDescent="0.2">
      <c r="L291" s="105"/>
    </row>
    <row r="292" spans="12:12" ht="30" customHeight="1" x14ac:dyDescent="0.2">
      <c r="L292" s="105"/>
    </row>
    <row r="293" spans="12:12" ht="30" customHeight="1" x14ac:dyDescent="0.2">
      <c r="L293" s="105"/>
    </row>
    <row r="294" spans="12:12" ht="30" customHeight="1" x14ac:dyDescent="0.2">
      <c r="L294" s="105"/>
    </row>
    <row r="295" spans="12:12" ht="30" customHeight="1" x14ac:dyDescent="0.2">
      <c r="L295" s="105"/>
    </row>
    <row r="296" spans="12:12" ht="30" customHeight="1" x14ac:dyDescent="0.2">
      <c r="L296" s="105"/>
    </row>
    <row r="297" spans="12:12" ht="30" customHeight="1" x14ac:dyDescent="0.2">
      <c r="L297" s="105"/>
    </row>
    <row r="298" spans="12:12" ht="30" customHeight="1" x14ac:dyDescent="0.2">
      <c r="L298" s="105"/>
    </row>
    <row r="299" spans="12:12" ht="30" customHeight="1" x14ac:dyDescent="0.2">
      <c r="L299" s="105"/>
    </row>
    <row r="300" spans="12:12" ht="30" customHeight="1" x14ac:dyDescent="0.2">
      <c r="L300" s="105"/>
    </row>
    <row r="301" spans="12:12" ht="30" customHeight="1" x14ac:dyDescent="0.2">
      <c r="L301" s="105"/>
    </row>
    <row r="302" spans="12:12" ht="30" customHeight="1" x14ac:dyDescent="0.2">
      <c r="L302" s="105"/>
    </row>
    <row r="303" spans="12:12" ht="30" customHeight="1" x14ac:dyDescent="0.2">
      <c r="L303" s="105"/>
    </row>
    <row r="304" spans="12:12" ht="30" customHeight="1" x14ac:dyDescent="0.2">
      <c r="L304" s="105"/>
    </row>
    <row r="305" spans="12:12" ht="30" customHeight="1" x14ac:dyDescent="0.2">
      <c r="L305" s="105"/>
    </row>
    <row r="306" spans="12:12" ht="30" customHeight="1" x14ac:dyDescent="0.2">
      <c r="L306" s="105"/>
    </row>
    <row r="307" spans="12:12" ht="30" customHeight="1" x14ac:dyDescent="0.2">
      <c r="L307" s="105"/>
    </row>
    <row r="308" spans="12:12" ht="30" customHeight="1" x14ac:dyDescent="0.2">
      <c r="L308" s="105"/>
    </row>
    <row r="309" spans="12:12" ht="30" customHeight="1" x14ac:dyDescent="0.2">
      <c r="L309" s="105"/>
    </row>
    <row r="310" spans="12:12" ht="30" customHeight="1" x14ac:dyDescent="0.2">
      <c r="L310" s="105"/>
    </row>
    <row r="311" spans="12:12" ht="30" customHeight="1" x14ac:dyDescent="0.2">
      <c r="L311" s="105"/>
    </row>
    <row r="312" spans="12:12" ht="30" customHeight="1" x14ac:dyDescent="0.2">
      <c r="L312" s="105"/>
    </row>
    <row r="313" spans="12:12" ht="30" customHeight="1" x14ac:dyDescent="0.2">
      <c r="L313" s="105"/>
    </row>
    <row r="314" spans="12:12" ht="30" customHeight="1" x14ac:dyDescent="0.2">
      <c r="L314" s="105"/>
    </row>
    <row r="315" spans="12:12" ht="30" customHeight="1" x14ac:dyDescent="0.2">
      <c r="L315" s="105"/>
    </row>
    <row r="316" spans="12:12" ht="30" customHeight="1" x14ac:dyDescent="0.2">
      <c r="L316" s="105"/>
    </row>
    <row r="317" spans="12:12" ht="30" customHeight="1" x14ac:dyDescent="0.2">
      <c r="L317" s="105"/>
    </row>
    <row r="318" spans="12:12" ht="30" customHeight="1" x14ac:dyDescent="0.2">
      <c r="L318" s="105"/>
    </row>
    <row r="319" spans="12:12" ht="30" customHeight="1" x14ac:dyDescent="0.2">
      <c r="L319" s="105"/>
    </row>
    <row r="320" spans="12:12" ht="30" customHeight="1" x14ac:dyDescent="0.2">
      <c r="L320" s="105"/>
    </row>
    <row r="321" spans="12:12" ht="30" customHeight="1" x14ac:dyDescent="0.2">
      <c r="L321" s="105"/>
    </row>
    <row r="322" spans="12:12" ht="30" customHeight="1" x14ac:dyDescent="0.2">
      <c r="L322" s="105"/>
    </row>
    <row r="323" spans="12:12" ht="30" customHeight="1" x14ac:dyDescent="0.2">
      <c r="L323" s="105"/>
    </row>
    <row r="324" spans="12:12" ht="30" customHeight="1" x14ac:dyDescent="0.2">
      <c r="L324" s="105"/>
    </row>
    <row r="325" spans="12:12" ht="30" customHeight="1" x14ac:dyDescent="0.2">
      <c r="L325" s="105"/>
    </row>
    <row r="326" spans="12:12" ht="30" customHeight="1" x14ac:dyDescent="0.2">
      <c r="L326" s="105"/>
    </row>
    <row r="327" spans="12:12" ht="30" customHeight="1" x14ac:dyDescent="0.2">
      <c r="L327" s="105"/>
    </row>
    <row r="328" spans="12:12" ht="30" customHeight="1" x14ac:dyDescent="0.2">
      <c r="L328" s="105"/>
    </row>
    <row r="329" spans="12:12" ht="30" customHeight="1" x14ac:dyDescent="0.2">
      <c r="L329" s="105"/>
    </row>
    <row r="330" spans="12:12" ht="30" customHeight="1" x14ac:dyDescent="0.2">
      <c r="L330" s="105"/>
    </row>
    <row r="331" spans="12:12" ht="30" customHeight="1" x14ac:dyDescent="0.2">
      <c r="L331" s="105"/>
    </row>
    <row r="332" spans="12:12" ht="30" customHeight="1" x14ac:dyDescent="0.2">
      <c r="L332" s="105"/>
    </row>
    <row r="333" spans="12:12" ht="30" customHeight="1" x14ac:dyDescent="0.2">
      <c r="L333" s="105"/>
    </row>
    <row r="334" spans="12:12" ht="30" customHeight="1" x14ac:dyDescent="0.2">
      <c r="L334" s="105"/>
    </row>
    <row r="335" spans="12:12" ht="30" customHeight="1" x14ac:dyDescent="0.2">
      <c r="L335" s="105"/>
    </row>
    <row r="336" spans="12:12" ht="30" customHeight="1" x14ac:dyDescent="0.2">
      <c r="L336" s="105"/>
    </row>
    <row r="337" spans="12:12" ht="30" customHeight="1" x14ac:dyDescent="0.2">
      <c r="L337" s="105"/>
    </row>
    <row r="338" spans="12:12" ht="30" customHeight="1" x14ac:dyDescent="0.2">
      <c r="L338" s="105"/>
    </row>
    <row r="339" spans="12:12" ht="30" customHeight="1" x14ac:dyDescent="0.2">
      <c r="L339" s="105"/>
    </row>
    <row r="340" spans="12:12" ht="30" customHeight="1" x14ac:dyDescent="0.2">
      <c r="L340" s="105"/>
    </row>
    <row r="341" spans="12:12" ht="30" customHeight="1" x14ac:dyDescent="0.2">
      <c r="L341" s="105"/>
    </row>
    <row r="342" spans="12:12" ht="30" customHeight="1" x14ac:dyDescent="0.2">
      <c r="L342" s="105"/>
    </row>
  </sheetData>
  <autoFilter ref="A2:L108" xr:uid="{10212195-C2A3-410A-979F-03577F0564A8}"/>
  <sortState xmlns:xlrd2="http://schemas.microsoft.com/office/spreadsheetml/2017/richdata2" ref="D4:M104">
    <sortCondition ref="D104"/>
  </sortState>
  <mergeCells count="4">
    <mergeCell ref="I2:I3"/>
    <mergeCell ref="K2:K3"/>
    <mergeCell ref="L2:L3"/>
    <mergeCell ref="A3:B3"/>
  </mergeCells>
  <conditionalFormatting sqref="L4:L71 L73 L75:L342">
    <cfRule type="cellIs" dxfId="0" priority="1" operator="greaterThan">
      <formula>$L$1</formula>
    </cfRule>
  </conditionalFormatting>
  <dataValidations disablePrompts="1" count="1">
    <dataValidation type="whole" allowBlank="1" showErrorMessage="1" error="Valor incorrecto._x000a_Por favor, ingrese solo números sin guiones ni barras." sqref="D77" xr:uid="{F3ABEF87-276C-40E6-B00A-9576499C4FEE}">
      <formula1>20017500</formula1>
      <formula2>999999999</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dimension ref="A1:K475"/>
  <sheetViews>
    <sheetView workbookViewId="0"/>
  </sheetViews>
  <sheetFormatPr defaultColWidth="10.76171875" defaultRowHeight="15" x14ac:dyDescent="0.2"/>
  <cols>
    <col min="2" max="2" width="61.4765625" customWidth="1"/>
    <col min="3" max="3" width="59.1875" customWidth="1"/>
  </cols>
  <sheetData>
    <row r="1" spans="1:3" ht="41.25" customHeight="1" x14ac:dyDescent="0.2">
      <c r="A1" s="3" t="s">
        <v>0</v>
      </c>
      <c r="B1" s="3" t="s">
        <v>15</v>
      </c>
      <c r="C1" s="3" t="s">
        <v>428</v>
      </c>
    </row>
    <row r="2" spans="1:3" x14ac:dyDescent="0.2">
      <c r="A2" s="1"/>
      <c r="B2" s="1"/>
      <c r="C2" s="2"/>
    </row>
    <row r="3" spans="1:3" x14ac:dyDescent="0.2">
      <c r="A3" s="51"/>
      <c r="B3" s="51"/>
      <c r="C3" s="51"/>
    </row>
    <row r="4" spans="1:3" x14ac:dyDescent="0.2">
      <c r="A4" s="1"/>
      <c r="B4" s="1"/>
      <c r="C4" s="2"/>
    </row>
    <row r="5" spans="1:3" x14ac:dyDescent="0.2">
      <c r="A5" s="52"/>
      <c r="B5" s="52"/>
      <c r="C5" s="52"/>
    </row>
    <row r="6" spans="1:3" x14ac:dyDescent="0.2">
      <c r="A6" s="52"/>
      <c r="B6" s="52"/>
      <c r="C6" s="52"/>
    </row>
    <row r="7" spans="1:3" x14ac:dyDescent="0.2">
      <c r="A7" s="1"/>
      <c r="B7" s="1"/>
      <c r="C7" s="2"/>
    </row>
    <row r="8" spans="1:3" x14ac:dyDescent="0.2">
      <c r="A8" s="1"/>
      <c r="B8" s="1"/>
      <c r="C8" s="2"/>
    </row>
    <row r="9" spans="1:3" x14ac:dyDescent="0.2">
      <c r="A9" s="1"/>
      <c r="B9" s="1"/>
      <c r="C9" s="2"/>
    </row>
    <row r="10" spans="1:3" x14ac:dyDescent="0.2">
      <c r="A10" s="1"/>
      <c r="B10" s="1"/>
      <c r="C10" s="2"/>
    </row>
    <row r="11" spans="1:3" x14ac:dyDescent="0.2">
      <c r="A11" s="1"/>
      <c r="B11" s="1"/>
      <c r="C11" s="2"/>
    </row>
    <row r="12" spans="1:3" x14ac:dyDescent="0.2">
      <c r="A12" s="1"/>
      <c r="B12" s="1"/>
      <c r="C12" s="2"/>
    </row>
    <row r="13" spans="1:3" x14ac:dyDescent="0.2">
      <c r="A13" s="1"/>
      <c r="B13" s="1"/>
      <c r="C13" s="2"/>
    </row>
    <row r="14" spans="1:3" x14ac:dyDescent="0.2">
      <c r="A14" s="51"/>
      <c r="B14" s="51"/>
      <c r="C14" s="51"/>
    </row>
    <row r="15" spans="1:3" x14ac:dyDescent="0.2">
      <c r="A15" s="1"/>
      <c r="B15" s="1"/>
      <c r="C15" s="2"/>
    </row>
    <row r="16" spans="1:3" x14ac:dyDescent="0.2">
      <c r="A16" s="1"/>
      <c r="B16" s="1"/>
      <c r="C16" s="2"/>
    </row>
    <row r="17" spans="1:3" x14ac:dyDescent="0.2">
      <c r="A17" s="51"/>
      <c r="B17" s="51"/>
      <c r="C17" s="51"/>
    </row>
    <row r="18" spans="1:3" x14ac:dyDescent="0.2">
      <c r="A18" s="1"/>
      <c r="B18" s="1"/>
      <c r="C18" s="2"/>
    </row>
    <row r="19" spans="1:3" x14ac:dyDescent="0.2">
      <c r="A19" s="1"/>
      <c r="B19" s="1"/>
      <c r="C19" s="2"/>
    </row>
    <row r="20" spans="1:3" x14ac:dyDescent="0.2">
      <c r="A20" s="29"/>
      <c r="B20" s="29"/>
      <c r="C20" s="29"/>
    </row>
    <row r="21" spans="1:3" x14ac:dyDescent="0.2">
      <c r="A21" s="1"/>
      <c r="B21" s="1"/>
      <c r="C21" s="2"/>
    </row>
    <row r="22" spans="1:3" x14ac:dyDescent="0.2">
      <c r="A22" s="1"/>
      <c r="B22" s="1"/>
      <c r="C22" s="2"/>
    </row>
    <row r="23" spans="1:3" x14ac:dyDescent="0.2">
      <c r="A23" s="1"/>
      <c r="B23" s="1"/>
      <c r="C23" s="2"/>
    </row>
    <row r="24" spans="1:3" x14ac:dyDescent="0.2">
      <c r="A24" s="51"/>
      <c r="B24" s="51"/>
      <c r="C24" s="51"/>
    </row>
    <row r="25" spans="1:3" x14ac:dyDescent="0.2">
      <c r="A25" s="1"/>
      <c r="B25" s="1"/>
      <c r="C25" s="2"/>
    </row>
    <row r="26" spans="1:3" x14ac:dyDescent="0.2">
      <c r="A26" s="1"/>
      <c r="B26" s="1"/>
      <c r="C26" s="2"/>
    </row>
    <row r="27" spans="1:3" x14ac:dyDescent="0.2">
      <c r="A27" s="1"/>
      <c r="B27" s="1"/>
      <c r="C27" s="2"/>
    </row>
    <row r="28" spans="1:3" x14ac:dyDescent="0.2">
      <c r="A28" s="29"/>
      <c r="B28" s="29"/>
      <c r="C28" s="29"/>
    </row>
    <row r="29" spans="1:3" x14ac:dyDescent="0.2">
      <c r="A29" s="52"/>
      <c r="B29" s="52"/>
      <c r="C29" s="52"/>
    </row>
    <row r="30" spans="1:3" x14ac:dyDescent="0.2">
      <c r="A30" s="1"/>
      <c r="B30" s="1"/>
      <c r="C30" s="2"/>
    </row>
    <row r="31" spans="1:3" x14ac:dyDescent="0.2">
      <c r="A31" s="1"/>
      <c r="B31" s="1"/>
      <c r="C31" s="2"/>
    </row>
    <row r="32" spans="1:3" x14ac:dyDescent="0.2">
      <c r="A32" s="1"/>
      <c r="B32" s="1"/>
      <c r="C32" s="2"/>
    </row>
    <row r="33" spans="1:3" x14ac:dyDescent="0.2">
      <c r="A33" s="1"/>
      <c r="B33" s="1"/>
      <c r="C33" s="2"/>
    </row>
    <row r="34" spans="1:3" x14ac:dyDescent="0.2">
      <c r="A34" s="1"/>
      <c r="B34" s="1"/>
      <c r="C34" s="2"/>
    </row>
    <row r="35" spans="1:3" x14ac:dyDescent="0.2">
      <c r="A35" s="1"/>
      <c r="B35" s="1"/>
      <c r="C35" s="2"/>
    </row>
    <row r="36" spans="1:3" x14ac:dyDescent="0.2">
      <c r="A36" s="1"/>
      <c r="B36" s="1"/>
      <c r="C36" s="2"/>
    </row>
    <row r="37" spans="1:3" x14ac:dyDescent="0.2">
      <c r="A37" s="1"/>
      <c r="B37" s="1"/>
      <c r="C37" s="2"/>
    </row>
    <row r="38" spans="1:3" x14ac:dyDescent="0.2">
      <c r="A38" s="1"/>
      <c r="B38" s="1"/>
      <c r="C38" s="2"/>
    </row>
    <row r="39" spans="1:3" x14ac:dyDescent="0.2">
      <c r="A39" s="1"/>
      <c r="B39" s="1"/>
      <c r="C39" s="2"/>
    </row>
    <row r="40" spans="1:3" x14ac:dyDescent="0.2">
      <c r="A40" s="1"/>
      <c r="B40" s="1"/>
      <c r="C40" s="2"/>
    </row>
    <row r="41" spans="1:3" x14ac:dyDescent="0.2">
      <c r="A41" s="1"/>
      <c r="B41" s="1"/>
      <c r="C41" s="2"/>
    </row>
    <row r="42" spans="1:3" x14ac:dyDescent="0.2">
      <c r="A42" s="1"/>
      <c r="B42" s="1"/>
      <c r="C42" s="2"/>
    </row>
    <row r="43" spans="1:3" x14ac:dyDescent="0.2">
      <c r="A43" s="73"/>
      <c r="B43" s="74"/>
      <c r="C43" s="74"/>
    </row>
    <row r="44" spans="1:3" x14ac:dyDescent="0.2">
      <c r="A44" s="1"/>
      <c r="B44" s="1"/>
      <c r="C44" s="2"/>
    </row>
    <row r="45" spans="1:3" x14ac:dyDescent="0.2">
      <c r="A45" s="1"/>
      <c r="B45" s="1"/>
      <c r="C45" s="2"/>
    </row>
    <row r="46" spans="1:3" x14ac:dyDescent="0.2">
      <c r="A46" s="1"/>
      <c r="B46" s="1"/>
      <c r="C46" s="2"/>
    </row>
    <row r="47" spans="1:3" x14ac:dyDescent="0.2">
      <c r="A47" s="1"/>
      <c r="B47" s="1"/>
      <c r="C47" s="2"/>
    </row>
    <row r="48" spans="1:3" x14ac:dyDescent="0.2">
      <c r="A48" s="1"/>
      <c r="B48" s="1"/>
      <c r="C48" s="2"/>
    </row>
    <row r="49" spans="1:3" x14ac:dyDescent="0.2">
      <c r="A49" s="1"/>
      <c r="B49" s="1"/>
      <c r="C49" s="2"/>
    </row>
    <row r="50" spans="1:3" x14ac:dyDescent="0.2">
      <c r="A50" s="1"/>
      <c r="B50" s="1"/>
      <c r="C50" s="2"/>
    </row>
    <row r="51" spans="1:3" x14ac:dyDescent="0.2">
      <c r="A51" s="1"/>
      <c r="B51" s="1"/>
      <c r="C51" s="2"/>
    </row>
    <row r="52" spans="1:3" x14ac:dyDescent="0.2">
      <c r="A52" s="51"/>
      <c r="B52" s="51"/>
      <c r="C52" s="51"/>
    </row>
    <row r="53" spans="1:3" x14ac:dyDescent="0.2">
      <c r="A53" s="1"/>
      <c r="B53" s="1"/>
      <c r="C53" s="2"/>
    </row>
    <row r="54" spans="1:3" x14ac:dyDescent="0.2">
      <c r="A54" s="1"/>
      <c r="B54" s="1"/>
      <c r="C54" s="2"/>
    </row>
    <row r="55" spans="1:3" x14ac:dyDescent="0.2">
      <c r="A55" s="52"/>
      <c r="B55" s="52"/>
      <c r="C55" s="52"/>
    </row>
    <row r="56" spans="1:3" x14ac:dyDescent="0.2">
      <c r="A56" s="29"/>
      <c r="B56" s="29"/>
      <c r="C56" s="29"/>
    </row>
    <row r="57" spans="1:3" x14ac:dyDescent="0.2">
      <c r="A57" s="51"/>
      <c r="B57" s="51"/>
      <c r="C57" s="51"/>
    </row>
    <row r="58" spans="1:3" x14ac:dyDescent="0.2">
      <c r="A58" s="1"/>
      <c r="B58" s="1"/>
      <c r="C58" s="2"/>
    </row>
    <row r="59" spans="1:3" x14ac:dyDescent="0.2">
      <c r="A59" s="1"/>
      <c r="B59" s="1"/>
      <c r="C59" s="2"/>
    </row>
    <row r="60" spans="1:3" x14ac:dyDescent="0.2">
      <c r="A60" s="1"/>
      <c r="B60" s="1"/>
      <c r="C60" s="2"/>
    </row>
    <row r="61" spans="1:3" x14ac:dyDescent="0.2">
      <c r="A61" s="1"/>
      <c r="B61" s="1"/>
      <c r="C61" s="2"/>
    </row>
    <row r="62" spans="1:3" x14ac:dyDescent="0.2">
      <c r="A62" s="1"/>
      <c r="B62" s="1"/>
      <c r="C62" s="2"/>
    </row>
    <row r="63" spans="1:3" x14ac:dyDescent="0.2">
      <c r="A63" s="1"/>
      <c r="B63" s="1"/>
      <c r="C63" s="2"/>
    </row>
    <row r="64" spans="1:3" x14ac:dyDescent="0.2">
      <c r="A64" s="51"/>
      <c r="B64" s="51"/>
      <c r="C64" s="51"/>
    </row>
    <row r="65" spans="1:3" x14ac:dyDescent="0.2">
      <c r="A65" s="1"/>
      <c r="B65" s="1"/>
      <c r="C65" s="2"/>
    </row>
    <row r="66" spans="1:3" x14ac:dyDescent="0.2">
      <c r="A66" s="1"/>
      <c r="B66" s="1"/>
      <c r="C66" s="2"/>
    </row>
    <row r="67" spans="1:3" x14ac:dyDescent="0.2">
      <c r="A67" s="1"/>
      <c r="B67" s="1"/>
      <c r="C67" s="2"/>
    </row>
    <row r="68" spans="1:3" x14ac:dyDescent="0.2">
      <c r="A68" s="1"/>
      <c r="B68" s="1"/>
      <c r="C68" s="2"/>
    </row>
    <row r="69" spans="1:3" x14ac:dyDescent="0.2">
      <c r="A69" s="1"/>
      <c r="B69" s="1"/>
      <c r="C69" s="2"/>
    </row>
    <row r="70" spans="1:3" x14ac:dyDescent="0.2">
      <c r="A70" s="66"/>
      <c r="B70" s="67"/>
      <c r="C70" s="68"/>
    </row>
    <row r="71" spans="1:3" x14ac:dyDescent="0.2">
      <c r="A71" s="1"/>
      <c r="B71" s="1"/>
      <c r="C71" s="2"/>
    </row>
    <row r="72" spans="1:3" x14ac:dyDescent="0.2">
      <c r="A72" s="1"/>
      <c r="B72" s="1"/>
      <c r="C72" s="2"/>
    </row>
    <row r="73" spans="1:3" x14ac:dyDescent="0.2">
      <c r="A73" s="1"/>
      <c r="B73" s="1"/>
      <c r="C73" s="2"/>
    </row>
    <row r="74" spans="1:3" x14ac:dyDescent="0.2">
      <c r="A74" s="1"/>
      <c r="B74" s="1"/>
      <c r="C74" s="2"/>
    </row>
    <row r="75" spans="1:3" x14ac:dyDescent="0.2">
      <c r="A75" s="1"/>
      <c r="B75" s="1"/>
      <c r="C75" s="2"/>
    </row>
    <row r="76" spans="1:3" x14ac:dyDescent="0.2">
      <c r="A76" s="1"/>
      <c r="B76" s="1"/>
      <c r="C76" s="2"/>
    </row>
    <row r="77" spans="1:3" x14ac:dyDescent="0.2">
      <c r="A77" s="1"/>
      <c r="B77" s="1"/>
      <c r="C77" s="2"/>
    </row>
    <row r="78" spans="1:3" x14ac:dyDescent="0.2">
      <c r="A78" s="1"/>
      <c r="B78" s="1"/>
      <c r="C78" s="2"/>
    </row>
    <row r="79" spans="1:3" x14ac:dyDescent="0.2">
      <c r="A79" s="1"/>
      <c r="B79" s="1"/>
      <c r="C79" s="2"/>
    </row>
    <row r="80" spans="1:3" x14ac:dyDescent="0.2">
      <c r="A80" s="1"/>
      <c r="B80" s="1"/>
      <c r="C80" s="2"/>
    </row>
    <row r="81" spans="1:3" x14ac:dyDescent="0.2">
      <c r="A81" s="51"/>
      <c r="B81" s="51"/>
      <c r="C81" s="51"/>
    </row>
    <row r="82" spans="1:3" x14ac:dyDescent="0.2">
      <c r="A82" s="1"/>
      <c r="B82" s="1"/>
      <c r="C82" s="2"/>
    </row>
    <row r="83" spans="1:3" x14ac:dyDescent="0.2">
      <c r="A83" s="1"/>
      <c r="B83" s="1"/>
      <c r="C83" s="2"/>
    </row>
    <row r="84" spans="1:3" x14ac:dyDescent="0.2">
      <c r="A84" s="1"/>
      <c r="B84" s="1"/>
      <c r="C84" s="2"/>
    </row>
    <row r="85" spans="1:3" x14ac:dyDescent="0.2">
      <c r="A85" s="1"/>
      <c r="B85" s="1"/>
      <c r="C85" s="2"/>
    </row>
    <row r="86" spans="1:3" x14ac:dyDescent="0.2">
      <c r="A86" s="1"/>
      <c r="B86" s="1"/>
      <c r="C86" s="2"/>
    </row>
    <row r="87" spans="1:3" x14ac:dyDescent="0.2">
      <c r="A87" s="1"/>
      <c r="B87" s="1"/>
      <c r="C87" s="2"/>
    </row>
    <row r="88" spans="1:3" x14ac:dyDescent="0.2">
      <c r="A88" s="1"/>
      <c r="B88" s="1"/>
      <c r="C88" s="2"/>
    </row>
    <row r="89" spans="1:3" x14ac:dyDescent="0.2">
      <c r="A89" s="1"/>
      <c r="B89" s="1"/>
      <c r="C89" s="2"/>
    </row>
    <row r="90" spans="1:3" x14ac:dyDescent="0.2">
      <c r="A90" s="1"/>
      <c r="B90" s="1"/>
      <c r="C90" s="2"/>
    </row>
    <row r="91" spans="1:3" x14ac:dyDescent="0.2">
      <c r="A91" s="1"/>
      <c r="B91" s="1"/>
      <c r="C91" s="2"/>
    </row>
    <row r="92" spans="1:3" x14ac:dyDescent="0.2">
      <c r="A92" s="1"/>
      <c r="B92" s="1"/>
      <c r="C92" s="2"/>
    </row>
    <row r="93" spans="1:3" x14ac:dyDescent="0.2">
      <c r="A93" s="1"/>
      <c r="B93" s="1"/>
      <c r="C93" s="2"/>
    </row>
    <row r="94" spans="1:3" x14ac:dyDescent="0.2">
      <c r="A94" s="1"/>
      <c r="B94" s="1"/>
      <c r="C94" s="2"/>
    </row>
    <row r="95" spans="1:3" x14ac:dyDescent="0.2">
      <c r="A95" s="1"/>
      <c r="B95" s="1"/>
      <c r="C95" s="2"/>
    </row>
    <row r="96" spans="1:3" x14ac:dyDescent="0.2">
      <c r="A96" s="1"/>
      <c r="B96" s="1"/>
      <c r="C96" s="2"/>
    </row>
    <row r="97" spans="1:3" x14ac:dyDescent="0.2">
      <c r="A97" s="1"/>
      <c r="B97" s="1"/>
      <c r="C97" s="2"/>
    </row>
    <row r="98" spans="1:3" x14ac:dyDescent="0.2">
      <c r="A98" s="1"/>
      <c r="B98" s="1"/>
      <c r="C98" s="2"/>
    </row>
    <row r="99" spans="1:3" x14ac:dyDescent="0.2">
      <c r="A99" s="1"/>
      <c r="B99" s="1"/>
      <c r="C99" s="2"/>
    </row>
    <row r="100" spans="1:3" x14ac:dyDescent="0.2">
      <c r="A100" s="1"/>
      <c r="B100" s="1"/>
      <c r="C100" s="2"/>
    </row>
    <row r="101" spans="1:3" x14ac:dyDescent="0.2">
      <c r="A101" s="1"/>
      <c r="B101" s="1"/>
      <c r="C101" s="2"/>
    </row>
    <row r="102" spans="1:3" x14ac:dyDescent="0.2">
      <c r="A102" s="1"/>
      <c r="B102" s="1"/>
      <c r="C102" s="2"/>
    </row>
    <row r="103" spans="1:3" x14ac:dyDescent="0.2">
      <c r="A103" s="55"/>
      <c r="B103" s="55"/>
      <c r="C103" s="56"/>
    </row>
    <row r="104" spans="1:3" x14ac:dyDescent="0.2">
      <c r="A104" s="1"/>
      <c r="B104" s="1"/>
      <c r="C104" s="2"/>
    </row>
    <row r="105" spans="1:3" x14ac:dyDescent="0.2">
      <c r="A105" s="1"/>
      <c r="B105" s="1"/>
      <c r="C105" s="2"/>
    </row>
    <row r="106" spans="1:3" x14ac:dyDescent="0.2">
      <c r="A106" s="1"/>
      <c r="B106" s="1"/>
      <c r="C106" s="2"/>
    </row>
    <row r="107" spans="1:3" x14ac:dyDescent="0.2">
      <c r="A107" s="1"/>
      <c r="B107" s="1"/>
      <c r="C107" s="2"/>
    </row>
    <row r="108" spans="1:3" x14ac:dyDescent="0.2">
      <c r="A108" s="1"/>
      <c r="B108" s="1"/>
      <c r="C108" s="2"/>
    </row>
    <row r="109" spans="1:3" x14ac:dyDescent="0.2">
      <c r="A109" s="1"/>
      <c r="B109" s="1"/>
      <c r="C109" s="2"/>
    </row>
    <row r="110" spans="1:3" x14ac:dyDescent="0.2">
      <c r="A110" s="70"/>
      <c r="B110" s="70"/>
      <c r="C110" s="70"/>
    </row>
    <row r="111" spans="1:3" x14ac:dyDescent="0.2">
      <c r="A111" s="1"/>
      <c r="B111" s="1"/>
      <c r="C111" s="2"/>
    </row>
    <row r="112" spans="1:3" x14ac:dyDescent="0.2">
      <c r="A112" s="1"/>
      <c r="B112" s="1"/>
      <c r="C112" s="2"/>
    </row>
    <row r="113" spans="1:3" x14ac:dyDescent="0.2">
      <c r="A113" s="1"/>
      <c r="B113" s="1"/>
      <c r="C113" s="2"/>
    </row>
    <row r="114" spans="1:3" x14ac:dyDescent="0.2">
      <c r="A114" s="1"/>
      <c r="B114" s="1"/>
      <c r="C114" s="2"/>
    </row>
    <row r="115" spans="1:3" x14ac:dyDescent="0.2">
      <c r="A115" s="1"/>
      <c r="B115" s="1"/>
      <c r="C115" s="2"/>
    </row>
    <row r="116" spans="1:3" x14ac:dyDescent="0.2">
      <c r="A116" s="1"/>
      <c r="B116" s="1"/>
      <c r="C116" s="2"/>
    </row>
    <row r="117" spans="1:3" x14ac:dyDescent="0.2">
      <c r="A117" s="1"/>
      <c r="B117" s="1"/>
      <c r="C117" s="2"/>
    </row>
    <row r="118" spans="1:3" x14ac:dyDescent="0.2">
      <c r="A118" s="1"/>
      <c r="B118" s="1"/>
      <c r="C118" s="2"/>
    </row>
    <row r="119" spans="1:3" x14ac:dyDescent="0.2">
      <c r="A119" s="1"/>
      <c r="B119" s="1"/>
      <c r="C119" s="2"/>
    </row>
    <row r="120" spans="1:3" x14ac:dyDescent="0.2">
      <c r="A120" s="1"/>
      <c r="B120" s="1"/>
      <c r="C120" s="2"/>
    </row>
    <row r="121" spans="1:3" x14ac:dyDescent="0.2">
      <c r="A121" s="1"/>
      <c r="B121" s="1"/>
      <c r="C121" s="2"/>
    </row>
    <row r="122" spans="1:3" x14ac:dyDescent="0.2">
      <c r="A122" s="1"/>
      <c r="B122" s="1"/>
      <c r="C122" s="2"/>
    </row>
    <row r="123" spans="1:3" x14ac:dyDescent="0.2">
      <c r="A123" s="1"/>
      <c r="B123" s="1"/>
      <c r="C123" s="2"/>
    </row>
    <row r="124" spans="1:3" x14ac:dyDescent="0.2">
      <c r="A124" s="1"/>
      <c r="B124" s="1"/>
      <c r="C124" s="2"/>
    </row>
    <row r="125" spans="1:3" x14ac:dyDescent="0.2">
      <c r="A125" s="1"/>
      <c r="B125" s="1"/>
      <c r="C125" s="2"/>
    </row>
    <row r="126" spans="1:3" x14ac:dyDescent="0.2">
      <c r="A126" s="1"/>
      <c r="B126" s="1"/>
      <c r="C126" s="2"/>
    </row>
    <row r="127" spans="1:3" x14ac:dyDescent="0.2">
      <c r="A127" s="1"/>
      <c r="B127" s="1"/>
      <c r="C127" s="2"/>
    </row>
    <row r="128" spans="1:3" x14ac:dyDescent="0.2">
      <c r="A128" s="1"/>
      <c r="B128" s="1"/>
      <c r="C128" s="2"/>
    </row>
    <row r="129" spans="1:3" x14ac:dyDescent="0.2">
      <c r="A129" s="1"/>
      <c r="B129" s="1"/>
      <c r="C129" s="2"/>
    </row>
    <row r="130" spans="1:3" x14ac:dyDescent="0.2">
      <c r="A130" s="1"/>
      <c r="B130" s="1"/>
      <c r="C130" s="2"/>
    </row>
    <row r="131" spans="1:3" x14ac:dyDescent="0.2">
      <c r="A131" s="1"/>
      <c r="B131" s="1"/>
      <c r="C131" s="2"/>
    </row>
    <row r="132" spans="1:3" x14ac:dyDescent="0.2">
      <c r="A132" s="1"/>
      <c r="B132" s="1"/>
      <c r="C132" s="2"/>
    </row>
    <row r="133" spans="1:3" x14ac:dyDescent="0.2">
      <c r="A133" s="1"/>
      <c r="B133" s="1"/>
      <c r="C133" s="2"/>
    </row>
    <row r="134" spans="1:3" x14ac:dyDescent="0.2">
      <c r="A134" s="1"/>
      <c r="B134" s="1"/>
      <c r="C134" s="2"/>
    </row>
    <row r="135" spans="1:3" x14ac:dyDescent="0.2">
      <c r="A135" s="1"/>
      <c r="B135" s="1"/>
      <c r="C135" s="2"/>
    </row>
    <row r="136" spans="1:3" x14ac:dyDescent="0.2">
      <c r="A136" s="1"/>
      <c r="B136" s="1"/>
      <c r="C136" s="2"/>
    </row>
    <row r="137" spans="1:3" x14ac:dyDescent="0.2">
      <c r="A137" s="1"/>
      <c r="B137" s="1"/>
      <c r="C137" s="2"/>
    </row>
    <row r="138" spans="1:3" x14ac:dyDescent="0.2">
      <c r="A138" s="1"/>
      <c r="B138" s="1"/>
      <c r="C138" s="2"/>
    </row>
    <row r="139" spans="1:3" x14ac:dyDescent="0.2">
      <c r="A139" s="51"/>
      <c r="B139" s="51"/>
      <c r="C139" s="51"/>
    </row>
    <row r="140" spans="1:3" x14ac:dyDescent="0.2">
      <c r="A140" s="1"/>
      <c r="B140" s="1"/>
      <c r="C140" s="2"/>
    </row>
    <row r="141" spans="1:3" x14ac:dyDescent="0.2">
      <c r="A141" s="1"/>
      <c r="B141" s="1"/>
      <c r="C141" s="2"/>
    </row>
    <row r="142" spans="1:3" x14ac:dyDescent="0.2">
      <c r="A142" s="1"/>
      <c r="B142" s="1"/>
      <c r="C142" s="2"/>
    </row>
    <row r="143" spans="1:3" x14ac:dyDescent="0.2">
      <c r="A143" s="1"/>
      <c r="B143" s="1"/>
      <c r="C143" s="2"/>
    </row>
    <row r="144" spans="1:3" x14ac:dyDescent="0.2">
      <c r="A144" s="1"/>
      <c r="B144" s="1"/>
      <c r="C144" s="2"/>
    </row>
    <row r="145" spans="1:3" x14ac:dyDescent="0.2">
      <c r="A145" s="1"/>
      <c r="B145" s="1"/>
      <c r="C145" s="2"/>
    </row>
    <row r="146" spans="1:3" x14ac:dyDescent="0.2">
      <c r="A146" s="27"/>
      <c r="B146" s="27"/>
      <c r="C146" s="28"/>
    </row>
    <row r="147" spans="1:3" x14ac:dyDescent="0.2">
      <c r="A147" s="1"/>
      <c r="B147" s="1"/>
      <c r="C147" s="2"/>
    </row>
    <row r="148" spans="1:3" x14ac:dyDescent="0.2">
      <c r="A148" s="1"/>
      <c r="B148" s="1"/>
      <c r="C148" s="2"/>
    </row>
    <row r="149" spans="1:3" x14ac:dyDescent="0.2">
      <c r="A149" s="58"/>
      <c r="B149" s="58"/>
      <c r="C149" s="25"/>
    </row>
    <row r="150" spans="1:3" x14ac:dyDescent="0.2">
      <c r="A150" s="1"/>
      <c r="B150" s="1"/>
      <c r="C150" s="2"/>
    </row>
    <row r="151" spans="1:3" x14ac:dyDescent="0.2">
      <c r="A151" s="1"/>
      <c r="B151" s="1"/>
      <c r="C151" s="2"/>
    </row>
    <row r="152" spans="1:3" x14ac:dyDescent="0.2">
      <c r="A152" s="55"/>
      <c r="B152" s="55"/>
      <c r="C152" s="56"/>
    </row>
    <row r="153" spans="1:3" x14ac:dyDescent="0.2">
      <c r="A153" s="1"/>
      <c r="B153" s="1"/>
      <c r="C153" s="2"/>
    </row>
    <row r="154" spans="1:3" x14ac:dyDescent="0.2">
      <c r="A154" s="1"/>
      <c r="B154" s="1"/>
      <c r="C154" s="2"/>
    </row>
    <row r="155" spans="1:3" x14ac:dyDescent="0.2">
      <c r="A155" s="1"/>
      <c r="B155" s="1"/>
      <c r="C155" s="2"/>
    </row>
    <row r="156" spans="1:3" x14ac:dyDescent="0.2">
      <c r="A156" s="1"/>
      <c r="B156" s="1"/>
      <c r="C156" s="2"/>
    </row>
    <row r="157" spans="1:3" x14ac:dyDescent="0.2">
      <c r="A157" s="1"/>
      <c r="B157" s="1"/>
      <c r="C157" s="2"/>
    </row>
    <row r="158" spans="1:3" x14ac:dyDescent="0.2">
      <c r="A158" s="1"/>
      <c r="B158" s="1"/>
      <c r="C158" s="2"/>
    </row>
    <row r="159" spans="1:3" x14ac:dyDescent="0.2">
      <c r="A159" s="1"/>
      <c r="B159" s="1"/>
      <c r="C159" s="2"/>
    </row>
    <row r="160" spans="1:3" x14ac:dyDescent="0.2">
      <c r="A160" s="1"/>
      <c r="B160" s="1"/>
      <c r="C160" s="2"/>
    </row>
    <row r="161" spans="1:3" x14ac:dyDescent="0.2">
      <c r="A161" s="1"/>
      <c r="B161" s="1"/>
      <c r="C161" s="2"/>
    </row>
    <row r="162" spans="1:3" x14ac:dyDescent="0.2">
      <c r="A162" s="1"/>
      <c r="B162" s="1"/>
      <c r="C162" s="2"/>
    </row>
    <row r="163" spans="1:3" x14ac:dyDescent="0.2">
      <c r="A163" s="1"/>
      <c r="B163" s="1"/>
      <c r="C163" s="2"/>
    </row>
    <row r="164" spans="1:3" x14ac:dyDescent="0.2">
      <c r="A164" s="1"/>
      <c r="B164" s="1"/>
      <c r="C164" s="2"/>
    </row>
    <row r="165" spans="1:3" x14ac:dyDescent="0.2">
      <c r="A165" s="1"/>
      <c r="B165" s="1"/>
      <c r="C165" s="2"/>
    </row>
    <row r="166" spans="1:3" x14ac:dyDescent="0.2">
      <c r="A166" s="1"/>
      <c r="B166" s="1"/>
      <c r="C166" s="2"/>
    </row>
    <row r="167" spans="1:3" x14ac:dyDescent="0.2">
      <c r="A167" s="1"/>
      <c r="B167" s="1"/>
      <c r="C167" s="2"/>
    </row>
    <row r="168" spans="1:3" x14ac:dyDescent="0.2">
      <c r="A168" s="1"/>
      <c r="B168" s="1"/>
      <c r="C168" s="2"/>
    </row>
    <row r="169" spans="1:3" x14ac:dyDescent="0.2">
      <c r="A169" s="1"/>
      <c r="B169" s="1"/>
      <c r="C169" s="2"/>
    </row>
    <row r="170" spans="1:3" x14ac:dyDescent="0.2">
      <c r="A170" s="1"/>
      <c r="B170" s="1"/>
      <c r="C170" s="2"/>
    </row>
    <row r="171" spans="1:3" x14ac:dyDescent="0.2">
      <c r="A171" s="1"/>
      <c r="B171" s="1"/>
      <c r="C171" s="2"/>
    </row>
    <row r="172" spans="1:3" x14ac:dyDescent="0.2">
      <c r="A172" s="1"/>
      <c r="B172" s="1"/>
      <c r="C172" s="2"/>
    </row>
    <row r="173" spans="1:3" x14ac:dyDescent="0.2">
      <c r="A173" s="1"/>
      <c r="B173" s="1"/>
      <c r="C173" s="2"/>
    </row>
    <row r="174" spans="1:3" x14ac:dyDescent="0.2">
      <c r="A174" s="1"/>
      <c r="B174" s="1"/>
      <c r="C174" s="2"/>
    </row>
    <row r="175" spans="1:3" x14ac:dyDescent="0.2">
      <c r="A175" s="1"/>
      <c r="B175" s="1"/>
      <c r="C175" s="2"/>
    </row>
    <row r="176" spans="1:3" x14ac:dyDescent="0.2">
      <c r="A176" s="1"/>
      <c r="B176" s="1"/>
      <c r="C176" s="2"/>
    </row>
    <row r="177" spans="1:3" x14ac:dyDescent="0.2">
      <c r="A177" s="69"/>
      <c r="B177" s="69"/>
      <c r="C177" s="69"/>
    </row>
    <row r="178" spans="1:3" x14ac:dyDescent="0.2">
      <c r="A178" s="52"/>
      <c r="B178" s="52"/>
      <c r="C178" s="52"/>
    </row>
    <row r="179" spans="1:3" x14ac:dyDescent="0.2">
      <c r="A179" s="51"/>
      <c r="B179" s="51"/>
      <c r="C179" s="51"/>
    </row>
    <row r="180" spans="1:3" x14ac:dyDescent="0.2">
      <c r="A180" s="51"/>
      <c r="B180" s="51"/>
      <c r="C180" s="51"/>
    </row>
    <row r="181" spans="1:3" x14ac:dyDescent="0.2">
      <c r="A181" s="51"/>
      <c r="B181" s="51"/>
      <c r="C181" s="51"/>
    </row>
    <row r="182" spans="1:3" x14ac:dyDescent="0.2">
      <c r="A182" s="51"/>
      <c r="B182" s="51"/>
      <c r="C182" s="53"/>
    </row>
    <row r="183" spans="1:3" x14ac:dyDescent="0.2">
      <c r="A183" s="51"/>
      <c r="B183" s="51"/>
      <c r="C183" s="53"/>
    </row>
    <row r="184" spans="1:3" x14ac:dyDescent="0.2">
      <c r="A184" s="51"/>
      <c r="B184" s="51"/>
      <c r="C184" s="51"/>
    </row>
    <row r="185" spans="1:3" x14ac:dyDescent="0.2">
      <c r="A185" s="51"/>
      <c r="B185" s="51"/>
      <c r="C185" s="51"/>
    </row>
    <row r="186" spans="1:3" x14ac:dyDescent="0.2">
      <c r="A186" s="51"/>
      <c r="B186" s="51"/>
      <c r="C186" s="51"/>
    </row>
    <row r="187" spans="1:3" x14ac:dyDescent="0.2">
      <c r="A187" s="51"/>
      <c r="B187" s="51"/>
      <c r="C187" s="51"/>
    </row>
    <row r="188" spans="1:3" x14ac:dyDescent="0.2">
      <c r="A188" s="51"/>
      <c r="B188" s="51"/>
      <c r="C188" s="51"/>
    </row>
    <row r="189" spans="1:3" x14ac:dyDescent="0.2">
      <c r="A189" s="51"/>
      <c r="B189" s="51"/>
      <c r="C189" s="51"/>
    </row>
    <row r="190" spans="1:3" x14ac:dyDescent="0.2">
      <c r="A190" s="1"/>
      <c r="B190" s="1"/>
      <c r="C190" s="2"/>
    </row>
    <row r="191" spans="1:3" x14ac:dyDescent="0.2">
      <c r="A191" s="51"/>
      <c r="B191" s="51"/>
      <c r="C191" s="25"/>
    </row>
    <row r="192" spans="1:3" x14ac:dyDescent="0.2">
      <c r="A192" s="1"/>
      <c r="B192" s="1"/>
      <c r="C192" s="2"/>
    </row>
    <row r="193" spans="1:3" x14ac:dyDescent="0.2">
      <c r="A193" s="1"/>
      <c r="B193" s="1"/>
      <c r="C193" s="2"/>
    </row>
    <row r="194" spans="1:3" x14ac:dyDescent="0.2">
      <c r="A194" s="1"/>
      <c r="B194" s="1"/>
      <c r="C194" s="2"/>
    </row>
    <row r="195" spans="1:3" x14ac:dyDescent="0.2">
      <c r="A195" s="1"/>
      <c r="B195" s="1"/>
      <c r="C195" s="2"/>
    </row>
    <row r="196" spans="1:3" x14ac:dyDescent="0.2">
      <c r="A196" s="1"/>
      <c r="B196" s="1"/>
      <c r="C196" s="2"/>
    </row>
    <row r="197" spans="1:3" x14ac:dyDescent="0.2">
      <c r="A197" s="51"/>
      <c r="B197" s="51"/>
      <c r="C197" s="51"/>
    </row>
    <row r="198" spans="1:3" x14ac:dyDescent="0.2">
      <c r="A198" s="1"/>
      <c r="B198" s="1"/>
      <c r="C198" s="2"/>
    </row>
    <row r="199" spans="1:3" x14ac:dyDescent="0.2">
      <c r="A199" s="1"/>
      <c r="B199" s="1"/>
      <c r="C199" s="2"/>
    </row>
    <row r="200" spans="1:3" x14ac:dyDescent="0.2">
      <c r="A200" s="51"/>
      <c r="B200" s="51"/>
      <c r="C200" s="51"/>
    </row>
    <row r="201" spans="1:3" x14ac:dyDescent="0.2">
      <c r="A201" s="1"/>
      <c r="B201" s="1"/>
      <c r="C201" s="2"/>
    </row>
    <row r="202" spans="1:3" x14ac:dyDescent="0.2">
      <c r="A202" s="1"/>
      <c r="B202" s="1"/>
      <c r="C202" s="2"/>
    </row>
    <row r="203" spans="1:3" x14ac:dyDescent="0.2">
      <c r="A203" s="1"/>
      <c r="B203" s="1"/>
      <c r="C203" s="2"/>
    </row>
    <row r="204" spans="1:3" x14ac:dyDescent="0.2">
      <c r="A204" s="1"/>
      <c r="B204" s="1"/>
      <c r="C204" s="2"/>
    </row>
    <row r="205" spans="1:3" x14ac:dyDescent="0.2">
      <c r="A205" s="1"/>
      <c r="B205" s="1"/>
      <c r="C205" s="2"/>
    </row>
    <row r="206" spans="1:3" x14ac:dyDescent="0.2">
      <c r="A206" s="1"/>
      <c r="B206" s="1"/>
      <c r="C206" s="2"/>
    </row>
    <row r="207" spans="1:3" x14ac:dyDescent="0.2">
      <c r="A207" s="1"/>
      <c r="B207" s="1"/>
      <c r="C207" s="2"/>
    </row>
    <row r="208" spans="1:3" x14ac:dyDescent="0.2">
      <c r="A208" s="1"/>
      <c r="B208" s="1"/>
      <c r="C208" s="2"/>
    </row>
    <row r="209" spans="1:3" x14ac:dyDescent="0.2">
      <c r="A209" s="1"/>
      <c r="B209" s="1"/>
      <c r="C209" s="2"/>
    </row>
    <row r="210" spans="1:3" x14ac:dyDescent="0.2">
      <c r="A210" s="1"/>
      <c r="B210" s="1"/>
      <c r="C210" s="2"/>
    </row>
    <row r="211" spans="1:3" x14ac:dyDescent="0.2">
      <c r="A211" s="1"/>
      <c r="B211" s="1"/>
      <c r="C211" s="2"/>
    </row>
    <row r="212" spans="1:3" x14ac:dyDescent="0.2">
      <c r="A212" s="1"/>
      <c r="B212" s="1"/>
      <c r="C212" s="2"/>
    </row>
    <row r="213" spans="1:3" x14ac:dyDescent="0.2">
      <c r="A213" s="1"/>
      <c r="B213" s="1"/>
      <c r="C213" s="2"/>
    </row>
    <row r="214" spans="1:3" x14ac:dyDescent="0.2">
      <c r="A214" s="51"/>
      <c r="B214" s="51"/>
      <c r="C214" s="51"/>
    </row>
    <row r="215" spans="1:3" x14ac:dyDescent="0.2">
      <c r="A215" s="51"/>
      <c r="B215" s="51"/>
    </row>
    <row r="216" spans="1:3" x14ac:dyDescent="0.2">
      <c r="A216" s="51"/>
      <c r="B216" s="51"/>
    </row>
    <row r="217" spans="1:3" x14ac:dyDescent="0.2">
      <c r="A217" s="51"/>
      <c r="B217" s="51"/>
    </row>
    <row r="218" spans="1:3" x14ac:dyDescent="0.2">
      <c r="A218" s="51"/>
      <c r="B218" s="51"/>
    </row>
    <row r="219" spans="1:3" x14ac:dyDescent="0.2">
      <c r="A219" s="51"/>
      <c r="B219" s="51"/>
    </row>
    <row r="220" spans="1:3" x14ac:dyDescent="0.2">
      <c r="A220" s="51"/>
      <c r="B220" s="51"/>
    </row>
    <row r="221" spans="1:3" x14ac:dyDescent="0.2">
      <c r="A221" s="51"/>
      <c r="B221" s="51"/>
    </row>
    <row r="222" spans="1:3" x14ac:dyDescent="0.2">
      <c r="A222" s="51"/>
      <c r="B222" s="51"/>
      <c r="C222" s="54"/>
    </row>
    <row r="223" spans="1:3" x14ac:dyDescent="0.2">
      <c r="A223" s="51"/>
      <c r="B223" s="51"/>
      <c r="C223" s="54"/>
    </row>
    <row r="224" spans="1:3" x14ac:dyDescent="0.2">
      <c r="A224" s="1"/>
      <c r="B224" s="1"/>
      <c r="C224" s="2"/>
    </row>
    <row r="225" spans="1:3" x14ac:dyDescent="0.2">
      <c r="A225" s="1"/>
      <c r="B225" s="1"/>
      <c r="C225" s="2"/>
    </row>
    <row r="226" spans="1:3" x14ac:dyDescent="0.2">
      <c r="A226" s="1"/>
      <c r="B226" s="1"/>
      <c r="C226" s="2"/>
    </row>
    <row r="227" spans="1:3" x14ac:dyDescent="0.2">
      <c r="A227" s="1"/>
      <c r="B227" s="1"/>
      <c r="C227" s="2"/>
    </row>
    <row r="228" spans="1:3" x14ac:dyDescent="0.2">
      <c r="A228" s="1"/>
      <c r="B228" s="1"/>
      <c r="C228" s="2"/>
    </row>
    <row r="229" spans="1:3" x14ac:dyDescent="0.2">
      <c r="A229" s="1"/>
      <c r="B229" s="1"/>
      <c r="C229" s="2"/>
    </row>
    <row r="230" spans="1:3" x14ac:dyDescent="0.2">
      <c r="A230" s="1"/>
      <c r="B230" s="1"/>
      <c r="C230" s="2"/>
    </row>
    <row r="231" spans="1:3" x14ac:dyDescent="0.2">
      <c r="A231" s="1"/>
      <c r="B231" s="1"/>
      <c r="C231" s="2"/>
    </row>
    <row r="232" spans="1:3" x14ac:dyDescent="0.2">
      <c r="A232" s="51"/>
      <c r="B232" s="51"/>
      <c r="C232" s="51"/>
    </row>
    <row r="233" spans="1:3" x14ac:dyDescent="0.2">
      <c r="A233" s="1"/>
      <c r="B233" s="1"/>
      <c r="C233" s="2"/>
    </row>
    <row r="234" spans="1:3" x14ac:dyDescent="0.2">
      <c r="A234" s="1"/>
      <c r="B234" s="1"/>
      <c r="C234" s="2"/>
    </row>
    <row r="235" spans="1:3" x14ac:dyDescent="0.2">
      <c r="A235" s="51"/>
      <c r="B235" s="51"/>
      <c r="C235" s="51"/>
    </row>
    <row r="236" spans="1:3" x14ac:dyDescent="0.2">
      <c r="A236" s="1"/>
      <c r="B236" s="1"/>
      <c r="C236" s="2"/>
    </row>
    <row r="237" spans="1:3" x14ac:dyDescent="0.2">
      <c r="A237" s="1"/>
      <c r="B237" s="1"/>
      <c r="C237" s="2"/>
    </row>
    <row r="238" spans="1:3" x14ac:dyDescent="0.2">
      <c r="A238" s="1"/>
      <c r="B238" s="1"/>
      <c r="C238" s="2"/>
    </row>
    <row r="239" spans="1:3" x14ac:dyDescent="0.2">
      <c r="A239" s="1"/>
      <c r="B239" s="1"/>
      <c r="C239" s="2"/>
    </row>
    <row r="240" spans="1:3" x14ac:dyDescent="0.2">
      <c r="A240" s="1"/>
      <c r="B240" s="1"/>
      <c r="C240" s="2"/>
    </row>
    <row r="241" spans="1:3" x14ac:dyDescent="0.2">
      <c r="A241" s="1"/>
      <c r="B241" s="1"/>
      <c r="C241" s="2"/>
    </row>
    <row r="242" spans="1:3" x14ac:dyDescent="0.2">
      <c r="A242" s="1"/>
      <c r="B242" s="1"/>
      <c r="C242" s="2"/>
    </row>
    <row r="243" spans="1:3" x14ac:dyDescent="0.2">
      <c r="A243" s="1"/>
      <c r="B243" s="1"/>
      <c r="C243" s="2"/>
    </row>
    <row r="244" spans="1:3" x14ac:dyDescent="0.2">
      <c r="A244" s="1"/>
      <c r="B244" s="1"/>
      <c r="C244" s="2"/>
    </row>
    <row r="245" spans="1:3" x14ac:dyDescent="0.2">
      <c r="A245" s="1"/>
      <c r="B245" s="1"/>
      <c r="C245" s="2"/>
    </row>
    <row r="246" spans="1:3" x14ac:dyDescent="0.2">
      <c r="A246" s="1"/>
      <c r="B246" s="1"/>
      <c r="C246" s="2"/>
    </row>
    <row r="247" spans="1:3" x14ac:dyDescent="0.2">
      <c r="A247" s="1"/>
      <c r="B247" s="1"/>
      <c r="C247" s="2"/>
    </row>
    <row r="248" spans="1:3" x14ac:dyDescent="0.2">
      <c r="A248" s="51"/>
      <c r="B248" s="51"/>
      <c r="C248" s="51"/>
    </row>
    <row r="249" spans="1:3" x14ac:dyDescent="0.2">
      <c r="A249" s="51"/>
      <c r="B249" s="51"/>
      <c r="C249" s="51"/>
    </row>
    <row r="250" spans="1:3" x14ac:dyDescent="0.2">
      <c r="A250" s="51"/>
      <c r="B250" s="51"/>
      <c r="C250" s="51"/>
    </row>
    <row r="251" spans="1:3" x14ac:dyDescent="0.2">
      <c r="A251" s="1"/>
      <c r="B251" s="1"/>
      <c r="C251" s="2"/>
    </row>
    <row r="252" spans="1:3" x14ac:dyDescent="0.2">
      <c r="A252" s="1"/>
      <c r="B252" s="1"/>
      <c r="C252" s="2"/>
    </row>
    <row r="253" spans="1:3" x14ac:dyDescent="0.2">
      <c r="A253" s="51"/>
      <c r="B253" s="51"/>
      <c r="C253" s="51"/>
    </row>
    <row r="254" spans="1:3" x14ac:dyDescent="0.2">
      <c r="A254" s="1"/>
      <c r="B254" s="1"/>
      <c r="C254" s="2"/>
    </row>
    <row r="255" spans="1:3" x14ac:dyDescent="0.2">
      <c r="A255" s="1"/>
      <c r="B255" s="1"/>
      <c r="C255" s="2"/>
    </row>
    <row r="256" spans="1:3" x14ac:dyDescent="0.2">
      <c r="A256" s="1"/>
      <c r="B256" s="1"/>
      <c r="C256" s="2"/>
    </row>
    <row r="257" spans="1:3" x14ac:dyDescent="0.2">
      <c r="A257" s="72"/>
      <c r="B257" s="1"/>
      <c r="C257" s="2"/>
    </row>
    <row r="258" spans="1:3" x14ac:dyDescent="0.2">
      <c r="A258" s="1"/>
      <c r="B258" s="1"/>
      <c r="C258" s="2"/>
    </row>
    <row r="259" spans="1:3" x14ac:dyDescent="0.2">
      <c r="A259" s="52"/>
      <c r="B259" s="52"/>
      <c r="C259" s="52"/>
    </row>
    <row r="260" spans="1:3" x14ac:dyDescent="0.2">
      <c r="A260" s="52"/>
      <c r="B260" s="52"/>
      <c r="C260" s="52"/>
    </row>
    <row r="261" spans="1:3" x14ac:dyDescent="0.2">
      <c r="A261" s="1"/>
      <c r="B261" s="1"/>
      <c r="C261" s="2"/>
    </row>
    <row r="262" spans="1:3" x14ac:dyDescent="0.2">
      <c r="A262" s="1"/>
      <c r="B262" s="1"/>
      <c r="C262" s="2"/>
    </row>
    <row r="263" spans="1:3" x14ac:dyDescent="0.2">
      <c r="A263" s="1"/>
      <c r="B263" s="1"/>
      <c r="C263" s="2"/>
    </row>
    <row r="264" spans="1:3" x14ac:dyDescent="0.2">
      <c r="A264" s="1"/>
      <c r="B264" s="1"/>
      <c r="C264" s="2"/>
    </row>
    <row r="265" spans="1:3" x14ac:dyDescent="0.2">
      <c r="A265" s="1"/>
      <c r="B265" s="1"/>
      <c r="C265" s="2"/>
    </row>
    <row r="266" spans="1:3" x14ac:dyDescent="0.2">
      <c r="A266" s="1"/>
      <c r="B266" s="1"/>
      <c r="C266" s="2"/>
    </row>
    <row r="267" spans="1:3" x14ac:dyDescent="0.2">
      <c r="A267" s="1"/>
      <c r="B267" s="1"/>
      <c r="C267" s="2"/>
    </row>
    <row r="268" spans="1:3" x14ac:dyDescent="0.2">
      <c r="A268" s="1"/>
      <c r="B268" s="1"/>
      <c r="C268" s="2"/>
    </row>
    <row r="269" spans="1:3" x14ac:dyDescent="0.2">
      <c r="A269" s="51"/>
      <c r="B269" s="51"/>
      <c r="C269" s="51"/>
    </row>
    <row r="270" spans="1:3" x14ac:dyDescent="0.2">
      <c r="A270" s="1"/>
      <c r="B270" s="1"/>
      <c r="C270" s="2"/>
    </row>
    <row r="271" spans="1:3" x14ac:dyDescent="0.2">
      <c r="A271" s="52"/>
      <c r="B271" s="52"/>
      <c r="C271" s="52"/>
    </row>
    <row r="272" spans="1:3" x14ac:dyDescent="0.2">
      <c r="A272" s="1"/>
      <c r="B272" s="1"/>
      <c r="C272" s="2"/>
    </row>
    <row r="273" spans="1:3" x14ac:dyDescent="0.2">
      <c r="A273" s="1"/>
      <c r="B273" s="1"/>
      <c r="C273" s="2"/>
    </row>
    <row r="274" spans="1:3" x14ac:dyDescent="0.2">
      <c r="A274" s="1"/>
      <c r="B274" s="1"/>
      <c r="C274" s="2"/>
    </row>
    <row r="275" spans="1:3" x14ac:dyDescent="0.2">
      <c r="A275" s="1"/>
      <c r="B275" s="1"/>
      <c r="C275" s="2"/>
    </row>
    <row r="276" spans="1:3" x14ac:dyDescent="0.2">
      <c r="A276" s="1"/>
      <c r="B276" s="1"/>
      <c r="C276" s="2"/>
    </row>
    <row r="277" spans="1:3" x14ac:dyDescent="0.2">
      <c r="A277" s="1"/>
      <c r="B277" s="1"/>
      <c r="C277" s="2"/>
    </row>
    <row r="278" spans="1:3" x14ac:dyDescent="0.2">
      <c r="A278" s="1"/>
      <c r="B278" s="1"/>
      <c r="C278" s="2"/>
    </row>
    <row r="279" spans="1:3" x14ac:dyDescent="0.2">
      <c r="A279" s="1"/>
      <c r="B279" s="1"/>
      <c r="C279" s="2"/>
    </row>
    <row r="280" spans="1:3" x14ac:dyDescent="0.2">
      <c r="A280" s="1"/>
      <c r="B280" s="1"/>
      <c r="C280" s="2"/>
    </row>
    <row r="281" spans="1:3" x14ac:dyDescent="0.2">
      <c r="A281" s="1"/>
      <c r="B281" s="1"/>
      <c r="C281" s="2"/>
    </row>
    <row r="282" spans="1:3" x14ac:dyDescent="0.2">
      <c r="A282" s="1"/>
      <c r="B282" s="1"/>
      <c r="C282" s="2"/>
    </row>
    <row r="283" spans="1:3" x14ac:dyDescent="0.2">
      <c r="A283" s="52"/>
      <c r="B283" s="52"/>
      <c r="C283" s="52"/>
    </row>
    <row r="284" spans="1:3" x14ac:dyDescent="0.2">
      <c r="A284" s="1"/>
      <c r="B284" s="1"/>
      <c r="C284" s="2"/>
    </row>
    <row r="285" spans="1:3" x14ac:dyDescent="0.2">
      <c r="A285" s="1"/>
      <c r="B285" s="1"/>
      <c r="C285" s="2"/>
    </row>
    <row r="286" spans="1:3" x14ac:dyDescent="0.2">
      <c r="A286" s="27"/>
      <c r="B286" s="27"/>
      <c r="C286" s="28"/>
    </row>
    <row r="287" spans="1:3" x14ac:dyDescent="0.2">
      <c r="A287" s="1"/>
      <c r="B287" s="1"/>
      <c r="C287" s="2"/>
    </row>
    <row r="288" spans="1:3" x14ac:dyDescent="0.2">
      <c r="A288" s="1"/>
      <c r="B288" s="1"/>
      <c r="C288" s="2"/>
    </row>
    <row r="289" spans="1:3" x14ac:dyDescent="0.2">
      <c r="A289" s="1"/>
      <c r="B289" s="1"/>
      <c r="C289" s="2"/>
    </row>
    <row r="290" spans="1:3" x14ac:dyDescent="0.2">
      <c r="A290" s="1"/>
      <c r="B290" s="1"/>
      <c r="C290" s="2"/>
    </row>
    <row r="291" spans="1:3" x14ac:dyDescent="0.2">
      <c r="A291" s="51"/>
      <c r="B291" s="51"/>
      <c r="C291" s="51"/>
    </row>
    <row r="292" spans="1:3" x14ac:dyDescent="0.2">
      <c r="A292" s="1"/>
      <c r="B292" s="1"/>
      <c r="C292" s="2"/>
    </row>
    <row r="293" spans="1:3" x14ac:dyDescent="0.2">
      <c r="A293" s="1"/>
      <c r="B293" s="1"/>
      <c r="C293" s="2"/>
    </row>
    <row r="294" spans="1:3" x14ac:dyDescent="0.2">
      <c r="A294" s="51"/>
      <c r="B294" s="51"/>
      <c r="C294" s="51"/>
    </row>
    <row r="295" spans="1:3" x14ac:dyDescent="0.2">
      <c r="A295" s="1"/>
      <c r="B295" s="1"/>
      <c r="C295" s="2"/>
    </row>
    <row r="296" spans="1:3" x14ac:dyDescent="0.2">
      <c r="A296" s="1"/>
      <c r="B296" s="1"/>
      <c r="C296" s="2"/>
    </row>
    <row r="297" spans="1:3" x14ac:dyDescent="0.2">
      <c r="A297" s="1"/>
      <c r="B297" s="1"/>
      <c r="C297" s="2"/>
    </row>
    <row r="298" spans="1:3" x14ac:dyDescent="0.2">
      <c r="A298" s="1"/>
      <c r="B298" s="1"/>
      <c r="C298" s="2"/>
    </row>
    <row r="299" spans="1:3" x14ac:dyDescent="0.2">
      <c r="A299" s="1"/>
      <c r="B299" s="1"/>
      <c r="C299" s="2"/>
    </row>
    <row r="300" spans="1:3" x14ac:dyDescent="0.2">
      <c r="A300" s="1"/>
      <c r="B300" s="1"/>
      <c r="C300" s="2"/>
    </row>
    <row r="301" spans="1:3" x14ac:dyDescent="0.2">
      <c r="A301" s="1"/>
      <c r="B301" s="1"/>
      <c r="C301" s="2"/>
    </row>
    <row r="302" spans="1:3" x14ac:dyDescent="0.2">
      <c r="A302" s="1"/>
      <c r="B302" s="1"/>
      <c r="C302" s="2"/>
    </row>
    <row r="303" spans="1:3" x14ac:dyDescent="0.2">
      <c r="A303" s="1"/>
      <c r="B303" s="1"/>
      <c r="C303" s="2"/>
    </row>
    <row r="304" spans="1:3" x14ac:dyDescent="0.2">
      <c r="A304" s="1"/>
      <c r="B304" s="1"/>
      <c r="C304" s="2"/>
    </row>
    <row r="305" spans="1:3" x14ac:dyDescent="0.2">
      <c r="A305" s="1"/>
      <c r="B305" s="1"/>
      <c r="C305" s="2"/>
    </row>
    <row r="306" spans="1:3" x14ac:dyDescent="0.2">
      <c r="A306" s="1"/>
      <c r="B306" s="1"/>
      <c r="C306" s="2"/>
    </row>
    <row r="307" spans="1:3" x14ac:dyDescent="0.2">
      <c r="A307" s="1"/>
      <c r="B307" s="1"/>
      <c r="C307" s="2"/>
    </row>
    <row r="308" spans="1:3" x14ac:dyDescent="0.2">
      <c r="A308" s="71"/>
      <c r="B308" s="71"/>
      <c r="C308" s="71"/>
    </row>
    <row r="309" spans="1:3" x14ac:dyDescent="0.2">
      <c r="A309" s="1"/>
      <c r="B309" s="1"/>
      <c r="C309" s="2"/>
    </row>
    <row r="310" spans="1:3" x14ac:dyDescent="0.2">
      <c r="A310" s="1"/>
      <c r="B310" s="1"/>
      <c r="C310" s="2"/>
    </row>
    <row r="311" spans="1:3" x14ac:dyDescent="0.2">
      <c r="A311" s="51"/>
      <c r="B311" s="51"/>
      <c r="C311" s="51"/>
    </row>
    <row r="312" spans="1:3" x14ac:dyDescent="0.2">
      <c r="A312" s="51"/>
      <c r="B312" s="51"/>
      <c r="C312" s="51"/>
    </row>
    <row r="313" spans="1:3" x14ac:dyDescent="0.2">
      <c r="A313" s="1"/>
      <c r="B313" s="1"/>
      <c r="C313" s="2"/>
    </row>
    <row r="314" spans="1:3" x14ac:dyDescent="0.2">
      <c r="A314" s="1"/>
      <c r="B314" s="1"/>
      <c r="C314" s="2"/>
    </row>
    <row r="315" spans="1:3" x14ac:dyDescent="0.2">
      <c r="A315" s="1"/>
      <c r="B315" s="1"/>
      <c r="C315" s="2"/>
    </row>
    <row r="316" spans="1:3" x14ac:dyDescent="0.2">
      <c r="A316" s="1"/>
      <c r="B316" s="1"/>
      <c r="C316" s="2"/>
    </row>
    <row r="317" spans="1:3" x14ac:dyDescent="0.2">
      <c r="A317" s="1"/>
      <c r="B317" s="1"/>
      <c r="C317" s="2"/>
    </row>
    <row r="318" spans="1:3" x14ac:dyDescent="0.2">
      <c r="A318" s="1"/>
      <c r="B318" s="1"/>
      <c r="C318" s="2"/>
    </row>
    <row r="319" spans="1:3" x14ac:dyDescent="0.2">
      <c r="A319" s="1"/>
      <c r="B319" s="1"/>
      <c r="C319" s="2"/>
    </row>
    <row r="320" spans="1:3" x14ac:dyDescent="0.2">
      <c r="A320" s="1"/>
      <c r="B320" s="1"/>
      <c r="C320" s="26"/>
    </row>
    <row r="321" spans="1:3" x14ac:dyDescent="0.2">
      <c r="A321" s="1"/>
      <c r="B321" s="1"/>
      <c r="C321" s="26"/>
    </row>
    <row r="322" spans="1:3" x14ac:dyDescent="0.2">
      <c r="A322" s="1"/>
      <c r="B322" s="1"/>
      <c r="C322" s="26"/>
    </row>
    <row r="323" spans="1:3" x14ac:dyDescent="0.2">
      <c r="A323" s="29"/>
      <c r="B323" s="29"/>
      <c r="C323" s="30"/>
    </row>
    <row r="324" spans="1:3" x14ac:dyDescent="0.2">
      <c r="A324" s="29"/>
      <c r="B324" s="29"/>
      <c r="C324" s="30"/>
    </row>
    <row r="325" spans="1:3" x14ac:dyDescent="0.2">
      <c r="A325" s="1"/>
      <c r="B325" s="1"/>
      <c r="C325" s="26"/>
    </row>
    <row r="326" spans="1:3" x14ac:dyDescent="0.2">
      <c r="A326" s="1"/>
      <c r="B326" s="1"/>
      <c r="C326" s="26"/>
    </row>
    <row r="327" spans="1:3" x14ac:dyDescent="0.2">
      <c r="A327" s="29"/>
      <c r="B327" s="29"/>
      <c r="C327" s="30"/>
    </row>
    <row r="328" spans="1:3" x14ac:dyDescent="0.2">
      <c r="A328" s="1"/>
      <c r="B328" s="1"/>
      <c r="C328" s="26"/>
    </row>
    <row r="329" spans="1:3" x14ac:dyDescent="0.2">
      <c r="A329" s="1"/>
      <c r="B329" s="1"/>
      <c r="C329" s="26"/>
    </row>
    <row r="330" spans="1:3" x14ac:dyDescent="0.2">
      <c r="A330" s="1"/>
      <c r="B330" s="1"/>
      <c r="C330" s="26"/>
    </row>
    <row r="331" spans="1:3" x14ac:dyDescent="0.2">
      <c r="A331" s="1"/>
      <c r="B331" s="1"/>
      <c r="C331" s="26"/>
    </row>
    <row r="332" spans="1:3" x14ac:dyDescent="0.2">
      <c r="A332" s="1"/>
      <c r="B332" s="1"/>
      <c r="C332" s="26"/>
    </row>
    <row r="333" spans="1:3" x14ac:dyDescent="0.2">
      <c r="A333" s="1"/>
      <c r="B333" s="1"/>
      <c r="C333" s="26"/>
    </row>
    <row r="334" spans="1:3" x14ac:dyDescent="0.2">
      <c r="A334" s="1"/>
      <c r="B334" s="1"/>
      <c r="C334" s="26"/>
    </row>
    <row r="335" spans="1:3" x14ac:dyDescent="0.2">
      <c r="A335" s="1"/>
      <c r="B335" s="1"/>
      <c r="C335" s="2"/>
    </row>
    <row r="336" spans="1:3" x14ac:dyDescent="0.2">
      <c r="A336" s="1"/>
      <c r="B336" s="1"/>
      <c r="C336" s="26"/>
    </row>
    <row r="337" spans="1:3" x14ac:dyDescent="0.2">
      <c r="A337" s="1"/>
      <c r="B337" s="1"/>
      <c r="C337" s="26"/>
    </row>
    <row r="338" spans="1:3" x14ac:dyDescent="0.2">
      <c r="A338" s="1"/>
      <c r="B338" s="1"/>
      <c r="C338" s="26"/>
    </row>
    <row r="339" spans="1:3" x14ac:dyDescent="0.2">
      <c r="A339" s="29"/>
      <c r="B339" s="29"/>
      <c r="C339" s="31"/>
    </row>
    <row r="340" spans="1:3" x14ac:dyDescent="0.2">
      <c r="A340" s="29"/>
      <c r="B340" s="29"/>
      <c r="C340" s="30"/>
    </row>
    <row r="341" spans="1:3" x14ac:dyDescent="0.2">
      <c r="A341" s="1"/>
      <c r="B341" s="1"/>
      <c r="C341" s="26"/>
    </row>
    <row r="342" spans="1:3" x14ac:dyDescent="0.2">
      <c r="A342" s="1"/>
      <c r="B342" s="1"/>
      <c r="C342" s="26"/>
    </row>
    <row r="343" spans="1:3" x14ac:dyDescent="0.2">
      <c r="A343" s="1"/>
      <c r="B343" s="1"/>
      <c r="C343" s="26"/>
    </row>
    <row r="344" spans="1:3" x14ac:dyDescent="0.2">
      <c r="A344" s="1"/>
      <c r="B344" s="1"/>
      <c r="C344" s="26"/>
    </row>
    <row r="345" spans="1:3" x14ac:dyDescent="0.2">
      <c r="A345" s="1"/>
      <c r="B345" s="1"/>
      <c r="C345" s="26"/>
    </row>
    <row r="346" spans="1:3" x14ac:dyDescent="0.2">
      <c r="A346" s="1"/>
      <c r="B346" s="1"/>
      <c r="C346" s="26"/>
    </row>
    <row r="347" spans="1:3" x14ac:dyDescent="0.2">
      <c r="A347" s="29"/>
      <c r="B347" s="29"/>
      <c r="C347" s="30"/>
    </row>
    <row r="348" spans="1:3" x14ac:dyDescent="0.2">
      <c r="A348" s="1"/>
      <c r="B348" s="1"/>
      <c r="C348" s="26"/>
    </row>
    <row r="349" spans="1:3" x14ac:dyDescent="0.2">
      <c r="A349" s="1"/>
      <c r="B349" s="1"/>
      <c r="C349" s="26"/>
    </row>
    <row r="350" spans="1:3" x14ac:dyDescent="0.2">
      <c r="A350" s="1"/>
      <c r="B350" s="1"/>
      <c r="C350" s="26"/>
    </row>
    <row r="351" spans="1:3" x14ac:dyDescent="0.2">
      <c r="A351" s="1"/>
      <c r="B351" s="1"/>
      <c r="C351" s="26"/>
    </row>
    <row r="352" spans="1:3" x14ac:dyDescent="0.2">
      <c r="A352" s="1"/>
      <c r="B352" s="1"/>
      <c r="C352" s="26"/>
    </row>
    <row r="353" spans="1:3" x14ac:dyDescent="0.2">
      <c r="A353" s="29"/>
      <c r="B353" s="29"/>
      <c r="C353" s="30"/>
    </row>
    <row r="354" spans="1:3" x14ac:dyDescent="0.2">
      <c r="A354" s="1"/>
      <c r="B354" s="1"/>
      <c r="C354" s="26"/>
    </row>
    <row r="355" spans="1:3" x14ac:dyDescent="0.2">
      <c r="A355" s="1"/>
      <c r="B355" s="1"/>
      <c r="C355" s="26"/>
    </row>
    <row r="356" spans="1:3" x14ac:dyDescent="0.2">
      <c r="A356" s="1"/>
      <c r="B356" s="1"/>
      <c r="C356" s="26"/>
    </row>
    <row r="357" spans="1:3" x14ac:dyDescent="0.2">
      <c r="A357" s="1"/>
      <c r="B357" s="1"/>
      <c r="C357" s="26"/>
    </row>
    <row r="358" spans="1:3" x14ac:dyDescent="0.2">
      <c r="A358" s="1"/>
      <c r="B358" s="1"/>
      <c r="C358" s="26"/>
    </row>
    <row r="359" spans="1:3" x14ac:dyDescent="0.2">
      <c r="A359" s="27"/>
      <c r="B359" s="27"/>
      <c r="C359" s="32"/>
    </row>
    <row r="360" spans="1:3" x14ac:dyDescent="0.2">
      <c r="A360" s="1"/>
      <c r="B360" s="1"/>
      <c r="C360" s="26"/>
    </row>
    <row r="361" spans="1:3" x14ac:dyDescent="0.2">
      <c r="A361" s="1"/>
      <c r="B361" s="1"/>
      <c r="C361" s="26"/>
    </row>
    <row r="362" spans="1:3" x14ac:dyDescent="0.2">
      <c r="A362" s="1"/>
      <c r="B362" s="1"/>
      <c r="C362" s="26"/>
    </row>
    <row r="363" spans="1:3" x14ac:dyDescent="0.2">
      <c r="A363" s="1"/>
      <c r="B363" s="1"/>
      <c r="C363" s="26"/>
    </row>
    <row r="364" spans="1:3" x14ac:dyDescent="0.2">
      <c r="A364" s="1"/>
      <c r="B364" s="1"/>
      <c r="C364" s="26"/>
    </row>
    <row r="365" spans="1:3" x14ac:dyDescent="0.2">
      <c r="A365" s="1"/>
      <c r="B365" s="1"/>
      <c r="C365" s="26"/>
    </row>
    <row r="366" spans="1:3" x14ac:dyDescent="0.2">
      <c r="A366" s="1"/>
      <c r="B366" s="1"/>
      <c r="C366" s="26"/>
    </row>
    <row r="367" spans="1:3" x14ac:dyDescent="0.2">
      <c r="A367" s="29"/>
      <c r="B367" s="29"/>
      <c r="C367" s="30"/>
    </row>
    <row r="368" spans="1:3" x14ac:dyDescent="0.2">
      <c r="A368" s="1"/>
      <c r="B368" s="1"/>
      <c r="C368" s="26"/>
    </row>
    <row r="369" spans="1:3" x14ac:dyDescent="0.2">
      <c r="A369" s="1"/>
      <c r="B369" s="1"/>
      <c r="C369" s="26"/>
    </row>
    <row r="370" spans="1:3" x14ac:dyDescent="0.2">
      <c r="A370" s="29"/>
      <c r="B370" s="29"/>
      <c r="C370" s="30"/>
    </row>
    <row r="371" spans="1:3" x14ac:dyDescent="0.2">
      <c r="A371" s="1"/>
      <c r="B371" s="1"/>
      <c r="C371" s="26"/>
    </row>
    <row r="372" spans="1:3" x14ac:dyDescent="0.2">
      <c r="A372" s="1"/>
      <c r="B372" s="1"/>
      <c r="C372" s="26"/>
    </row>
    <row r="373" spans="1:3" x14ac:dyDescent="0.2">
      <c r="A373" s="1"/>
      <c r="B373" s="1"/>
      <c r="C373" s="26"/>
    </row>
    <row r="374" spans="1:3" x14ac:dyDescent="0.2">
      <c r="A374" s="1"/>
      <c r="B374" s="1"/>
      <c r="C374" s="26"/>
    </row>
    <row r="375" spans="1:3" x14ac:dyDescent="0.2">
      <c r="A375" s="1"/>
      <c r="B375" s="1"/>
      <c r="C375" s="26"/>
    </row>
    <row r="376" spans="1:3" x14ac:dyDescent="0.2">
      <c r="A376" s="1"/>
      <c r="B376" s="1"/>
      <c r="C376" s="26"/>
    </row>
    <row r="377" spans="1:3" x14ac:dyDescent="0.2">
      <c r="A377" s="1"/>
      <c r="B377" s="1"/>
      <c r="C377" s="26"/>
    </row>
    <row r="378" spans="1:3" x14ac:dyDescent="0.2">
      <c r="A378" s="1"/>
      <c r="B378" s="1"/>
      <c r="C378" s="26"/>
    </row>
    <row r="379" spans="1:3" x14ac:dyDescent="0.2">
      <c r="A379" s="1"/>
      <c r="B379" s="1"/>
      <c r="C379" s="26"/>
    </row>
    <row r="380" spans="1:3" x14ac:dyDescent="0.2">
      <c r="A380" s="1"/>
      <c r="B380" s="1"/>
      <c r="C380" s="26"/>
    </row>
    <row r="381" spans="1:3" x14ac:dyDescent="0.2">
      <c r="A381" s="1"/>
      <c r="B381" s="1"/>
      <c r="C381" s="26"/>
    </row>
    <row r="382" spans="1:3" x14ac:dyDescent="0.2">
      <c r="A382" s="1"/>
      <c r="B382" s="1"/>
      <c r="C382" s="2"/>
    </row>
    <row r="383" spans="1:3" x14ac:dyDescent="0.2">
      <c r="A383" s="1"/>
      <c r="B383" s="1"/>
      <c r="C383" s="26"/>
    </row>
    <row r="384" spans="1:3" x14ac:dyDescent="0.2">
      <c r="A384" s="1"/>
      <c r="B384" s="1"/>
      <c r="C384" s="26"/>
    </row>
    <row r="385" spans="1:3" x14ac:dyDescent="0.2">
      <c r="A385" s="1"/>
      <c r="B385" s="1"/>
      <c r="C385" s="26"/>
    </row>
    <row r="386" spans="1:3" x14ac:dyDescent="0.2">
      <c r="A386" s="1"/>
      <c r="B386" s="1"/>
      <c r="C386" s="26"/>
    </row>
    <row r="387" spans="1:3" x14ac:dyDescent="0.2">
      <c r="A387" s="1"/>
      <c r="B387" s="1"/>
      <c r="C387" s="26"/>
    </row>
    <row r="388" spans="1:3" x14ac:dyDescent="0.2">
      <c r="A388" s="1"/>
      <c r="B388" s="1"/>
      <c r="C388" s="26"/>
    </row>
    <row r="389" spans="1:3" x14ac:dyDescent="0.2">
      <c r="A389" s="1"/>
      <c r="B389" s="1"/>
      <c r="C389" s="2"/>
    </row>
    <row r="390" spans="1:3" x14ac:dyDescent="0.2">
      <c r="A390" s="1"/>
      <c r="B390" s="1"/>
      <c r="C390" s="26"/>
    </row>
    <row r="391" spans="1:3" x14ac:dyDescent="0.2">
      <c r="A391" s="1"/>
      <c r="B391" s="1"/>
      <c r="C391" s="26"/>
    </row>
    <row r="392" spans="1:3" x14ac:dyDescent="0.2">
      <c r="A392" s="1"/>
      <c r="B392" s="1"/>
      <c r="C392" s="26"/>
    </row>
    <row r="393" spans="1:3" x14ac:dyDescent="0.2">
      <c r="A393" s="1"/>
      <c r="B393" s="1"/>
      <c r="C393" s="26"/>
    </row>
    <row r="394" spans="1:3" x14ac:dyDescent="0.2">
      <c r="A394" s="1"/>
      <c r="B394" s="1"/>
      <c r="C394" s="26"/>
    </row>
    <row r="395" spans="1:3" x14ac:dyDescent="0.2">
      <c r="A395" s="1"/>
      <c r="B395" s="1"/>
      <c r="C395" s="26"/>
    </row>
    <row r="396" spans="1:3" x14ac:dyDescent="0.2">
      <c r="A396" s="1"/>
      <c r="B396" s="1"/>
      <c r="C396" s="26"/>
    </row>
    <row r="397" spans="1:3" x14ac:dyDescent="0.2">
      <c r="A397" s="1"/>
      <c r="B397" s="1"/>
      <c r="C397" s="26"/>
    </row>
    <row r="398" spans="1:3" x14ac:dyDescent="0.2">
      <c r="A398" s="1"/>
      <c r="B398" s="1"/>
      <c r="C398" s="26"/>
    </row>
    <row r="399" spans="1:3" x14ac:dyDescent="0.2">
      <c r="A399" s="29"/>
      <c r="B399" s="29"/>
      <c r="C399" s="30"/>
    </row>
    <row r="400" spans="1:3" x14ac:dyDescent="0.2">
      <c r="A400" s="29"/>
      <c r="B400" s="29"/>
      <c r="C400" s="30"/>
    </row>
    <row r="401" spans="1:3" x14ac:dyDescent="0.2">
      <c r="A401" s="29"/>
      <c r="B401" s="29"/>
      <c r="C401" s="30"/>
    </row>
    <row r="402" spans="1:3" x14ac:dyDescent="0.2">
      <c r="A402" s="29"/>
      <c r="B402" s="29"/>
      <c r="C402" s="30"/>
    </row>
    <row r="403" spans="1:3" x14ac:dyDescent="0.2">
      <c r="A403" s="1"/>
      <c r="B403" s="1"/>
      <c r="C403" s="2"/>
    </row>
    <row r="404" spans="1:3" x14ac:dyDescent="0.2">
      <c r="A404" s="36"/>
      <c r="B404" s="36"/>
      <c r="C404" s="36"/>
    </row>
    <row r="405" spans="1:3" x14ac:dyDescent="0.2">
      <c r="A405" s="1"/>
      <c r="B405" s="1"/>
      <c r="C405" s="26"/>
    </row>
    <row r="406" spans="1:3" x14ac:dyDescent="0.2">
      <c r="A406" s="1"/>
      <c r="B406" s="1"/>
      <c r="C406" s="2"/>
    </row>
    <row r="407" spans="1:3" x14ac:dyDescent="0.2">
      <c r="A407" s="1"/>
      <c r="B407" s="1"/>
      <c r="C407" s="26"/>
    </row>
    <row r="408" spans="1:3" x14ac:dyDescent="0.2">
      <c r="A408" s="1"/>
      <c r="B408" s="1"/>
      <c r="C408" s="26"/>
    </row>
    <row r="409" spans="1:3" x14ac:dyDescent="0.2">
      <c r="A409" s="1"/>
      <c r="B409" s="1"/>
      <c r="C409" s="26"/>
    </row>
    <row r="410" spans="1:3" x14ac:dyDescent="0.2">
      <c r="A410" s="1"/>
      <c r="B410" s="1"/>
      <c r="C410" s="26"/>
    </row>
    <row r="411" spans="1:3" x14ac:dyDescent="0.2">
      <c r="A411" s="1"/>
      <c r="B411" s="1"/>
      <c r="C411" s="26"/>
    </row>
    <row r="412" spans="1:3" x14ac:dyDescent="0.2">
      <c r="A412" s="1"/>
      <c r="B412" s="1"/>
      <c r="C412" s="2"/>
    </row>
    <row r="413" spans="1:3" x14ac:dyDescent="0.2">
      <c r="A413" s="1"/>
      <c r="B413" s="1"/>
      <c r="C413" s="2"/>
    </row>
    <row r="414" spans="1:3" x14ac:dyDescent="0.2">
      <c r="A414" s="1"/>
      <c r="B414" s="1"/>
      <c r="C414" s="2"/>
    </row>
    <row r="415" spans="1:3" x14ac:dyDescent="0.2">
      <c r="A415" s="1"/>
      <c r="B415" s="1"/>
      <c r="C415" s="26"/>
    </row>
    <row r="416" spans="1:3" x14ac:dyDescent="0.2">
      <c r="A416" s="29"/>
      <c r="B416" s="29"/>
      <c r="C416" s="30"/>
    </row>
    <row r="417" spans="1:3" x14ac:dyDescent="0.2">
      <c r="A417" s="29"/>
      <c r="B417" s="29"/>
      <c r="C417" s="30"/>
    </row>
    <row r="418" spans="1:3" x14ac:dyDescent="0.2">
      <c r="A418" s="29"/>
      <c r="B418" s="29"/>
      <c r="C418" s="30"/>
    </row>
    <row r="419" spans="1:3" x14ac:dyDescent="0.2">
      <c r="A419" s="29"/>
      <c r="B419" s="29"/>
      <c r="C419" s="30"/>
    </row>
    <row r="420" spans="1:3" x14ac:dyDescent="0.2">
      <c r="A420" s="29"/>
      <c r="B420" s="29"/>
      <c r="C420" s="30"/>
    </row>
    <row r="421" spans="1:3" x14ac:dyDescent="0.2">
      <c r="A421" s="29"/>
      <c r="B421" s="29"/>
      <c r="C421" s="30"/>
    </row>
    <row r="422" spans="1:3" x14ac:dyDescent="0.2">
      <c r="A422" s="33"/>
      <c r="B422" s="33"/>
      <c r="C422" s="34"/>
    </row>
    <row r="423" spans="1:3" x14ac:dyDescent="0.2">
      <c r="A423" s="1"/>
      <c r="B423" s="1"/>
      <c r="C423" s="2"/>
    </row>
    <row r="424" spans="1:3" x14ac:dyDescent="0.2">
      <c r="A424" s="35"/>
      <c r="B424" s="35"/>
      <c r="C424" s="35"/>
    </row>
    <row r="425" spans="1:3" x14ac:dyDescent="0.2">
      <c r="A425" s="1"/>
      <c r="B425" s="1"/>
      <c r="C425" s="2"/>
    </row>
    <row r="426" spans="1:3" x14ac:dyDescent="0.2">
      <c r="A426" s="1"/>
      <c r="B426" s="1"/>
      <c r="C426" s="2"/>
    </row>
    <row r="427" spans="1:3" x14ac:dyDescent="0.2">
      <c r="A427" s="1"/>
      <c r="B427" s="1"/>
      <c r="C427" s="2"/>
    </row>
    <row r="428" spans="1:3" x14ac:dyDescent="0.2">
      <c r="A428" s="1"/>
      <c r="B428" s="1"/>
      <c r="C428" s="2"/>
    </row>
    <row r="429" spans="1:3" x14ac:dyDescent="0.2">
      <c r="A429" s="1"/>
      <c r="B429" s="1"/>
      <c r="C429" s="2"/>
    </row>
    <row r="430" spans="1:3" x14ac:dyDescent="0.2">
      <c r="A430" s="1"/>
      <c r="B430" s="1"/>
      <c r="C430" s="2"/>
    </row>
    <row r="431" spans="1:3" x14ac:dyDescent="0.2">
      <c r="A431" s="1"/>
      <c r="B431" s="1"/>
      <c r="C431" s="26"/>
    </row>
    <row r="432" spans="1:3" x14ac:dyDescent="0.2">
      <c r="A432" s="1"/>
      <c r="B432" s="1"/>
      <c r="C432" s="2"/>
    </row>
    <row r="433" spans="1:3" x14ac:dyDescent="0.2">
      <c r="A433" s="1"/>
      <c r="B433" s="1"/>
      <c r="C433" s="2"/>
    </row>
    <row r="434" spans="1:3" x14ac:dyDescent="0.2">
      <c r="A434" s="1"/>
      <c r="B434" s="1"/>
      <c r="C434" s="2"/>
    </row>
    <row r="435" spans="1:3" x14ac:dyDescent="0.2">
      <c r="A435" s="1"/>
      <c r="B435" s="1"/>
      <c r="C435" s="2"/>
    </row>
    <row r="436" spans="1:3" x14ac:dyDescent="0.2">
      <c r="A436" s="1"/>
      <c r="B436" s="1"/>
      <c r="C436" s="2"/>
    </row>
    <row r="437" spans="1:3" x14ac:dyDescent="0.2">
      <c r="A437" s="1"/>
      <c r="B437" s="1"/>
      <c r="C437" s="2"/>
    </row>
    <row r="438" spans="1:3" x14ac:dyDescent="0.2">
      <c r="A438" s="1"/>
      <c r="B438" s="1"/>
      <c r="C438" s="2"/>
    </row>
    <row r="439" spans="1:3" x14ac:dyDescent="0.2">
      <c r="A439" s="1"/>
      <c r="B439" s="1"/>
      <c r="C439" s="2"/>
    </row>
    <row r="440" spans="1:3" x14ac:dyDescent="0.2">
      <c r="A440" s="1"/>
      <c r="B440" s="1"/>
      <c r="C440" s="2"/>
    </row>
    <row r="441" spans="1:3" x14ac:dyDescent="0.2">
      <c r="A441" s="1"/>
      <c r="B441" s="1"/>
      <c r="C441" s="2"/>
    </row>
    <row r="442" spans="1:3" x14ac:dyDescent="0.2">
      <c r="A442" s="1"/>
      <c r="B442" s="1"/>
      <c r="C442" s="26"/>
    </row>
    <row r="443" spans="1:3" x14ac:dyDescent="0.2">
      <c r="A443" s="1"/>
      <c r="B443" s="1"/>
      <c r="C443" s="26"/>
    </row>
    <row r="444" spans="1:3" x14ac:dyDescent="0.2">
      <c r="A444" s="1"/>
      <c r="B444" s="1"/>
      <c r="C444" s="26"/>
    </row>
    <row r="445" spans="1:3" x14ac:dyDescent="0.2">
      <c r="A445" s="1"/>
      <c r="B445" s="1"/>
      <c r="C445" s="26"/>
    </row>
    <row r="446" spans="1:3" x14ac:dyDescent="0.2">
      <c r="A446" s="1"/>
      <c r="B446" s="1"/>
      <c r="C446" s="26"/>
    </row>
    <row r="447" spans="1:3" x14ac:dyDescent="0.2">
      <c r="A447" s="1"/>
      <c r="B447" s="1"/>
      <c r="C447" s="26"/>
    </row>
    <row r="448" spans="1:3" x14ac:dyDescent="0.2">
      <c r="A448" s="1"/>
      <c r="B448" s="1"/>
      <c r="C448" s="26"/>
    </row>
    <row r="449" spans="1:3" x14ac:dyDescent="0.2">
      <c r="A449" s="1"/>
      <c r="B449" s="1"/>
      <c r="C449" s="26"/>
    </row>
    <row r="450" spans="1:3" x14ac:dyDescent="0.2">
      <c r="A450" s="1"/>
      <c r="B450" s="1"/>
      <c r="C450" s="26"/>
    </row>
    <row r="451" spans="1:3" x14ac:dyDescent="0.2">
      <c r="A451" s="1"/>
      <c r="B451" s="1"/>
      <c r="C451" s="26"/>
    </row>
    <row r="452" spans="1:3" x14ac:dyDescent="0.2">
      <c r="A452" s="1"/>
      <c r="B452" s="1"/>
      <c r="C452" s="26"/>
    </row>
    <row r="453" spans="1:3" x14ac:dyDescent="0.2">
      <c r="A453" s="1"/>
      <c r="B453" s="1"/>
      <c r="C453" s="2"/>
    </row>
    <row r="454" spans="1:3" x14ac:dyDescent="0.2">
      <c r="A454" s="27"/>
      <c r="B454" s="27"/>
      <c r="C454" s="32"/>
    </row>
    <row r="455" spans="1:3" x14ac:dyDescent="0.2">
      <c r="A455" s="27"/>
      <c r="B455" s="27"/>
      <c r="C455" s="32"/>
    </row>
    <row r="456" spans="1:3" x14ac:dyDescent="0.2">
      <c r="A456" s="27"/>
      <c r="B456" s="27"/>
      <c r="C456" s="28"/>
    </row>
    <row r="457" spans="1:3" x14ac:dyDescent="0.2">
      <c r="A457" s="1"/>
      <c r="B457" s="1"/>
      <c r="C457" s="2"/>
    </row>
    <row r="458" spans="1:3" x14ac:dyDescent="0.2">
      <c r="A458" s="1"/>
      <c r="B458" s="1"/>
      <c r="C458" s="26"/>
    </row>
    <row r="459" spans="1:3" x14ac:dyDescent="0.2">
      <c r="A459" s="1"/>
      <c r="B459" s="1"/>
      <c r="C459" s="26"/>
    </row>
    <row r="460" spans="1:3" x14ac:dyDescent="0.2">
      <c r="A460" s="1"/>
      <c r="B460" s="1"/>
      <c r="C460" s="26"/>
    </row>
    <row r="461" spans="1:3" x14ac:dyDescent="0.2">
      <c r="A461" s="29"/>
      <c r="B461" s="29"/>
      <c r="C461" s="30"/>
    </row>
    <row r="462" spans="1:3" x14ac:dyDescent="0.2">
      <c r="A462" s="29"/>
      <c r="B462" s="29"/>
      <c r="C462" s="30"/>
    </row>
    <row r="463" spans="1:3" x14ac:dyDescent="0.2">
      <c r="A463" s="29"/>
      <c r="B463" s="29"/>
      <c r="C463" s="30"/>
    </row>
    <row r="464" spans="1:3" x14ac:dyDescent="0.2">
      <c r="A464" s="29"/>
      <c r="B464" s="29"/>
      <c r="C464" s="30"/>
    </row>
    <row r="465" spans="1:11" x14ac:dyDescent="0.2">
      <c r="A465" s="29"/>
      <c r="B465" s="29"/>
      <c r="C465" s="30"/>
    </row>
    <row r="466" spans="1:11" x14ac:dyDescent="0.2">
      <c r="A466" s="1"/>
      <c r="B466" s="1"/>
      <c r="C466" s="2"/>
    </row>
    <row r="467" spans="1:11" x14ac:dyDescent="0.2">
      <c r="A467" s="1"/>
      <c r="B467" s="1"/>
      <c r="C467" s="26"/>
      <c r="D467" s="26"/>
      <c r="E467" s="26"/>
      <c r="F467" s="26"/>
      <c r="G467" s="26"/>
      <c r="H467" s="26"/>
      <c r="I467" s="26"/>
      <c r="J467" s="26"/>
      <c r="K467" s="26"/>
    </row>
    <row r="468" spans="1:11" ht="15" customHeight="1" x14ac:dyDescent="0.2">
      <c r="C468" s="26"/>
      <c r="D468" s="26"/>
      <c r="E468" s="26"/>
      <c r="F468" s="26"/>
      <c r="G468" s="26"/>
      <c r="H468" s="26"/>
      <c r="I468" s="26"/>
      <c r="J468" s="26"/>
      <c r="K468" s="26"/>
    </row>
    <row r="469" spans="1:11" ht="15" customHeight="1" x14ac:dyDescent="0.2">
      <c r="C469" s="26"/>
      <c r="D469" s="26"/>
      <c r="E469" s="26"/>
      <c r="F469" s="26"/>
      <c r="G469" s="26"/>
      <c r="H469" s="26"/>
      <c r="I469" s="26"/>
      <c r="J469" s="26"/>
      <c r="K469" s="26"/>
    </row>
    <row r="470" spans="1:11" ht="15" customHeight="1" x14ac:dyDescent="0.2">
      <c r="C470" s="26"/>
      <c r="D470" s="26"/>
      <c r="E470" s="26"/>
      <c r="F470" s="26"/>
      <c r="G470" s="26"/>
      <c r="H470" s="26"/>
      <c r="I470" s="26"/>
      <c r="J470" s="26"/>
      <c r="K470" s="26"/>
    </row>
    <row r="471" spans="1:11" ht="15" customHeight="1" x14ac:dyDescent="0.2">
      <c r="C471" s="26"/>
      <c r="D471" s="26"/>
      <c r="E471" s="26"/>
      <c r="F471" s="26"/>
      <c r="G471" s="26"/>
      <c r="H471" s="26"/>
      <c r="I471" s="26"/>
      <c r="J471" s="26"/>
      <c r="K471" s="26"/>
    </row>
    <row r="472" spans="1:11" ht="15" customHeight="1" x14ac:dyDescent="0.2"/>
    <row r="473" spans="1:11" ht="15" customHeight="1" x14ac:dyDescent="0.2"/>
    <row r="474" spans="1:11" ht="15" customHeight="1" x14ac:dyDescent="0.2"/>
    <row r="475" spans="1:11" ht="15" customHeight="1" x14ac:dyDescent="0.2"/>
  </sheetData>
  <sortState xmlns:xlrd2="http://schemas.microsoft.com/office/spreadsheetml/2017/richdata2" ref="A3:C312">
    <sortCondition ref="A2:A312"/>
  </sortState>
  <dataValidations count="5">
    <dataValidation allowBlank="1" showInputMessage="1" showErrorMessage="1" sqref="A467:B467 C467:K471 A461:C461 C121:C130 A2:C120 C138:C348 A121:B311 A313:B348" xr:uid="{00000000-0002-0000-0200-000000000000}"/>
    <dataValidation allowBlank="1" showErrorMessage="1" sqref="B462:B466 B455:B460 B447:B453 B444:B445 B424:B442 B408:B419 B395:B406 B383:B393 B378:B381 B375 B373 B367 B360 B355 B350:B353" xr:uid="{00000000-0002-0000-0200-000001000000}"/>
    <dataValidation allowBlank="1" showErrorMessage="1" error="Valor incorrecto._x000a_Por favor, ingrese solo números sin guiones ni barras." sqref="A462:A466 A455:A460 A447:A453 A444:A445 A424:A442 A408:A419 A395:A406 A378:A381 A375 A373 A367 A360 A355 A350:A353 A383:A384 A386:A393 A312" xr:uid="{00000000-0002-0000-0200-000002000000}"/>
    <dataValidation allowBlank="1" showErrorMessage="1" sqref="B394 B382 B349" xr:uid="{00000000-0002-0000-0200-000003000000}">
      <formula1>0</formula1>
      <formula2>0</formula2>
    </dataValidation>
    <dataValidation allowBlank="1" showErrorMessage="1" error="Valor incorrecto._x000a_Por favor, ingrese solo números sin guiones ni barras." sqref="A394 A382 A349" xr:uid="{00000000-0002-0000-0200-000004000000}">
      <formula1>0</formula1>
      <formula2>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0">
    <tabColor rgb="FF548135"/>
  </sheetPr>
  <dimension ref="A1:BU25"/>
  <sheetViews>
    <sheetView tabSelected="1" topLeftCell="A17" workbookViewId="0">
      <selection activeCell="A11" sqref="A11:XFD11"/>
    </sheetView>
  </sheetViews>
  <sheetFormatPr defaultColWidth="14.390625" defaultRowHeight="15" customHeight="1" x14ac:dyDescent="0.2"/>
  <cols>
    <col min="1" max="1" width="11.43359375" style="98" customWidth="1"/>
    <col min="2" max="2" width="88.37890625" style="19" customWidth="1"/>
    <col min="3" max="3" width="18.96484375" style="19" customWidth="1"/>
    <col min="4" max="4" width="19.37109375" style="19" customWidth="1"/>
    <col min="5" max="6" width="17.21875" style="19" customWidth="1"/>
    <col min="7" max="7" width="20.04296875" style="19" customWidth="1"/>
    <col min="8" max="9" width="22.46484375" style="19" customWidth="1"/>
    <col min="10" max="10" width="32.95703125" style="19" customWidth="1"/>
    <col min="11" max="11" width="22.46484375" style="19" customWidth="1"/>
    <col min="12" max="12" width="25.2890625" style="19" customWidth="1"/>
    <col min="13" max="13" width="33.765625" style="19" customWidth="1"/>
    <col min="14" max="14" width="34.70703125" style="19" customWidth="1"/>
    <col min="15" max="15" width="25.421875" style="19" customWidth="1"/>
    <col min="16" max="16" width="30.9375" style="19" customWidth="1"/>
    <col min="17" max="17" width="13.046875" style="19" customWidth="1"/>
    <col min="18" max="18" width="18.6953125" style="19" customWidth="1"/>
    <col min="19" max="19" width="10.35546875" style="19" customWidth="1"/>
    <col min="20" max="20" width="14.66015625" style="19" customWidth="1"/>
    <col min="21" max="21" width="33.8984375" style="19" customWidth="1"/>
    <col min="22" max="22" width="32.95703125" style="19" customWidth="1"/>
    <col min="23" max="23" width="32.6875" style="19" customWidth="1"/>
    <col min="24" max="24" width="16.6796875" style="19" customWidth="1"/>
    <col min="25" max="25" width="22.05859375" style="19" customWidth="1"/>
    <col min="26" max="26" width="13.046875" style="19" customWidth="1"/>
    <col min="27" max="27" width="15.6015625" style="19" customWidth="1"/>
    <col min="28" max="28" width="10.35546875" style="19" customWidth="1"/>
    <col min="29" max="37" width="11.43359375" style="19" customWidth="1"/>
    <col min="38" max="40" width="7.12890625" style="19" customWidth="1"/>
    <col min="41" max="41" width="9.81640625" style="19" customWidth="1"/>
    <col min="42" max="44" width="7.12890625" style="19" customWidth="1"/>
    <col min="45" max="45" width="9.81640625" style="19" customWidth="1"/>
    <col min="46" max="48" width="7.12890625" style="19" customWidth="1"/>
    <col min="49" max="49" width="9.81640625" style="19" customWidth="1"/>
    <col min="50" max="52" width="7.12890625" style="19" customWidth="1"/>
    <col min="53" max="53" width="10.0859375" style="19" customWidth="1"/>
    <col min="54" max="56" width="7.12890625" style="19" customWidth="1"/>
    <col min="57" max="57" width="9.68359375" style="19" customWidth="1"/>
    <col min="58" max="61" width="10.76171875" style="19" customWidth="1"/>
    <col min="62" max="71" width="11.43359375" style="19" customWidth="1"/>
    <col min="72" max="16384" width="14.390625" style="19"/>
  </cols>
  <sheetData>
    <row r="1" spans="1:73" ht="55.5" thickBot="1" x14ac:dyDescent="0.25">
      <c r="A1" s="90" t="s">
        <v>0</v>
      </c>
      <c r="B1" s="4" t="s">
        <v>1</v>
      </c>
      <c r="C1" s="5" t="s">
        <v>18</v>
      </c>
      <c r="D1" s="5" t="s">
        <v>2</v>
      </c>
      <c r="E1" s="5" t="s">
        <v>3</v>
      </c>
      <c r="F1" s="5" t="s">
        <v>4</v>
      </c>
      <c r="G1" s="5" t="s">
        <v>5</v>
      </c>
      <c r="H1" s="5" t="s">
        <v>6</v>
      </c>
      <c r="I1" s="6" t="s">
        <v>7</v>
      </c>
      <c r="J1" s="5" t="s">
        <v>8</v>
      </c>
      <c r="K1" s="5" t="s">
        <v>19</v>
      </c>
      <c r="L1" s="6" t="s">
        <v>20</v>
      </c>
      <c r="M1" s="5" t="s">
        <v>21</v>
      </c>
      <c r="N1" s="7" t="s">
        <v>22</v>
      </c>
      <c r="O1" s="6" t="s">
        <v>23</v>
      </c>
      <c r="P1" s="5" t="s">
        <v>24</v>
      </c>
      <c r="Q1" s="5" t="s">
        <v>25</v>
      </c>
      <c r="R1" s="7" t="s">
        <v>26</v>
      </c>
      <c r="S1" s="7" t="s">
        <v>27</v>
      </c>
      <c r="T1" s="7" t="s">
        <v>28</v>
      </c>
      <c r="U1" s="7" t="s">
        <v>29</v>
      </c>
      <c r="V1" s="7" t="s">
        <v>30</v>
      </c>
      <c r="W1" s="7" t="s">
        <v>31</v>
      </c>
      <c r="X1" s="8" t="s">
        <v>32</v>
      </c>
      <c r="Y1" s="8" t="s">
        <v>33</v>
      </c>
      <c r="Z1" s="8" t="s">
        <v>34</v>
      </c>
      <c r="AA1" s="8" t="s">
        <v>35</v>
      </c>
      <c r="AB1" s="7" t="s">
        <v>27</v>
      </c>
      <c r="AC1" s="7" t="s">
        <v>36</v>
      </c>
      <c r="AD1" s="7" t="s">
        <v>37</v>
      </c>
      <c r="AE1" s="7" t="s">
        <v>38</v>
      </c>
      <c r="AF1" s="7" t="s">
        <v>39</v>
      </c>
      <c r="AG1" s="7" t="s">
        <v>40</v>
      </c>
      <c r="AH1" s="7" t="s">
        <v>41</v>
      </c>
      <c r="AI1" s="7" t="s">
        <v>42</v>
      </c>
      <c r="AJ1" s="7" t="s">
        <v>43</v>
      </c>
      <c r="AK1" s="8" t="s">
        <v>35</v>
      </c>
      <c r="AL1" s="9" t="s">
        <v>44</v>
      </c>
      <c r="AM1" s="9" t="s">
        <v>45</v>
      </c>
      <c r="AN1" s="9" t="s">
        <v>46</v>
      </c>
      <c r="AO1" s="9" t="s">
        <v>47</v>
      </c>
      <c r="AP1" s="10" t="s">
        <v>48</v>
      </c>
      <c r="AQ1" s="10" t="s">
        <v>49</v>
      </c>
      <c r="AR1" s="10" t="s">
        <v>50</v>
      </c>
      <c r="AS1" s="10" t="s">
        <v>51</v>
      </c>
      <c r="AT1" s="11" t="s">
        <v>52</v>
      </c>
      <c r="AU1" s="11" t="s">
        <v>53</v>
      </c>
      <c r="AV1" s="11" t="s">
        <v>54</v>
      </c>
      <c r="AW1" s="11" t="s">
        <v>55</v>
      </c>
      <c r="AX1" s="12" t="s">
        <v>56</v>
      </c>
      <c r="AY1" s="12" t="s">
        <v>57</v>
      </c>
      <c r="AZ1" s="12" t="s">
        <v>58</v>
      </c>
      <c r="BA1" s="13" t="s">
        <v>59</v>
      </c>
      <c r="BB1" s="14" t="s">
        <v>60</v>
      </c>
      <c r="BC1" s="14" t="s">
        <v>61</v>
      </c>
      <c r="BD1" s="14" t="s">
        <v>62</v>
      </c>
      <c r="BE1" s="15" t="s">
        <v>63</v>
      </c>
      <c r="BF1" s="16" t="s">
        <v>64</v>
      </c>
      <c r="BG1" s="16" t="s">
        <v>65</v>
      </c>
      <c r="BH1" s="16" t="s">
        <v>66</v>
      </c>
      <c r="BI1" s="17" t="s">
        <v>67</v>
      </c>
      <c r="BJ1" s="16" t="s">
        <v>68</v>
      </c>
      <c r="BK1" s="16" t="s">
        <v>69</v>
      </c>
      <c r="BL1" s="16" t="s">
        <v>70</v>
      </c>
      <c r="BM1" s="16" t="s">
        <v>71</v>
      </c>
      <c r="BN1" s="16" t="s">
        <v>72</v>
      </c>
      <c r="BO1" s="16" t="s">
        <v>73</v>
      </c>
      <c r="BP1" s="16" t="s">
        <v>74</v>
      </c>
      <c r="BQ1" s="16" t="s">
        <v>75</v>
      </c>
      <c r="BR1" s="16" t="s">
        <v>76</v>
      </c>
      <c r="BS1" s="18" t="s">
        <v>77</v>
      </c>
    </row>
    <row r="2" spans="1:73" ht="36" customHeight="1" x14ac:dyDescent="0.2">
      <c r="A2" s="91">
        <v>20237800</v>
      </c>
      <c r="B2" s="40" t="s">
        <v>1103</v>
      </c>
      <c r="C2" s="40" t="s">
        <v>137</v>
      </c>
      <c r="D2" s="40" t="s">
        <v>137</v>
      </c>
      <c r="E2" s="40" t="s">
        <v>137</v>
      </c>
      <c r="F2" s="40">
        <v>1406</v>
      </c>
      <c r="G2" s="40" t="s">
        <v>134</v>
      </c>
      <c r="H2" s="40" t="s">
        <v>83</v>
      </c>
      <c r="I2" s="40" t="s">
        <v>1104</v>
      </c>
      <c r="J2" s="40" t="s">
        <v>1105</v>
      </c>
      <c r="K2" s="40" t="s">
        <v>1106</v>
      </c>
      <c r="L2" s="40" t="s">
        <v>1107</v>
      </c>
      <c r="M2" s="40" t="s">
        <v>1108</v>
      </c>
      <c r="N2" s="47" t="s">
        <v>1105</v>
      </c>
      <c r="O2" s="47" t="s">
        <v>1109</v>
      </c>
      <c r="P2" s="47" t="s">
        <v>1110</v>
      </c>
      <c r="Q2" s="40" t="s">
        <v>588</v>
      </c>
      <c r="R2" s="40" t="s">
        <v>1111</v>
      </c>
      <c r="S2" s="40" t="s">
        <v>1112</v>
      </c>
      <c r="T2" s="40">
        <v>2022</v>
      </c>
      <c r="U2" s="40" t="s">
        <v>1113</v>
      </c>
      <c r="V2" s="40"/>
      <c r="W2" s="40"/>
      <c r="X2" s="75"/>
      <c r="Y2" s="75"/>
      <c r="Z2" s="75"/>
      <c r="AA2" s="75"/>
      <c r="AB2" s="75"/>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row>
    <row r="3" spans="1:73" ht="36" customHeight="1" x14ac:dyDescent="0.2">
      <c r="A3" s="92">
        <v>20288100</v>
      </c>
      <c r="B3" s="40" t="s">
        <v>183</v>
      </c>
      <c r="C3" s="85" t="s">
        <v>137</v>
      </c>
      <c r="D3" s="85" t="s">
        <v>137</v>
      </c>
      <c r="E3" s="85" t="s">
        <v>137</v>
      </c>
      <c r="F3" s="85">
        <v>1429</v>
      </c>
      <c r="G3" s="85" t="s">
        <v>134</v>
      </c>
      <c r="H3" s="85" t="s">
        <v>83</v>
      </c>
      <c r="I3" s="85" t="s">
        <v>1044</v>
      </c>
      <c r="J3" s="85" t="s">
        <v>1045</v>
      </c>
      <c r="K3" s="85" t="s">
        <v>1046</v>
      </c>
      <c r="L3" s="85" t="s">
        <v>1047</v>
      </c>
      <c r="M3" s="85" t="s">
        <v>1048</v>
      </c>
      <c r="N3" s="85" t="s">
        <v>1049</v>
      </c>
      <c r="O3" s="85" t="s">
        <v>1050</v>
      </c>
      <c r="P3" s="77" t="s">
        <v>1051</v>
      </c>
      <c r="Q3" s="77" t="s">
        <v>1052</v>
      </c>
      <c r="R3" s="75" t="s">
        <v>1053</v>
      </c>
      <c r="S3" s="37" t="s">
        <v>1054</v>
      </c>
      <c r="T3" s="75">
        <v>2018</v>
      </c>
      <c r="U3" s="75"/>
      <c r="V3" s="75"/>
      <c r="W3" s="75"/>
      <c r="X3" s="75"/>
      <c r="Y3" s="75"/>
      <c r="Z3" s="75"/>
      <c r="AA3" s="75"/>
      <c r="AB3" s="75"/>
      <c r="AC3" s="75"/>
      <c r="AD3" s="75"/>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row>
    <row r="4" spans="1:73" customFormat="1" ht="45" customHeight="1" x14ac:dyDescent="0.2">
      <c r="A4" s="95">
        <v>60229000</v>
      </c>
      <c r="B4" s="41" t="s">
        <v>191</v>
      </c>
      <c r="C4" s="44" t="s">
        <v>136</v>
      </c>
      <c r="D4" s="44" t="s">
        <v>430</v>
      </c>
      <c r="E4" s="44" t="s">
        <v>192</v>
      </c>
      <c r="F4" s="44" t="s">
        <v>134</v>
      </c>
      <c r="G4" s="44" t="s">
        <v>83</v>
      </c>
      <c r="H4" s="44" t="s">
        <v>427</v>
      </c>
      <c r="I4" s="44" t="s">
        <v>426</v>
      </c>
      <c r="J4" s="45" t="s">
        <v>419</v>
      </c>
      <c r="K4" s="44" t="s">
        <v>420</v>
      </c>
      <c r="L4" s="44" t="s">
        <v>158</v>
      </c>
      <c r="M4" s="46" t="s">
        <v>421</v>
      </c>
      <c r="N4" s="46" t="s">
        <v>422</v>
      </c>
      <c r="O4" s="46" t="s">
        <v>423</v>
      </c>
      <c r="P4" s="48">
        <v>0</v>
      </c>
      <c r="Q4" s="24" t="s">
        <v>149</v>
      </c>
      <c r="R4" s="49">
        <v>0</v>
      </c>
      <c r="S4" s="24"/>
      <c r="T4" s="24">
        <v>2018</v>
      </c>
      <c r="U4" s="24"/>
      <c r="V4" s="24"/>
      <c r="W4" s="50"/>
      <c r="X4" s="23"/>
      <c r="Y4" s="50"/>
      <c r="Z4" s="43"/>
      <c r="AA4" s="44"/>
      <c r="AB4" s="24"/>
      <c r="AC4" s="24"/>
      <c r="AD4" s="24"/>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1"/>
      <c r="BH4" s="22"/>
      <c r="BI4" s="22"/>
      <c r="BJ4" s="22"/>
      <c r="BK4" s="22"/>
      <c r="BL4" s="22"/>
      <c r="BM4" s="22"/>
      <c r="BN4" s="22"/>
      <c r="BO4" s="22"/>
      <c r="BP4" s="22"/>
      <c r="BQ4" s="22"/>
      <c r="BR4" s="22"/>
      <c r="BS4" s="22"/>
      <c r="BT4" s="22"/>
      <c r="BU4" s="23"/>
    </row>
    <row r="5" spans="1:73" s="64" customFormat="1" ht="36" customHeight="1" x14ac:dyDescent="0.2">
      <c r="A5" s="92">
        <v>60596501</v>
      </c>
      <c r="B5" s="40" t="s">
        <v>985</v>
      </c>
      <c r="C5" s="75" t="s">
        <v>136</v>
      </c>
      <c r="D5" s="75" t="s">
        <v>851</v>
      </c>
      <c r="E5" s="75" t="s">
        <v>986</v>
      </c>
      <c r="F5" s="75">
        <v>7545</v>
      </c>
      <c r="G5" s="75" t="s">
        <v>82</v>
      </c>
      <c r="H5" s="75" t="s">
        <v>976</v>
      </c>
      <c r="I5" s="75" t="s">
        <v>987</v>
      </c>
      <c r="J5" s="75" t="s">
        <v>988</v>
      </c>
      <c r="K5" s="75" t="s">
        <v>989</v>
      </c>
      <c r="L5" s="75" t="s">
        <v>990</v>
      </c>
      <c r="M5" s="75" t="s">
        <v>803</v>
      </c>
      <c r="N5" s="77" t="s">
        <v>991</v>
      </c>
      <c r="O5" s="77" t="s">
        <v>989</v>
      </c>
      <c r="P5" s="77" t="s">
        <v>990</v>
      </c>
      <c r="Q5" s="75" t="s">
        <v>803</v>
      </c>
      <c r="R5" s="75" t="s">
        <v>991</v>
      </c>
      <c r="S5" s="75">
        <v>0</v>
      </c>
      <c r="T5" s="75">
        <v>2023</v>
      </c>
      <c r="U5" s="75"/>
      <c r="V5" s="75"/>
      <c r="W5" s="75"/>
      <c r="X5" s="75"/>
      <c r="Y5" s="75"/>
      <c r="Z5" s="75"/>
      <c r="AA5" s="75"/>
      <c r="AB5" s="75"/>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row>
    <row r="6" spans="1:73" s="64" customFormat="1" ht="36" customHeight="1" x14ac:dyDescent="0.2">
      <c r="A6" s="140">
        <v>60750301</v>
      </c>
      <c r="B6" s="142" t="s">
        <v>217</v>
      </c>
      <c r="C6" s="144" t="s">
        <v>136</v>
      </c>
      <c r="D6" s="144" t="s">
        <v>218</v>
      </c>
      <c r="E6" s="144" t="s">
        <v>219</v>
      </c>
      <c r="F6" s="144" t="s">
        <v>82</v>
      </c>
      <c r="G6" s="144" t="s">
        <v>410</v>
      </c>
      <c r="H6" s="144" t="s">
        <v>444</v>
      </c>
      <c r="I6" s="144" t="s">
        <v>445</v>
      </c>
      <c r="J6" s="146" t="s">
        <v>446</v>
      </c>
      <c r="K6" s="144" t="s">
        <v>447</v>
      </c>
      <c r="L6" s="144" t="s">
        <v>443</v>
      </c>
      <c r="M6" s="147" t="s">
        <v>445</v>
      </c>
      <c r="N6" s="147" t="s">
        <v>448</v>
      </c>
      <c r="O6" s="147" t="s">
        <v>449</v>
      </c>
      <c r="P6" s="148" t="s">
        <v>442</v>
      </c>
      <c r="Q6" s="150" t="s">
        <v>450</v>
      </c>
      <c r="R6" s="151" t="s">
        <v>451</v>
      </c>
      <c r="S6" s="59"/>
      <c r="T6" s="152"/>
      <c r="U6" s="152"/>
      <c r="V6" s="152"/>
      <c r="W6" s="153"/>
      <c r="X6" s="154"/>
      <c r="Y6" s="153"/>
      <c r="Z6" s="155"/>
      <c r="AA6" s="156"/>
      <c r="AB6" s="152"/>
      <c r="AC6" s="152"/>
      <c r="AD6" s="152"/>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1"/>
      <c r="BH6" s="62"/>
      <c r="BI6" s="62"/>
      <c r="BJ6" s="62"/>
      <c r="BK6" s="62"/>
      <c r="BL6" s="62"/>
      <c r="BM6" s="62"/>
      <c r="BN6" s="62"/>
      <c r="BO6" s="62"/>
      <c r="BP6" s="62"/>
      <c r="BQ6" s="62"/>
      <c r="BR6" s="62"/>
      <c r="BS6" s="62"/>
      <c r="BT6" s="62"/>
      <c r="BU6" s="63"/>
    </row>
    <row r="7" spans="1:73" s="64" customFormat="1" ht="36" customHeight="1" x14ac:dyDescent="0.2">
      <c r="A7" s="93">
        <v>60791000</v>
      </c>
      <c r="B7" s="40" t="s">
        <v>474</v>
      </c>
      <c r="C7" s="42" t="s">
        <v>136</v>
      </c>
      <c r="D7" s="42" t="s">
        <v>513</v>
      </c>
      <c r="E7" s="42" t="s">
        <v>513</v>
      </c>
      <c r="F7" s="42">
        <v>6346</v>
      </c>
      <c r="G7" s="42" t="s">
        <v>82</v>
      </c>
      <c r="H7" s="42" t="s">
        <v>976</v>
      </c>
      <c r="I7" s="42" t="s">
        <v>828</v>
      </c>
      <c r="J7" s="42" t="s">
        <v>829</v>
      </c>
      <c r="K7" s="42" t="s">
        <v>830</v>
      </c>
      <c r="L7" s="42" t="s">
        <v>831</v>
      </c>
      <c r="M7" s="42" t="s">
        <v>443</v>
      </c>
      <c r="N7" s="42" t="s">
        <v>829</v>
      </c>
      <c r="O7" s="42" t="s">
        <v>832</v>
      </c>
      <c r="P7" s="47" t="s">
        <v>833</v>
      </c>
      <c r="Q7" s="47" t="s">
        <v>443</v>
      </c>
      <c r="R7" s="40" t="s">
        <v>829</v>
      </c>
      <c r="S7" s="25">
        <v>0</v>
      </c>
      <c r="T7" s="75">
        <v>2022</v>
      </c>
      <c r="U7" s="40"/>
      <c r="V7" s="40"/>
      <c r="W7" s="75"/>
      <c r="X7" s="75"/>
      <c r="Y7" s="75"/>
      <c r="Z7" s="75"/>
      <c r="AA7" s="75"/>
      <c r="AB7" s="75"/>
      <c r="AC7" s="75"/>
      <c r="AD7" s="75"/>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row>
    <row r="8" spans="1:73" s="37" customFormat="1" ht="29.25" customHeight="1" x14ac:dyDescent="0.2">
      <c r="A8" s="125">
        <v>60972200</v>
      </c>
      <c r="B8" s="25" t="s">
        <v>240</v>
      </c>
      <c r="C8" s="25" t="s">
        <v>136</v>
      </c>
      <c r="D8" s="25" t="s">
        <v>520</v>
      </c>
      <c r="E8" s="25" t="s">
        <v>520</v>
      </c>
      <c r="F8" s="25">
        <v>7414</v>
      </c>
      <c r="G8" s="25" t="s">
        <v>82</v>
      </c>
      <c r="H8" s="25" t="s">
        <v>410</v>
      </c>
      <c r="I8" s="25" t="s">
        <v>521</v>
      </c>
      <c r="J8" s="25" t="s">
        <v>522</v>
      </c>
      <c r="K8" s="25" t="s">
        <v>523</v>
      </c>
      <c r="L8" s="25" t="s">
        <v>524</v>
      </c>
      <c r="M8" s="25" t="s">
        <v>443</v>
      </c>
      <c r="N8" s="25" t="s">
        <v>525</v>
      </c>
      <c r="O8" s="25" t="s">
        <v>526</v>
      </c>
      <c r="P8" s="25">
        <v>0</v>
      </c>
      <c r="Q8" s="25">
        <v>0</v>
      </c>
      <c r="R8" s="25" t="s">
        <v>149</v>
      </c>
      <c r="S8" s="25">
        <v>0</v>
      </c>
      <c r="T8" s="25">
        <v>2021</v>
      </c>
      <c r="U8" s="25" t="s">
        <v>536</v>
      </c>
      <c r="V8" s="25"/>
      <c r="W8" s="25"/>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row>
    <row r="9" spans="1:73" s="37" customFormat="1" ht="30" customHeight="1" x14ac:dyDescent="0.2">
      <c r="A9" s="128">
        <v>61377800</v>
      </c>
      <c r="B9" s="25" t="s">
        <v>261</v>
      </c>
      <c r="C9" s="25" t="s">
        <v>136</v>
      </c>
      <c r="D9" s="25" t="s">
        <v>548</v>
      </c>
      <c r="E9" s="25" t="s">
        <v>548</v>
      </c>
      <c r="F9" s="25">
        <v>7200</v>
      </c>
      <c r="G9" s="25" t="s">
        <v>82</v>
      </c>
      <c r="H9" s="25" t="s">
        <v>410</v>
      </c>
      <c r="I9" s="25" t="s">
        <v>549</v>
      </c>
      <c r="J9" s="25" t="s">
        <v>550</v>
      </c>
      <c r="K9" s="25" t="s">
        <v>551</v>
      </c>
      <c r="L9" s="25" t="s">
        <v>552</v>
      </c>
      <c r="M9" s="25" t="s">
        <v>443</v>
      </c>
      <c r="N9" s="25" t="s">
        <v>550</v>
      </c>
      <c r="O9" s="25" t="s">
        <v>553</v>
      </c>
      <c r="P9" s="25" t="s">
        <v>554</v>
      </c>
      <c r="Q9" s="25" t="s">
        <v>514</v>
      </c>
      <c r="R9" s="25" t="s">
        <v>555</v>
      </c>
      <c r="S9" s="25" t="s">
        <v>556</v>
      </c>
      <c r="T9">
        <v>2021</v>
      </c>
      <c r="U9" t="s">
        <v>557</v>
      </c>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row>
    <row r="10" spans="1:73" s="37" customFormat="1" ht="30" customHeight="1" x14ac:dyDescent="0.2">
      <c r="A10" s="128">
        <v>62327500</v>
      </c>
      <c r="B10" s="25" t="s">
        <v>292</v>
      </c>
      <c r="C10" s="25" t="s">
        <v>136</v>
      </c>
      <c r="D10" s="25" t="s">
        <v>528</v>
      </c>
      <c r="E10" s="25" t="s">
        <v>538</v>
      </c>
      <c r="F10" s="25">
        <v>1987</v>
      </c>
      <c r="G10" s="25" t="s">
        <v>82</v>
      </c>
      <c r="H10" s="25" t="s">
        <v>410</v>
      </c>
      <c r="I10" s="25" t="s">
        <v>539</v>
      </c>
      <c r="J10" s="25" t="s">
        <v>540</v>
      </c>
      <c r="K10" s="25" t="s">
        <v>541</v>
      </c>
      <c r="L10" s="25" t="s">
        <v>542</v>
      </c>
      <c r="M10" s="25" t="s">
        <v>158</v>
      </c>
      <c r="N10" s="25" t="s">
        <v>540</v>
      </c>
      <c r="O10" s="25" t="s">
        <v>543</v>
      </c>
      <c r="P10" s="25" t="s">
        <v>544</v>
      </c>
      <c r="Q10" s="25" t="s">
        <v>453</v>
      </c>
      <c r="R10" s="25" t="s">
        <v>545</v>
      </c>
      <c r="S10" s="25" t="s">
        <v>546</v>
      </c>
      <c r="T10">
        <v>2021</v>
      </c>
      <c r="U10" t="s">
        <v>547</v>
      </c>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row>
    <row r="11" spans="1:73" s="37" customFormat="1" ht="30" customHeight="1" x14ac:dyDescent="0.2">
      <c r="A11" s="80">
        <v>62327600</v>
      </c>
      <c r="B11" s="25" t="s">
        <v>475</v>
      </c>
      <c r="C11" s="25" t="s">
        <v>136</v>
      </c>
      <c r="D11" s="25" t="s">
        <v>509</v>
      </c>
      <c r="E11" s="25" t="s">
        <v>505</v>
      </c>
      <c r="F11" s="25">
        <v>7245</v>
      </c>
      <c r="G11" s="25" t="s">
        <v>82</v>
      </c>
      <c r="H11" s="25" t="s">
        <v>976</v>
      </c>
      <c r="I11" s="25" t="s">
        <v>783</v>
      </c>
      <c r="J11" s="25" t="s">
        <v>784</v>
      </c>
      <c r="K11" s="25" t="s">
        <v>785</v>
      </c>
      <c r="L11" s="25" t="s">
        <v>786</v>
      </c>
      <c r="M11" s="25" t="s">
        <v>155</v>
      </c>
      <c r="N11" s="25" t="s">
        <v>787</v>
      </c>
      <c r="O11" s="25" t="s">
        <v>788</v>
      </c>
      <c r="P11" s="25" t="s">
        <v>786</v>
      </c>
      <c r="Q11" s="25" t="s">
        <v>155</v>
      </c>
      <c r="R11" s="25" t="s">
        <v>787</v>
      </c>
      <c r="S11" s="25" t="s">
        <v>788</v>
      </c>
      <c r="T11" s="37">
        <v>2022</v>
      </c>
      <c r="U11" s="25"/>
      <c r="V11" s="25"/>
      <c r="W11" s="25"/>
      <c r="X11" s="25"/>
    </row>
    <row r="12" spans="1:73" s="37" customFormat="1" ht="30" customHeight="1" x14ac:dyDescent="0.2">
      <c r="A12" s="94">
        <v>140253502</v>
      </c>
      <c r="B12" s="82" t="s">
        <v>108</v>
      </c>
      <c r="C12" s="84" t="s">
        <v>109</v>
      </c>
      <c r="D12" s="84" t="s">
        <v>110</v>
      </c>
      <c r="E12" s="84" t="s">
        <v>111</v>
      </c>
      <c r="F12" s="84" t="s">
        <v>82</v>
      </c>
      <c r="G12" s="84" t="s">
        <v>83</v>
      </c>
      <c r="H12" s="84" t="s">
        <v>112</v>
      </c>
      <c r="I12" s="81" t="s">
        <v>113</v>
      </c>
      <c r="J12" s="86" t="s">
        <v>114</v>
      </c>
      <c r="K12" s="84" t="s">
        <v>115</v>
      </c>
      <c r="L12" s="81"/>
      <c r="M12" s="86" t="s">
        <v>116</v>
      </c>
      <c r="N12" s="87" t="s">
        <v>117</v>
      </c>
      <c r="O12" s="59" t="s">
        <v>118</v>
      </c>
      <c r="P12" s="88" t="s">
        <v>119</v>
      </c>
      <c r="Q12" s="59" t="s">
        <v>120</v>
      </c>
      <c r="R12" s="59" t="s">
        <v>121</v>
      </c>
      <c r="S12" s="59" t="s">
        <v>122</v>
      </c>
      <c r="T12" s="59" t="s">
        <v>123</v>
      </c>
      <c r="U12" s="89"/>
      <c r="V12" s="89"/>
      <c r="W12" s="89"/>
      <c r="X12" s="84">
        <v>2016</v>
      </c>
      <c r="Y12" s="83" t="s">
        <v>90</v>
      </c>
      <c r="Z12" s="59">
        <v>1</v>
      </c>
      <c r="AA12" s="63">
        <v>3</v>
      </c>
      <c r="AB12" s="59" t="s">
        <v>122</v>
      </c>
      <c r="AC12" s="60" t="s">
        <v>93</v>
      </c>
      <c r="AD12" s="60">
        <v>150000</v>
      </c>
      <c r="AE12" s="60" t="s">
        <v>93</v>
      </c>
      <c r="AF12" s="60">
        <v>101</v>
      </c>
      <c r="AG12" s="60">
        <v>59</v>
      </c>
      <c r="AH12" s="60">
        <v>127</v>
      </c>
      <c r="AI12" s="60">
        <v>215</v>
      </c>
      <c r="AJ12" s="60">
        <v>2017</v>
      </c>
      <c r="AK12" s="60">
        <v>3</v>
      </c>
      <c r="AL12" s="60">
        <v>75</v>
      </c>
      <c r="AM12" s="60">
        <v>38</v>
      </c>
      <c r="AN12" s="60">
        <v>30</v>
      </c>
      <c r="AO12" s="60">
        <v>23</v>
      </c>
      <c r="AP12" s="60">
        <v>87</v>
      </c>
      <c r="AQ12" s="60">
        <v>40</v>
      </c>
      <c r="AR12" s="60">
        <v>36</v>
      </c>
      <c r="AS12" s="60">
        <v>28</v>
      </c>
      <c r="AT12" s="60">
        <v>90</v>
      </c>
      <c r="AU12" s="60">
        <v>65</v>
      </c>
      <c r="AV12" s="60">
        <v>38</v>
      </c>
      <c r="AW12" s="60">
        <v>21</v>
      </c>
      <c r="AX12" s="60">
        <v>123</v>
      </c>
      <c r="AY12" s="60">
        <v>78</v>
      </c>
      <c r="AZ12" s="60">
        <v>45</v>
      </c>
      <c r="BA12" s="60">
        <v>22</v>
      </c>
      <c r="BB12" s="60">
        <v>97</v>
      </c>
      <c r="BC12" s="60">
        <v>87</v>
      </c>
      <c r="BD12" s="60">
        <v>47</v>
      </c>
      <c r="BE12" s="61">
        <v>31</v>
      </c>
      <c r="BF12" s="62">
        <v>0.30666666666666664</v>
      </c>
      <c r="BG12" s="62">
        <v>0.32183908045977011</v>
      </c>
      <c r="BH12" s="62">
        <v>0.23333333333333334</v>
      </c>
      <c r="BI12" s="62">
        <v>0.17886178861788618</v>
      </c>
      <c r="BJ12" s="62">
        <v>0.50666666666666671</v>
      </c>
      <c r="BK12" s="62">
        <v>0.78947368421052633</v>
      </c>
      <c r="BL12" s="62">
        <v>0.45977011494252873</v>
      </c>
      <c r="BM12" s="62">
        <v>0.9</v>
      </c>
      <c r="BN12" s="62">
        <v>0.72222222222222221</v>
      </c>
      <c r="BO12" s="62">
        <v>0.58461538461538465</v>
      </c>
      <c r="BP12" s="62">
        <v>0.63414634146341464</v>
      </c>
      <c r="BQ12" s="62">
        <v>0.57692307692307687</v>
      </c>
      <c r="BR12" s="65">
        <v>0.29333333333333333</v>
      </c>
      <c r="BS12" s="63"/>
      <c r="BT12" s="64"/>
      <c r="BU12" s="64"/>
    </row>
    <row r="13" spans="1:73" customFormat="1" ht="30" customHeight="1" x14ac:dyDescent="0.2">
      <c r="A13" s="95">
        <v>140535003</v>
      </c>
      <c r="B13" s="41" t="s">
        <v>124</v>
      </c>
      <c r="C13" s="44" t="s">
        <v>109</v>
      </c>
      <c r="D13" s="44" t="s">
        <v>125</v>
      </c>
      <c r="E13" s="44" t="s">
        <v>126</v>
      </c>
      <c r="F13" s="44" t="s">
        <v>82</v>
      </c>
      <c r="G13" s="44" t="s">
        <v>83</v>
      </c>
      <c r="H13" s="44" t="s">
        <v>127</v>
      </c>
      <c r="I13" s="44" t="s">
        <v>128</v>
      </c>
      <c r="J13" s="45" t="s">
        <v>129</v>
      </c>
      <c r="K13" s="44"/>
      <c r="L13" s="44" t="s">
        <v>130</v>
      </c>
      <c r="M13" s="46"/>
      <c r="N13" s="46" t="s">
        <v>131</v>
      </c>
      <c r="O13" s="46"/>
      <c r="P13" s="48"/>
      <c r="Q13" s="24"/>
      <c r="R13" s="49"/>
      <c r="S13" s="24" t="s">
        <v>120</v>
      </c>
      <c r="T13" s="24"/>
      <c r="U13" s="24"/>
      <c r="V13" s="24"/>
      <c r="W13" s="50" t="s">
        <v>132</v>
      </c>
      <c r="X13" s="23"/>
      <c r="Y13" s="50"/>
      <c r="Z13" s="43">
        <v>2018</v>
      </c>
      <c r="AA13" s="44" t="s">
        <v>90</v>
      </c>
      <c r="AB13" s="24">
        <v>1</v>
      </c>
      <c r="AC13" s="24" t="s">
        <v>133</v>
      </c>
      <c r="AD13" s="24"/>
      <c r="AE13" s="20" t="s">
        <v>92</v>
      </c>
      <c r="AF13" s="20">
        <v>0</v>
      </c>
      <c r="AG13" s="20">
        <v>0</v>
      </c>
      <c r="AH13" s="20">
        <v>73</v>
      </c>
      <c r="AI13" s="20">
        <v>21</v>
      </c>
      <c r="AJ13" s="20">
        <v>106</v>
      </c>
      <c r="AK13" s="20">
        <v>40</v>
      </c>
      <c r="AL13" s="20">
        <v>2018</v>
      </c>
      <c r="AM13" s="20" t="s">
        <v>133</v>
      </c>
      <c r="AN13" s="20">
        <v>0</v>
      </c>
      <c r="AO13" s="20">
        <v>0</v>
      </c>
      <c r="AP13" s="20">
        <v>0</v>
      </c>
      <c r="AQ13" s="20">
        <v>0</v>
      </c>
      <c r="AR13" s="20">
        <v>80</v>
      </c>
      <c r="AS13" s="20">
        <v>0</v>
      </c>
      <c r="AT13" s="20">
        <v>0</v>
      </c>
      <c r="AU13" s="20">
        <v>0</v>
      </c>
      <c r="AV13" s="20">
        <v>0</v>
      </c>
      <c r="AW13" s="20">
        <v>42</v>
      </c>
      <c r="AX13" s="20">
        <v>0</v>
      </c>
      <c r="AY13" s="20">
        <v>0</v>
      </c>
      <c r="AZ13" s="20">
        <v>0</v>
      </c>
      <c r="BA13" s="20">
        <v>0</v>
      </c>
      <c r="BB13" s="20">
        <v>40</v>
      </c>
      <c r="BC13" s="20">
        <v>0</v>
      </c>
      <c r="BD13" s="20">
        <v>0</v>
      </c>
      <c r="BE13" s="20">
        <v>0</v>
      </c>
      <c r="BF13" s="20">
        <v>0</v>
      </c>
      <c r="BG13" s="21">
        <v>0</v>
      </c>
      <c r="BH13" s="22" t="s">
        <v>94</v>
      </c>
      <c r="BI13" s="22">
        <v>0</v>
      </c>
      <c r="BJ13" s="22" t="s">
        <v>94</v>
      </c>
      <c r="BK13" s="22" t="s">
        <v>94</v>
      </c>
      <c r="BL13" s="22" t="s">
        <v>94</v>
      </c>
      <c r="BM13" s="22" t="s">
        <v>94</v>
      </c>
      <c r="BN13" s="22">
        <v>0</v>
      </c>
      <c r="BO13" s="22" t="s">
        <v>94</v>
      </c>
      <c r="BP13" s="22" t="s">
        <v>94</v>
      </c>
      <c r="BQ13" s="22">
        <v>0</v>
      </c>
      <c r="BR13" s="22" t="s">
        <v>94</v>
      </c>
      <c r="BS13" s="22" t="s">
        <v>94</v>
      </c>
      <c r="BT13" s="22" t="s">
        <v>95</v>
      </c>
      <c r="BU13" s="23"/>
    </row>
    <row r="14" spans="1:73" ht="36" customHeight="1" x14ac:dyDescent="0.2">
      <c r="A14" s="140">
        <v>140544106</v>
      </c>
      <c r="B14" s="142" t="s">
        <v>311</v>
      </c>
      <c r="C14" s="144" t="s">
        <v>109</v>
      </c>
      <c r="D14" s="144" t="s">
        <v>152</v>
      </c>
      <c r="E14" s="144" t="s">
        <v>109</v>
      </c>
      <c r="F14" s="144" t="s">
        <v>82</v>
      </c>
      <c r="G14" s="144" t="s">
        <v>83</v>
      </c>
      <c r="H14" s="144" t="s">
        <v>416</v>
      </c>
      <c r="I14" s="144" t="s">
        <v>411</v>
      </c>
      <c r="J14" s="146" t="s">
        <v>412</v>
      </c>
      <c r="K14" s="144" t="s">
        <v>417</v>
      </c>
      <c r="L14" s="144" t="s">
        <v>155</v>
      </c>
      <c r="M14" s="147" t="s">
        <v>411</v>
      </c>
      <c r="N14" s="147" t="s">
        <v>412</v>
      </c>
      <c r="O14" s="147" t="s">
        <v>418</v>
      </c>
      <c r="P14" s="148" t="s">
        <v>415</v>
      </c>
      <c r="Q14" s="150" t="s">
        <v>413</v>
      </c>
      <c r="R14" s="151" t="s">
        <v>414</v>
      </c>
      <c r="S14" s="59"/>
      <c r="T14" s="152">
        <v>2018</v>
      </c>
      <c r="U14" s="152"/>
      <c r="V14" s="152"/>
      <c r="W14" s="153"/>
      <c r="X14" s="154"/>
      <c r="Y14" s="153"/>
      <c r="Z14" s="155"/>
      <c r="AA14" s="156"/>
      <c r="AB14" s="152"/>
      <c r="AC14" s="152"/>
      <c r="AD14" s="152"/>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1"/>
      <c r="BH14" s="62"/>
      <c r="BI14" s="62"/>
      <c r="BJ14" s="62"/>
      <c r="BK14" s="62"/>
      <c r="BL14" s="62"/>
      <c r="BM14" s="62"/>
      <c r="BN14" s="62"/>
      <c r="BO14" s="62"/>
      <c r="BP14" s="62"/>
      <c r="BQ14" s="62"/>
      <c r="BR14" s="62"/>
      <c r="BS14" s="62"/>
      <c r="BT14" s="62"/>
      <c r="BU14" s="63"/>
    </row>
    <row r="15" spans="1:73" s="64" customFormat="1" ht="36" customHeight="1" x14ac:dyDescent="0.2">
      <c r="A15" s="141" t="s">
        <v>2395</v>
      </c>
      <c r="B15" s="143" t="s">
        <v>317</v>
      </c>
      <c r="C15" s="145" t="s">
        <v>79</v>
      </c>
      <c r="D15" s="145" t="s">
        <v>277</v>
      </c>
      <c r="E15" s="145" t="s">
        <v>518</v>
      </c>
      <c r="F15" s="145">
        <v>3231</v>
      </c>
      <c r="G15" s="145" t="s">
        <v>82</v>
      </c>
      <c r="H15" s="145" t="s">
        <v>82</v>
      </c>
      <c r="I15" s="145" t="s">
        <v>2606</v>
      </c>
      <c r="J15" s="145" t="s">
        <v>2607</v>
      </c>
      <c r="K15" s="145" t="s">
        <v>2608</v>
      </c>
      <c r="L15" s="145" t="s">
        <v>2609</v>
      </c>
      <c r="M15" s="145" t="s">
        <v>2610</v>
      </c>
      <c r="N15" s="145" t="s">
        <v>2607</v>
      </c>
      <c r="O15" s="145" t="s">
        <v>2611</v>
      </c>
      <c r="P15" s="149" t="s">
        <v>2609</v>
      </c>
      <c r="Q15" s="149" t="s">
        <v>2610</v>
      </c>
      <c r="R15" s="143" t="s">
        <v>2607</v>
      </c>
      <c r="S15" s="19" t="s">
        <v>2611</v>
      </c>
      <c r="T15" s="143">
        <v>2018</v>
      </c>
      <c r="U15" s="143"/>
      <c r="V15" s="143"/>
      <c r="W15" s="143"/>
      <c r="X15" s="143"/>
      <c r="Y15" s="143"/>
      <c r="Z15" s="143"/>
      <c r="AA15" s="143"/>
      <c r="AB15" s="143"/>
      <c r="AC15" s="143"/>
      <c r="AD15" s="143"/>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row>
    <row r="16" spans="1:73" customFormat="1" ht="45" customHeight="1" x14ac:dyDescent="0.2">
      <c r="A16" s="96">
        <v>180176502</v>
      </c>
      <c r="B16" s="41" t="s">
        <v>78</v>
      </c>
      <c r="C16" s="43" t="s">
        <v>79</v>
      </c>
      <c r="D16" s="43" t="s">
        <v>80</v>
      </c>
      <c r="E16" s="43" t="s">
        <v>81</v>
      </c>
      <c r="F16" s="43" t="s">
        <v>82</v>
      </c>
      <c r="G16" s="43" t="s">
        <v>83</v>
      </c>
      <c r="H16" s="43" t="s">
        <v>84</v>
      </c>
      <c r="I16" s="39" t="s">
        <v>85</v>
      </c>
      <c r="J16" s="76" t="s">
        <v>86</v>
      </c>
      <c r="K16" s="43" t="s">
        <v>87</v>
      </c>
      <c r="L16" s="39" t="s">
        <v>88</v>
      </c>
      <c r="M16" s="76" t="s">
        <v>89</v>
      </c>
      <c r="N16" s="78"/>
      <c r="O16" s="24"/>
      <c r="P16" s="24"/>
      <c r="Q16" s="24"/>
      <c r="R16" s="24"/>
      <c r="S16" s="24"/>
      <c r="T16" s="24"/>
      <c r="U16" s="50"/>
      <c r="V16" s="50"/>
      <c r="W16" s="50"/>
      <c r="X16" s="43">
        <v>2017</v>
      </c>
      <c r="Y16" s="44" t="s">
        <v>90</v>
      </c>
      <c r="Z16" s="24">
        <v>1</v>
      </c>
      <c r="AA16" s="23" t="s">
        <v>91</v>
      </c>
      <c r="AB16" s="24"/>
      <c r="AC16" s="20" t="s">
        <v>92</v>
      </c>
      <c r="AD16" s="20">
        <v>0</v>
      </c>
      <c r="AE16" s="20" t="s">
        <v>93</v>
      </c>
      <c r="AF16" s="20">
        <v>9</v>
      </c>
      <c r="AG16" s="20">
        <v>0</v>
      </c>
      <c r="AH16" s="20">
        <v>42</v>
      </c>
      <c r="AI16" s="20">
        <v>59</v>
      </c>
      <c r="AJ16" s="20">
        <v>2018</v>
      </c>
      <c r="AK16" s="20" t="s">
        <v>91</v>
      </c>
      <c r="AL16" s="20">
        <v>0</v>
      </c>
      <c r="AM16" s="20">
        <v>0</v>
      </c>
      <c r="AN16" s="20">
        <v>0</v>
      </c>
      <c r="AO16" s="20">
        <v>0</v>
      </c>
      <c r="AP16" s="20">
        <v>111</v>
      </c>
      <c r="AQ16" s="20">
        <v>0</v>
      </c>
      <c r="AR16" s="20">
        <v>0</v>
      </c>
      <c r="AS16" s="20">
        <v>0</v>
      </c>
      <c r="AT16" s="20">
        <v>14</v>
      </c>
      <c r="AU16" s="20">
        <v>39</v>
      </c>
      <c r="AV16" s="20">
        <v>0</v>
      </c>
      <c r="AW16" s="20">
        <v>0</v>
      </c>
      <c r="AX16" s="20">
        <v>0</v>
      </c>
      <c r="AY16" s="20">
        <v>16</v>
      </c>
      <c r="AZ16" s="20">
        <v>15</v>
      </c>
      <c r="BA16" s="20">
        <v>0</v>
      </c>
      <c r="BB16" s="20">
        <v>0</v>
      </c>
      <c r="BC16" s="20">
        <v>0</v>
      </c>
      <c r="BD16" s="20">
        <v>8</v>
      </c>
      <c r="BE16" s="21">
        <v>2</v>
      </c>
      <c r="BF16" s="22" t="s">
        <v>94</v>
      </c>
      <c r="BG16" s="22">
        <v>0</v>
      </c>
      <c r="BH16" s="22">
        <v>0</v>
      </c>
      <c r="BI16" s="22" t="s">
        <v>94</v>
      </c>
      <c r="BJ16" s="22" t="s">
        <v>94</v>
      </c>
      <c r="BK16" s="22" t="s">
        <v>94</v>
      </c>
      <c r="BL16" s="22">
        <v>0</v>
      </c>
      <c r="BM16" s="22" t="s">
        <v>94</v>
      </c>
      <c r="BN16" s="22">
        <v>2.7857142857142856</v>
      </c>
      <c r="BO16" s="22">
        <v>0</v>
      </c>
      <c r="BP16" s="22" t="s">
        <v>94</v>
      </c>
      <c r="BQ16" s="22">
        <v>0.9375</v>
      </c>
      <c r="BR16" s="22" t="s">
        <v>95</v>
      </c>
      <c r="BS16" s="23"/>
      <c r="BT16" s="19"/>
      <c r="BU16" s="19"/>
    </row>
    <row r="17" spans="1:73" s="37" customFormat="1" ht="30" customHeight="1" x14ac:dyDescent="0.2">
      <c r="A17" s="97">
        <v>300136300</v>
      </c>
      <c r="B17" s="37" t="s">
        <v>331</v>
      </c>
      <c r="C17" s="25" t="s">
        <v>140</v>
      </c>
      <c r="D17" s="25" t="s">
        <v>172</v>
      </c>
      <c r="E17" s="37" t="s">
        <v>560</v>
      </c>
      <c r="F17" s="37">
        <v>2826</v>
      </c>
      <c r="G17" s="25" t="s">
        <v>82</v>
      </c>
      <c r="H17" s="25" t="s">
        <v>83</v>
      </c>
      <c r="I17" s="37" t="s">
        <v>1081</v>
      </c>
      <c r="J17" s="37" t="s">
        <v>1082</v>
      </c>
      <c r="K17" s="37" t="s">
        <v>1083</v>
      </c>
      <c r="L17" s="37" t="s">
        <v>1084</v>
      </c>
      <c r="M17" s="37" t="s">
        <v>588</v>
      </c>
      <c r="N17" s="37" t="s">
        <v>1082</v>
      </c>
      <c r="O17" s="37" t="s">
        <v>1083</v>
      </c>
      <c r="P17" s="37" t="s">
        <v>1084</v>
      </c>
      <c r="Q17" s="37" t="s">
        <v>588</v>
      </c>
      <c r="R17" s="37" t="s">
        <v>1085</v>
      </c>
      <c r="S17" s="37" t="s">
        <v>1083</v>
      </c>
      <c r="T17" s="25">
        <v>2017</v>
      </c>
      <c r="U17" s="37" t="s">
        <v>1086</v>
      </c>
      <c r="V17" s="25"/>
      <c r="W17" s="25"/>
    </row>
    <row r="18" spans="1:73" s="37" customFormat="1" ht="30" customHeight="1" x14ac:dyDescent="0.2">
      <c r="A18" s="72" t="s">
        <v>2402</v>
      </c>
      <c r="B18" s="25" t="s">
        <v>2612</v>
      </c>
      <c r="C18" s="37" t="s">
        <v>141</v>
      </c>
      <c r="D18" s="37" t="s">
        <v>340</v>
      </c>
      <c r="E18" s="37" t="s">
        <v>2613</v>
      </c>
      <c r="F18" s="37">
        <v>4600</v>
      </c>
      <c r="G18" s="37" t="s">
        <v>82</v>
      </c>
      <c r="H18" s="37" t="s">
        <v>83</v>
      </c>
      <c r="I18" s="37" t="s">
        <v>2614</v>
      </c>
      <c r="J18" s="37" t="s">
        <v>2615</v>
      </c>
      <c r="K18" s="37">
        <v>0</v>
      </c>
      <c r="L18" s="37" t="s">
        <v>2616</v>
      </c>
      <c r="M18" s="37" t="s">
        <v>722</v>
      </c>
      <c r="N18" s="37" t="s">
        <v>2617</v>
      </c>
      <c r="O18" s="37" t="s">
        <v>2618</v>
      </c>
      <c r="P18" s="37" t="s">
        <v>2616</v>
      </c>
      <c r="Q18" s="37" t="s">
        <v>588</v>
      </c>
      <c r="R18" s="37" t="s">
        <v>2617</v>
      </c>
      <c r="S18" s="37" t="s">
        <v>2618</v>
      </c>
      <c r="T18" s="37">
        <v>2016</v>
      </c>
      <c r="W18" s="25"/>
      <c r="X18" s="25"/>
    </row>
    <row r="19" spans="1:73" s="37" customFormat="1" ht="30" customHeight="1" x14ac:dyDescent="0.2">
      <c r="A19" s="80">
        <v>380092800</v>
      </c>
      <c r="B19" s="25" t="s">
        <v>673</v>
      </c>
      <c r="C19" s="25" t="s">
        <v>141</v>
      </c>
      <c r="D19" s="25" t="s">
        <v>340</v>
      </c>
      <c r="E19" s="25" t="s">
        <v>175</v>
      </c>
      <c r="F19" s="25">
        <v>4600</v>
      </c>
      <c r="G19" s="25" t="s">
        <v>134</v>
      </c>
      <c r="H19" s="25" t="s">
        <v>83</v>
      </c>
      <c r="I19" s="25" t="s">
        <v>912</v>
      </c>
      <c r="J19" s="25" t="s">
        <v>913</v>
      </c>
      <c r="K19" s="25" t="s">
        <v>914</v>
      </c>
      <c r="L19" s="25" t="s">
        <v>915</v>
      </c>
      <c r="M19" s="25" t="s">
        <v>722</v>
      </c>
      <c r="N19" s="25" t="s">
        <v>916</v>
      </c>
      <c r="O19" s="25" t="s">
        <v>917</v>
      </c>
      <c r="P19" s="25" t="s">
        <v>918</v>
      </c>
      <c r="Q19" s="25" t="s">
        <v>722</v>
      </c>
      <c r="R19" s="25" t="s">
        <v>916</v>
      </c>
      <c r="S19" s="25" t="s">
        <v>917</v>
      </c>
      <c r="T19" s="37">
        <v>2023</v>
      </c>
      <c r="U19" s="25"/>
      <c r="V19" s="25"/>
      <c r="W19" s="25"/>
      <c r="X19" s="25"/>
    </row>
    <row r="20" spans="1:73" customFormat="1" ht="30" customHeight="1" x14ac:dyDescent="0.2">
      <c r="A20" s="80">
        <v>380094900</v>
      </c>
      <c r="B20" s="25" t="s">
        <v>674</v>
      </c>
      <c r="C20" s="25" t="s">
        <v>141</v>
      </c>
      <c r="D20" s="25" t="s">
        <v>516</v>
      </c>
      <c r="E20" s="25" t="s">
        <v>919</v>
      </c>
      <c r="F20" s="25">
        <v>4500</v>
      </c>
      <c r="G20" s="25" t="s">
        <v>134</v>
      </c>
      <c r="H20" s="25" t="s">
        <v>83</v>
      </c>
      <c r="I20" s="25" t="s">
        <v>920</v>
      </c>
      <c r="J20" s="25" t="s">
        <v>921</v>
      </c>
      <c r="K20" s="25" t="s">
        <v>922</v>
      </c>
      <c r="L20" s="25" t="s">
        <v>923</v>
      </c>
      <c r="M20" s="25" t="s">
        <v>924</v>
      </c>
      <c r="N20" s="25" t="s">
        <v>925</v>
      </c>
      <c r="O20" s="25" t="s">
        <v>926</v>
      </c>
      <c r="P20" s="25" t="s">
        <v>927</v>
      </c>
      <c r="Q20" s="25" t="s">
        <v>928</v>
      </c>
      <c r="R20" s="25" t="s">
        <v>929</v>
      </c>
      <c r="S20" s="25" t="s">
        <v>930</v>
      </c>
      <c r="T20" s="37">
        <v>2023</v>
      </c>
      <c r="U20" s="25"/>
      <c r="V20" s="25"/>
      <c r="W20" s="25"/>
      <c r="X20" s="25"/>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row>
    <row r="21" spans="1:73" ht="15" customHeight="1" x14ac:dyDescent="0.2">
      <c r="A21" s="97" t="s">
        <v>2339</v>
      </c>
      <c r="B21" s="25" t="s">
        <v>1952</v>
      </c>
      <c r="C21" s="37" t="s">
        <v>142</v>
      </c>
      <c r="D21" s="25" t="s">
        <v>346</v>
      </c>
      <c r="E21" s="37" t="s">
        <v>347</v>
      </c>
      <c r="F21">
        <v>5513</v>
      </c>
      <c r="G21" s="25" t="s">
        <v>82</v>
      </c>
      <c r="H21" s="25" t="s">
        <v>83</v>
      </c>
      <c r="I21" t="s">
        <v>1926</v>
      </c>
      <c r="J21">
        <v>2622434713</v>
      </c>
      <c r="K21" t="s">
        <v>1908</v>
      </c>
      <c r="L21" t="s">
        <v>1909</v>
      </c>
      <c r="M21" t="s">
        <v>1121</v>
      </c>
      <c r="N21">
        <v>2622628740</v>
      </c>
      <c r="O21" t="s">
        <v>1910</v>
      </c>
      <c r="P21" t="s">
        <v>1927</v>
      </c>
      <c r="Q21" t="s">
        <v>1122</v>
      </c>
      <c r="R21" t="s">
        <v>1928</v>
      </c>
      <c r="S21" t="s">
        <v>1908</v>
      </c>
      <c r="T21" s="37">
        <v>2016</v>
      </c>
      <c r="U21" s="25"/>
      <c r="V21" s="25"/>
      <c r="W21" s="25"/>
      <c r="X21" s="25"/>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row>
    <row r="22" spans="1:73" s="37" customFormat="1" ht="30" customHeight="1" x14ac:dyDescent="0.2">
      <c r="A22" s="25" t="s">
        <v>2404</v>
      </c>
      <c r="B22" s="25" t="s">
        <v>488</v>
      </c>
      <c r="C22" s="37" t="s">
        <v>434</v>
      </c>
      <c r="D22" t="s">
        <v>430</v>
      </c>
      <c r="E22" t="s">
        <v>2582</v>
      </c>
      <c r="F22">
        <v>8500</v>
      </c>
      <c r="G22" t="s">
        <v>134</v>
      </c>
      <c r="H22" t="s">
        <v>83</v>
      </c>
      <c r="I22" t="s">
        <v>2583</v>
      </c>
      <c r="J22" t="s">
        <v>2584</v>
      </c>
      <c r="K22" t="s">
        <v>2585</v>
      </c>
      <c r="L22" t="s">
        <v>2586</v>
      </c>
      <c r="M22" t="s">
        <v>158</v>
      </c>
      <c r="N22"/>
      <c r="O22" t="s">
        <v>970</v>
      </c>
      <c r="P22" t="s">
        <v>1852</v>
      </c>
      <c r="Q22" t="s">
        <v>2587</v>
      </c>
      <c r="R22" t="s">
        <v>2588</v>
      </c>
      <c r="S22" t="s">
        <v>2589</v>
      </c>
      <c r="T22">
        <v>2021</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row>
    <row r="23" spans="1:73" s="37" customFormat="1" ht="30" customHeight="1" x14ac:dyDescent="0.2">
      <c r="A23" s="95">
        <v>820445801</v>
      </c>
      <c r="B23" s="41" t="s">
        <v>96</v>
      </c>
      <c r="C23" s="44" t="s">
        <v>97</v>
      </c>
      <c r="D23" s="44" t="s">
        <v>98</v>
      </c>
      <c r="E23" s="44" t="s">
        <v>97</v>
      </c>
      <c r="F23" s="44" t="s">
        <v>82</v>
      </c>
      <c r="G23" s="44" t="s">
        <v>83</v>
      </c>
      <c r="H23" s="44" t="s">
        <v>99</v>
      </c>
      <c r="I23" s="44" t="s">
        <v>100</v>
      </c>
      <c r="J23" s="45" t="s">
        <v>101</v>
      </c>
      <c r="K23" s="44" t="s">
        <v>102</v>
      </c>
      <c r="L23" s="44" t="s">
        <v>103</v>
      </c>
      <c r="M23" s="46" t="s">
        <v>104</v>
      </c>
      <c r="N23" s="46" t="s">
        <v>105</v>
      </c>
      <c r="O23" s="46"/>
      <c r="P23" s="48"/>
      <c r="Q23" s="24" t="s">
        <v>106</v>
      </c>
      <c r="R23" s="49"/>
      <c r="S23" s="24">
        <v>150</v>
      </c>
      <c r="T23" s="24" t="s">
        <v>107</v>
      </c>
      <c r="U23" s="24"/>
      <c r="V23" s="24"/>
      <c r="W23" s="50"/>
      <c r="X23" s="23">
        <v>2016</v>
      </c>
      <c r="Y23" s="50" t="s">
        <v>90</v>
      </c>
      <c r="Z23" s="43">
        <v>2</v>
      </c>
      <c r="AA23" s="44">
        <v>3</v>
      </c>
      <c r="AB23" s="24">
        <v>150</v>
      </c>
      <c r="AC23" s="24" t="s">
        <v>92</v>
      </c>
      <c r="AD23" s="24">
        <v>150000</v>
      </c>
      <c r="AE23" s="20" t="s">
        <v>93</v>
      </c>
      <c r="AF23" s="20">
        <v>185</v>
      </c>
      <c r="AG23" s="20">
        <v>208</v>
      </c>
      <c r="AH23" s="20">
        <v>278</v>
      </c>
      <c r="AI23" s="20">
        <v>396</v>
      </c>
      <c r="AJ23" s="20">
        <v>2018</v>
      </c>
      <c r="AK23" s="20">
        <v>3</v>
      </c>
      <c r="AL23" s="20">
        <v>215</v>
      </c>
      <c r="AM23" s="20">
        <v>151</v>
      </c>
      <c r="AN23" s="20">
        <v>0</v>
      </c>
      <c r="AO23" s="20">
        <v>0</v>
      </c>
      <c r="AP23" s="20">
        <v>156</v>
      </c>
      <c r="AQ23" s="20">
        <v>183</v>
      </c>
      <c r="AR23" s="20">
        <v>132</v>
      </c>
      <c r="AS23" s="20">
        <v>0</v>
      </c>
      <c r="AT23" s="20">
        <v>173</v>
      </c>
      <c r="AU23" s="20">
        <v>121</v>
      </c>
      <c r="AV23" s="20">
        <v>154</v>
      </c>
      <c r="AW23" s="20">
        <v>23</v>
      </c>
      <c r="AX23" s="20">
        <v>196</v>
      </c>
      <c r="AY23" s="20">
        <v>138</v>
      </c>
      <c r="AZ23" s="20">
        <v>102</v>
      </c>
      <c r="BA23" s="20">
        <v>36</v>
      </c>
      <c r="BB23" s="20">
        <v>182</v>
      </c>
      <c r="BC23" s="20">
        <v>139</v>
      </c>
      <c r="BD23" s="20">
        <v>97</v>
      </c>
      <c r="BE23" s="20">
        <v>59</v>
      </c>
      <c r="BF23" s="20">
        <v>0</v>
      </c>
      <c r="BG23" s="21">
        <v>0</v>
      </c>
      <c r="BH23" s="22">
        <v>0.13294797687861271</v>
      </c>
      <c r="BI23" s="22">
        <v>0.18367346938775511</v>
      </c>
      <c r="BJ23" s="22">
        <v>0.70232558139534884</v>
      </c>
      <c r="BK23" s="22">
        <v>0</v>
      </c>
      <c r="BL23" s="22">
        <v>1.1730769230769231</v>
      </c>
      <c r="BM23" s="22">
        <v>0.72131147540983609</v>
      </c>
      <c r="BN23" s="22">
        <v>0.69942196531791911</v>
      </c>
      <c r="BO23" s="22">
        <v>1.2727272727272727</v>
      </c>
      <c r="BP23" s="22">
        <v>0.70408163265306123</v>
      </c>
      <c r="BQ23" s="22">
        <v>0.73913043478260865</v>
      </c>
      <c r="BR23" s="22">
        <v>0.1674418604651163</v>
      </c>
      <c r="BS23" s="22"/>
      <c r="BT23" s="22"/>
      <c r="BU23" s="23"/>
    </row>
    <row r="24" spans="1:73" ht="15" customHeight="1" x14ac:dyDescent="0.2">
      <c r="A24" s="79" t="s">
        <v>2392</v>
      </c>
      <c r="B24" s="25" t="s">
        <v>308</v>
      </c>
      <c r="C24" s="25" t="s">
        <v>109</v>
      </c>
      <c r="D24" s="25" t="s">
        <v>152</v>
      </c>
      <c r="E24" s="25" t="s">
        <v>2733</v>
      </c>
      <c r="F24" s="25">
        <v>5000</v>
      </c>
      <c r="G24" s="25" t="s">
        <v>82</v>
      </c>
      <c r="H24" s="25" t="s">
        <v>83</v>
      </c>
      <c r="I24" s="25" t="s">
        <v>2724</v>
      </c>
      <c r="J24" s="25" t="s">
        <v>2725</v>
      </c>
      <c r="K24" s="25" t="s">
        <v>1802</v>
      </c>
      <c r="L24" s="25" t="s">
        <v>2726</v>
      </c>
      <c r="M24" s="25" t="s">
        <v>1118</v>
      </c>
      <c r="N24" s="25">
        <v>3515400730</v>
      </c>
      <c r="O24" s="25" t="s">
        <v>2727</v>
      </c>
      <c r="P24" s="25" t="s">
        <v>2726</v>
      </c>
      <c r="Q24" s="25" t="s">
        <v>1119</v>
      </c>
      <c r="R24" s="25">
        <v>3515400730</v>
      </c>
      <c r="S24" s="25" t="s">
        <v>2728</v>
      </c>
      <c r="T24" s="37">
        <v>2016</v>
      </c>
    </row>
    <row r="25" spans="1:73" ht="15" customHeight="1" x14ac:dyDescent="0.2">
      <c r="A25" s="79" t="s">
        <v>2391</v>
      </c>
      <c r="B25" s="25" t="s">
        <v>650</v>
      </c>
      <c r="C25" s="25" t="s">
        <v>109</v>
      </c>
      <c r="D25" s="25" t="s">
        <v>239</v>
      </c>
      <c r="E25" s="25" t="s">
        <v>307</v>
      </c>
      <c r="F25" s="25">
        <v>5125</v>
      </c>
      <c r="G25" s="25" t="s">
        <v>82</v>
      </c>
      <c r="H25" s="25" t="s">
        <v>83</v>
      </c>
      <c r="I25" s="25" t="s">
        <v>2729</v>
      </c>
      <c r="J25" s="25">
        <v>3513373172</v>
      </c>
      <c r="K25" s="25" t="s">
        <v>2730</v>
      </c>
      <c r="L25" s="25" t="s">
        <v>2731</v>
      </c>
      <c r="M25" s="25" t="s">
        <v>1118</v>
      </c>
      <c r="N25" s="25">
        <v>3513373172</v>
      </c>
      <c r="O25" s="25" t="s">
        <v>1799</v>
      </c>
      <c r="P25" s="25" t="s">
        <v>2732</v>
      </c>
      <c r="Q25" s="25" t="s">
        <v>1122</v>
      </c>
      <c r="R25" s="25">
        <v>3513373172</v>
      </c>
      <c r="S25" s="25" t="s">
        <v>2730</v>
      </c>
      <c r="T25" s="37">
        <v>2018</v>
      </c>
    </row>
  </sheetData>
  <sortState xmlns:xlrd2="http://schemas.microsoft.com/office/spreadsheetml/2017/richdata2" ref="A2:BU23">
    <sortCondition ref="A2:A23"/>
  </sortState>
  <dataValidations count="1">
    <dataValidation type="whole" allowBlank="1" showErrorMessage="1" error="Valor incorrecto._x000a_Por favor, ingrese solo números sin guiones ni barras." sqref="A23" xr:uid="{AB9B21C3-77DB-4536-9610-3673677DD5B5}">
      <formula1>20017500</formula1>
      <formula2>999999999</formula2>
    </dataValidation>
  </dataValidations>
  <hyperlinks>
    <hyperlink ref="J12" r:id="rId1" xr:uid="{A962636E-5B0E-44A7-8309-7AC6A7E56D98}"/>
    <hyperlink ref="M12" r:id="rId2" xr:uid="{5D923EE9-32C6-489E-9573-11464899CC21}"/>
    <hyperlink ref="P12" r:id="rId3" xr:uid="{4FCE194C-EF52-448C-8F10-0C8DA2A077D7}"/>
  </hyperlinks>
  <pageMargins left="0.7" right="0.7" top="0.75" bottom="0.75" header="0" footer="0"/>
  <pageSetup orientation="landscape" r:id="rId4"/>
  <legacyDrawing r:id="rId5"/>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5</vt:i4>
      </vt:variant>
    </vt:vector>
  </HeadingPairs>
  <TitlesOfParts>
    <vt:vector size="5" baseType="lpstr">
      <vt:lpstr>Institucionales</vt:lpstr>
      <vt:lpstr>AlumnosYDocentes</vt:lpstr>
      <vt:lpstr>Datos económicos</vt:lpstr>
      <vt:lpstr>Comentarios</vt:lpstr>
      <vt:lpstr>BAJAS</vt:lpstr>
    </vt:vector>
  </TitlesOfParts>
  <Company>Ministerio de Educación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INET</dc:creator>
  <cp:lastModifiedBy>Nestor Cristian Gonzalez Opelt</cp:lastModifiedBy>
  <cp:lastPrinted>2021-10-12T17:36:39Z</cp:lastPrinted>
  <dcterms:created xsi:type="dcterms:W3CDTF">2021-05-18T13:55:33Z</dcterms:created>
  <dcterms:modified xsi:type="dcterms:W3CDTF">2025-09-18T12:49:51Z</dcterms:modified>
</cp:coreProperties>
</file>