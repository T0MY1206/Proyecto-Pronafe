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Proyectos\instituto-web-2025\archivos\"/>
    </mc:Choice>
  </mc:AlternateContent>
  <xr:revisionPtr revIDLastSave="0" documentId="13_ncr:1_{99E4FFC8-DABE-4CF3-83DA-470FFB6FC9FE}" xr6:coauthVersionLast="47" xr6:coauthVersionMax="47" xr10:uidLastSave="{00000000-0000-0000-0000-000000000000}"/>
  <bookViews>
    <workbookView xWindow="5400" yWindow="3570" windowWidth="21600" windowHeight="11295" xr2:uid="{00000000-000D-0000-FFFF-FFFF00000000}"/>
  </bookViews>
  <sheets>
    <sheet name="Institucionales" sheetId="1" r:id="rId1"/>
    <sheet name="AlumnosYDocentes" sheetId="2" r:id="rId2"/>
    <sheet name="Comentarios" sheetId="9" r:id="rId3"/>
  </sheets>
  <definedNames>
    <definedName name="_xlnm._FilterDatabase" localSheetId="2" hidden="1">Comentarios!$A$1:$C$1</definedName>
    <definedName name="_xlnm._FilterDatabase" localSheetId="0" hidden="1">Institucionales!$A$1:$U$1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3" i="2"/>
  <c r="M104" i="2"/>
  <c r="M105" i="2"/>
  <c r="M106" i="2"/>
  <c r="M107" i="2"/>
  <c r="M108" i="2"/>
  <c r="M110" i="2"/>
  <c r="M112" i="2"/>
  <c r="M113"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2" i="2"/>
  <c r="M155" i="2"/>
  <c r="M157" i="2"/>
  <c r="M158" i="2"/>
  <c r="M159" i="2"/>
  <c r="M161"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5" i="2"/>
  <c r="M226" i="2"/>
  <c r="M227" i="2"/>
  <c r="M228" i="2"/>
  <c r="M229" i="2"/>
  <c r="M230" i="2"/>
  <c r="M231" i="2"/>
  <c r="M232" i="2"/>
  <c r="M233" i="2"/>
  <c r="M234" i="2"/>
  <c r="M235" i="2"/>
  <c r="M236" i="2"/>
  <c r="M237" i="2"/>
  <c r="M238" i="2"/>
  <c r="M239" i="2"/>
  <c r="M240" i="2"/>
  <c r="M241"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4" i="2"/>
  <c r="M295" i="2"/>
  <c r="M2" i="2"/>
  <c r="J57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INET</author>
  </authors>
  <commentList>
    <comment ref="L375" authorId="0" shapeId="0" xr:uid="{00000000-0006-0000-0000-000001000000}">
      <text>
        <r>
          <rPr>
            <b/>
            <sz val="9"/>
            <color indexed="81"/>
            <rFont val="Tahoma"/>
            <family val="2"/>
          </rPr>
          <t xml:space="preserve">INET:
</t>
        </r>
        <r>
          <rPr>
            <sz val="9"/>
            <color indexed="81"/>
            <rFont val="Tahoma"/>
            <family val="2"/>
          </rPr>
          <t>Toda la comunicación enviarla a ambas autoridades.</t>
        </r>
      </text>
    </comment>
    <comment ref="P375" authorId="0" shapeId="0" xr:uid="{00000000-0006-0000-0000-000002000000}">
      <text>
        <r>
          <rPr>
            <b/>
            <sz val="9"/>
            <color indexed="81"/>
            <rFont val="Tahoma"/>
            <family val="2"/>
          </rPr>
          <t>INET:</t>
        </r>
        <r>
          <rPr>
            <sz val="9"/>
            <color indexed="81"/>
            <rFont val="Tahoma"/>
            <family val="2"/>
          </rPr>
          <t xml:space="preserve">
Toda la comunicación enviarla a mabas autoridades.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tc={08695CBA-56DA-4A2F-BAC8-E48791A402FE}</author>
    <author>INET</author>
  </authors>
  <commentList>
    <comment ref="B33" authorId="0" shapeId="0" xr:uid="{00000000-0006-0000-0100-000001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Datos corregidos 031123 por mail de Eventurini
</t>
        </r>
      </text>
    </comment>
    <comment ref="E369" authorId="1" shapeId="0" xr:uid="{00000000-0006-0000-0100-000002000000}">
      <text>
        <r>
          <rPr>
            <b/>
            <sz val="9"/>
            <color indexed="81"/>
            <rFont val="Tahoma"/>
            <family val="2"/>
          </rPr>
          <t>INET:</t>
        </r>
        <r>
          <rPr>
            <sz val="9"/>
            <color indexed="81"/>
            <rFont val="Tahoma"/>
            <family val="2"/>
          </rPr>
          <t xml:space="preserve">
Descuento 11, por la explicacion dada</t>
        </r>
      </text>
    </comment>
  </commentList>
</comments>
</file>

<file path=xl/sharedStrings.xml><?xml version="1.0" encoding="utf-8"?>
<sst xmlns="http://schemas.openxmlformats.org/spreadsheetml/2006/main" count="1188" uniqueCount="690">
  <si>
    <t>CUE</t>
  </si>
  <si>
    <t>Nombre de la Institución</t>
  </si>
  <si>
    <t>DEPARTAMENTO</t>
  </si>
  <si>
    <t>LOCALIDAD</t>
  </si>
  <si>
    <t>Ambito de Gestión</t>
  </si>
  <si>
    <t>Tipo de Institución</t>
  </si>
  <si>
    <t>DIRECCION</t>
  </si>
  <si>
    <t>TELEFONO</t>
  </si>
  <si>
    <t>MAIL</t>
  </si>
  <si>
    <t>Autoridad Institucional</t>
  </si>
  <si>
    <t>Autoridad de Carrera</t>
  </si>
  <si>
    <t>Instituto Superior Huellas Misioneras</t>
  </si>
  <si>
    <t>CP</t>
  </si>
  <si>
    <t>Cargo</t>
  </si>
  <si>
    <t>Nombre</t>
  </si>
  <si>
    <t>Instituto Superior Adventista de Misiones</t>
  </si>
  <si>
    <t>PROVINCIA</t>
  </si>
  <si>
    <t>DIRECTOR</t>
  </si>
  <si>
    <t>Corrientes</t>
  </si>
  <si>
    <t>Estatal</t>
  </si>
  <si>
    <t>Institución de ETP</t>
  </si>
  <si>
    <t>Córdoba</t>
  </si>
  <si>
    <t>Privado</t>
  </si>
  <si>
    <t>Buenos Aires</t>
  </si>
  <si>
    <t>CABA</t>
  </si>
  <si>
    <t>Catamarca</t>
  </si>
  <si>
    <t>Entre Ríos</t>
  </si>
  <si>
    <t>Jujuy</t>
  </si>
  <si>
    <t>-</t>
  </si>
  <si>
    <t>Instituto Superior de Enfermería Israelita A-839</t>
  </si>
  <si>
    <t>Capital</t>
  </si>
  <si>
    <t>Instituto Superior "Bernardo Houssay anexo Monte Buey"</t>
  </si>
  <si>
    <t>Instituto de Educación Superior Arturo Capdevila</t>
  </si>
  <si>
    <t>Directora</t>
  </si>
  <si>
    <t xml:space="preserve">Instituto Superior "Del Centro de la República Dr. Angel Diego Márquez" </t>
  </si>
  <si>
    <t>Instituto Privado N° A-0895 "Escuela de Enfermería Helena Larroque de Roffo"</t>
  </si>
  <si>
    <t>Instituto Superior Cruz del Sacrificio</t>
  </si>
  <si>
    <t>Instituto "S.E.P San Nicolás" (Sindicato de Empleados Públicos) -Anexo Cosquín</t>
  </si>
  <si>
    <t>Instituto "S.E.P San Nicolás" (Sindicato de Empleados Públicos) -Anexo Río Cuarto</t>
  </si>
  <si>
    <t>Escuela Superior de Salud Pública N° 1453</t>
  </si>
  <si>
    <t>Instituto de Educación Superior (I. E. S.) N° 1453 Escuela Superior de Salud Pública - Anexo Pampa del Indio</t>
  </si>
  <si>
    <t>Instituto de Educación Superior (I. E. S.) N° 1453 Escuela Superior de Salud Pública - Anexo Villa Ángela</t>
  </si>
  <si>
    <t>Instituto de Educación Superior (I. E. S.) N° 1453 Escuela Superior de Salud Pública -Anexo Castelli</t>
  </si>
  <si>
    <t>Instituto de Educación Superior (I. E. S.) N° 1453 Escuela Superior de Salud Pública - Anexo Puerto Tirol</t>
  </si>
  <si>
    <t>Instituto "S.E.P San Nicolás" (Sindicato de Empleados Públicos) -Anexo Cruz del Eje</t>
  </si>
  <si>
    <t>Cruz del Eje</t>
  </si>
  <si>
    <t>Instituto "S.E.P San Nicolás" (Sindicato de Empleados Públicos) -Anexo Colón</t>
  </si>
  <si>
    <t>Instituto "S.E.P San Nicolás" (Sindicato de Empleados Públicos) -Anexo Marcos Juarez</t>
  </si>
  <si>
    <t>Instituto "S.E.P San Nicolás" (Sindicato de Empleados Públicos) -Anexo Oliva</t>
  </si>
  <si>
    <t>Instituto "S.E.P San Nicolás" (Sindicato de Empleados Públicos) -Anexo Villa María</t>
  </si>
  <si>
    <t>Instituto de Formación Técnica Superior (I.F.T.S.) N° A1493 "Instituto Superior Facultar"</t>
  </si>
  <si>
    <t>Instituto de Formación Técnica Superior (I.F.T.S.) N° A 1508 "Superior de Artes y Ciencias de la Salud"</t>
  </si>
  <si>
    <t>Instituto Superior de Formación Técnica (I.S.F.T.) N° 4796 "Instituto Superior de Estudios Paramedicos"</t>
  </si>
  <si>
    <t>Hurlingham</t>
  </si>
  <si>
    <t>General Pinto</t>
  </si>
  <si>
    <t>Instituto de Educación Superior de Formación Docente y Técnica (I.S.F.D.yT.) N° 90</t>
  </si>
  <si>
    <t>Bragado</t>
  </si>
  <si>
    <t>Carlos Casares</t>
  </si>
  <si>
    <t>Instituto Superior de Formacion Docente y Tecnica N° 173</t>
  </si>
  <si>
    <t>Instituto Superior de Formación Docente (I.S.F.D.) N° 60</t>
  </si>
  <si>
    <t xml:space="preserve"> Instituto de Educación Superior de Formación Docente y Técnica N° 93</t>
  </si>
  <si>
    <t> Instituto de Educación Superior de Formación Docente y Técnica (I.S.F.D.yT.) N° 44</t>
  </si>
  <si>
    <t>Instituto de Educación Superior de Formación Docente y Técnica (I.S.F.D.yT.) N° 48</t>
  </si>
  <si>
    <t>Instituto Superior de Formación Docente (I.S.F.D.) N° 85</t>
  </si>
  <si>
    <t>Instituto Escuela de Enfermería N° 4785 Escuela de Enfermeria de la Cruz Roja Argentina</t>
  </si>
  <si>
    <t>Instituto Escuela de Enfermería Inst.Escuela de Enfermeria y Espec.Paramedicas Cruz Roja</t>
  </si>
  <si>
    <t>Instituto de Educación Superior de Formación Docente y Técnica (I.S.F.D.yT.) N° 68</t>
  </si>
  <si>
    <t>Instituto Superior de Formacion Docente y Tecnica N° 37</t>
  </si>
  <si>
    <t xml:space="preserve"> Instituto Superior de Formación Docente N° 91 René Favaloro</t>
  </si>
  <si>
    <t>Instituto Superior de Formación Docente (I.S.F.D.) N° 26</t>
  </si>
  <si>
    <t>Instituto Superior de Formación Docente (I.S.F.D.) N° 49</t>
  </si>
  <si>
    <t>ISFD yT N° 138 – Escuela Normal Superior “Domingo Fidel Sarmiento”</t>
  </si>
  <si>
    <t>Instituto Superior de Formación Docente (I.S.F.D.) N° 53</t>
  </si>
  <si>
    <t>Instituto Escuela de Enfermería N° 4948 Escuela de Enfermeria de la Cruz Roja Argentina</t>
  </si>
  <si>
    <t>Instituto Superior de Formacion Docente y Tecnica N° 72</t>
  </si>
  <si>
    <t>Instituto Superior de Formación Técnica (I.S.F.T.) N° 182</t>
  </si>
  <si>
    <t>Instituto de Educación Superior de Formación Docente y Técnica (I.S.F.D.yT.) N° 40</t>
  </si>
  <si>
    <t xml:space="preserve"> Instituto Superior de Formacion Docente y Tecnica N° 184</t>
  </si>
  <si>
    <t>Instituto Superior de Formacion Docente y Tecnica N° 162</t>
  </si>
  <si>
    <t>Instituto de Educación Superior de Formación Docente y Técnica (I.S.F.D.yT.) N° 65</t>
  </si>
  <si>
    <t>Instituto Superior N° 4709 Escuela de Enfermeria Instituto Cruz Roja Argentina</t>
  </si>
  <si>
    <t>Instituto Superior de Formación Técnica (I.S.F.T.) N° 192</t>
  </si>
  <si>
    <t>Instituto Superior de Formacion Docente y Tecnica N° 146</t>
  </si>
  <si>
    <t xml:space="preserve"> Instituto de Educación Superior de Formación Docente y Técnica N° 152 Domingo Faustino Sarmiento</t>
  </si>
  <si>
    <t>Instituto Superior de Formación Técnica (I.S.F.T.) N° 75</t>
  </si>
  <si>
    <t xml:space="preserve">Instituto Superior de Formación Técnica (I.S.F.T.) N° 194  </t>
  </si>
  <si>
    <t>Escuela Municipal de Enfermería e Instrumentación Quirúrgica María Eva Duarte de Perón</t>
  </si>
  <si>
    <t>General Pueyrredon</t>
  </si>
  <si>
    <t>Mar del Plata</t>
  </si>
  <si>
    <t>Instituto Superior de Educación Técnica (I.S.F.T.) N° 201</t>
  </si>
  <si>
    <t>Instituto Superior de Formación Técnica (I.S.F.T.) N° 200</t>
  </si>
  <si>
    <t>Instituto Superior de Formación Técnica (I.S.F.T.) N° 197</t>
  </si>
  <si>
    <t>Instituto Superior de Formación Docente y Técnica N° 164</t>
  </si>
  <si>
    <t>Instituto Superior de Formacion Docente y Tecnica N° 211</t>
  </si>
  <si>
    <t>Instituto Superior de Formacion Docente y Tecnica N° 215</t>
  </si>
  <si>
    <t>Instituto Superior de Formación Técnica (I.S.F.T.) N° 221</t>
  </si>
  <si>
    <t>IES Pomán</t>
  </si>
  <si>
    <t>IES Gobernador José Cubas</t>
  </si>
  <si>
    <t>Instituto Superior "Prof. Gabriela Mistral"</t>
  </si>
  <si>
    <t>Río Primero</t>
  </si>
  <si>
    <t>Río Segundo</t>
  </si>
  <si>
    <t>Pozo del Molle</t>
  </si>
  <si>
    <t>Instituto Superior del Profesorado Manuel Belgrano</t>
  </si>
  <si>
    <t>San Justo</t>
  </si>
  <si>
    <t>Instituto Técnico Superior Córdoba</t>
  </si>
  <si>
    <t>Instituto Superior Técnico "Córdoba -Anexo Juarez Celman"</t>
  </si>
  <si>
    <t>Instituto Superior Técnico "Córdoba Anexo La France"</t>
  </si>
  <si>
    <t>Instituto Superior Técnico "Córdoba Anexo Villa del Libertador"</t>
  </si>
  <si>
    <t>Santo Tomé</t>
  </si>
  <si>
    <t>Instituto de Educación Superior de Formación Docente "Profesor Agustín Gómez- Anexo Yapeyú"</t>
  </si>
  <si>
    <t>Instituto de Educación Superior de Formación Docente Julio Cortázar</t>
  </si>
  <si>
    <t>Instituto Superior de Formación Docente de Caa Cati</t>
  </si>
  <si>
    <t>ISFD y Técnico "Itatí"</t>
  </si>
  <si>
    <t>Paraná</t>
  </si>
  <si>
    <t>Escuela Normal Superior N° 4 "Dr. Antonio Sagarna"</t>
  </si>
  <si>
    <t>Instituto de Educación Superior Gaspar Lucilo Benavento</t>
  </si>
  <si>
    <t>Victoria</t>
  </si>
  <si>
    <t>Instituto de Educación Superior (I.E.S.) N° 9-023</t>
  </si>
  <si>
    <t>Instituto Superior de Enfermería PT 254 Reinalda Balancini</t>
  </si>
  <si>
    <t xml:space="preserve"> Instituto de Educación Superior Particular Incorporada (I.S.P.I.) N° 4026 "Santisima Virgen Niña"</t>
  </si>
  <si>
    <t>ISET N° 57</t>
  </si>
  <si>
    <t xml:space="preserve"> Instituto de Educación Superior Particular Incorporada (I.S.P.I.) N° 9231 "Garibaldi"</t>
  </si>
  <si>
    <t>I.S.P.A. N° 4084 "Centro de Educación Técnica para el Diagnóstico"</t>
  </si>
  <si>
    <t>Escuela Superior de Enfermería Venado Tuerto</t>
  </si>
  <si>
    <t>Instituto Superior de Profesorado N° 67</t>
  </si>
  <si>
    <t>INSTITUTO SUPERIOR DEL PROFESORADO PROVINCIAL N° 6</t>
  </si>
  <si>
    <t>Instituto de Educación Superior de Formación Docente N° 09</t>
  </si>
  <si>
    <t>Instituto de Educación Superior de Formación Docente N° 05</t>
  </si>
  <si>
    <t>Instituto de Educación Superior (I.E.S.) N° 74</t>
  </si>
  <si>
    <t>Instituto de Educación Superior (I.E.S.) N° 74 Anexo Concepción</t>
  </si>
  <si>
    <t>Instituto de Educación Superior (I.E.S.) N° 74 Anexo Monteros</t>
  </si>
  <si>
    <t>Instituto de Educación Superior (I.E.S.) N° 74 Anexo Faimallá</t>
  </si>
  <si>
    <t>Instituto de Educación Superior (I.E.S.) N° 74 Anexo Trancas</t>
  </si>
  <si>
    <t>Instituto de Educación Superior (I.E.S.) N° 74 Anexo Alderetes</t>
  </si>
  <si>
    <t>Instituto de Educación Superior (I.E.S.) N° 74 Anexo La Ramada</t>
  </si>
  <si>
    <t>Instituto de Educación Superior (I.E.S.) N° 74 Anexo Delfín Gallo</t>
  </si>
  <si>
    <t>Instituto de Educación Superior (I.E.S.) N° 74 Anexo Graneros</t>
  </si>
  <si>
    <t>Centro Educativo de Nivel Terciario (C.E.N.T.) N° 74 Anexo Los Ralos</t>
  </si>
  <si>
    <t>Centro Educativo de Nivel Terciario (C.E.N.T.) N° 74 Anexo Amaicha del Valle</t>
  </si>
  <si>
    <t>Centro Educativo de Nivel Terciario (C.E.N.T.) N° 74 Anexo Leales</t>
  </si>
  <si>
    <t>Matricula</t>
  </si>
  <si>
    <t>Año de ingreso</t>
  </si>
  <si>
    <t>Comentarios</t>
  </si>
  <si>
    <t>Instituto Superior de Formacion Docente y Tecnica N° 237</t>
  </si>
  <si>
    <t>Instituto de Docencia, Investigación y Capacitación Laboral de la Sanidad</t>
  </si>
  <si>
    <t>Instituto Sup. de Ciencias de la Salud y Gestión</t>
  </si>
  <si>
    <t>Juárez Celman</t>
  </si>
  <si>
    <t>Hasenkamp</t>
  </si>
  <si>
    <t>GeoData</t>
  </si>
  <si>
    <t>MAIL2</t>
  </si>
  <si>
    <t>TELÉFONO2</t>
  </si>
  <si>
    <t>MAIL1</t>
  </si>
  <si>
    <t>TELÉFONO1</t>
  </si>
  <si>
    <t>Coordinadora</t>
  </si>
  <si>
    <t>Director</t>
  </si>
  <si>
    <t>Instituto Escuela de Enfermería N° 5003 Escuela de Enf. y Esp. Paramedicas Cruz Roja Argentina Filial Lujan</t>
  </si>
  <si>
    <t>Instituto Privado Nº A-1047 Superior Mitre</t>
  </si>
  <si>
    <t>Instituto de Educación Superior de Formación Docente  Dr. Luis Alberto Esteban Arienti</t>
  </si>
  <si>
    <t xml:space="preserve">Instituto de Educación Superior (I.E.S.) Nº 6047 </t>
  </si>
  <si>
    <t>Instituto de Educación Superior de Formación Docente Ramón de la Cruz Moreno</t>
  </si>
  <si>
    <t xml:space="preserve">Instituto Superior de Formación Técnica (I.S.F.T.) Nº 188 </t>
  </si>
  <si>
    <t>Instituto de Educación Superior de Formación Docente y Técnica (I.S.F.D.yT.) N° 63 Malvinas Argentinas</t>
  </si>
  <si>
    <t>Instituto Privado Nº A-1243 Instituto Superior de Ciencias de la Salud</t>
  </si>
  <si>
    <t>Instituto Nº 1507 Centro de Estudios Nueva Vida</t>
  </si>
  <si>
    <t>Instituto de Formación Técnica Superior Nuestra Señora de Fátima</t>
  </si>
  <si>
    <t>Instituto de Formación Técnica Superior Don Orione</t>
  </si>
  <si>
    <t xml:space="preserve">Instituto de Educación Superior de Formación Docente y Técnica (I.S.F.D.yT.) Nº 118 </t>
  </si>
  <si>
    <t xml:space="preserve">Instituto de Educación Superior de Formación Docente y Técnica (I.S.F.D.yT.) Nº 57 </t>
  </si>
  <si>
    <t>Instituto de Educación Superior de Formación Docente y Técnica (I.S.F.D.yT.) Nº 71 Profesor Ceferino Artigas</t>
  </si>
  <si>
    <t xml:space="preserve">Instituto de Educación Superior de Formación Docente y Técnica (I.S.F.D.yT.) Nº 218 </t>
  </si>
  <si>
    <t>Instituto Superior Arturo Umberto Illia</t>
  </si>
  <si>
    <t>Instituto Superior Clelia Fanny Castagnino</t>
  </si>
  <si>
    <t>Instituto Superior FASTA - Inmaculada Concepcion</t>
  </si>
  <si>
    <t>Instituto Superior Madre Teresa de Calcuta</t>
  </si>
  <si>
    <t>Inst. de Docencia, Investigación y Capacitación Laboral de la Sanidad Nº 1818</t>
  </si>
  <si>
    <t>Instituto en Formación, Capacitación y Superación Lic. Myriam Beatriz Gloss</t>
  </si>
  <si>
    <t>Instituto en Formación, Capacitación y Superación Lic. Myriam Beatriz Gloss - Anexo San Pedro</t>
  </si>
  <si>
    <t>Instituto en Formación, Capacitación y Superación Lic. Myriam Beatriz Gloss - Anexo La Quiaca</t>
  </si>
  <si>
    <t>Superior de Ciencias de la Salud y Gestión Anexo Bariloche</t>
  </si>
  <si>
    <t>Superior de Ciencias de la Salud y Gestión Anexo Villa Regina</t>
  </si>
  <si>
    <t>Superior de Ciencias de la Salud y Gestión Anexo Cinco Saltos</t>
  </si>
  <si>
    <t>Superior de Ciencias de la Salud y Gestión Anexo San Antonio Oeste</t>
  </si>
  <si>
    <t>Superior de Ciencias de la Salud y Gestión Anexo Viedma</t>
  </si>
  <si>
    <t>Instituto de Educación Superior de Formación Docente Nº 6015</t>
  </si>
  <si>
    <t>Inst. Sup. de Formación y Capacitacion Doctor Ramon Carrillo</t>
  </si>
  <si>
    <t>Inst. Sup. de Formación y Capacitacion Doctor Ramón Carrillo - Anexo Tartagal</t>
  </si>
  <si>
    <t>Inst. Sup. de Formación y Capacitacion Doctor Ramón Carrillo - Anexo Rosario de Lerma</t>
  </si>
  <si>
    <t>Inst. Sup. de Formación y Capacitacion Doctor Ramón Carrillo - Anexo Oran</t>
  </si>
  <si>
    <t>Inst. Sup. de Formación y Capacitacion Doctor Ramón Carrillo - Anexo Gral. Güemes</t>
  </si>
  <si>
    <t>Inst. Sup. de Formación y Capacitacion Doctor Ramón Carrillo - Anexo Joaquín V. González</t>
  </si>
  <si>
    <t>Inst. Sup. de Formación y Capacitacion Doctor Ramón Carrillo - Anexo El Carril</t>
  </si>
  <si>
    <t>Inst. Sup. de Formación y Capacitacion Doctor Ramón Carrillo - Anexo Rosario de la Frontera</t>
  </si>
  <si>
    <t>Instituto de Educación Superior de Formación Docente y Técnica (I.S.F.D.yT.) Nº 20 Senador Néstor Juan Zamaro</t>
  </si>
  <si>
    <t>I.S.P.I N.º 9246 “Fundación Hospital Oliveros”</t>
  </si>
  <si>
    <t>I.S.P.I N.º 9246 “Fundación Hospital Oliveros” Anexo Rosario</t>
  </si>
  <si>
    <t>Instituto de Educación Superior del Profesorado (I.S.P.) Nº 09 Profesor José María Scalenghe</t>
  </si>
  <si>
    <t>Instituto de Educación Superior del Profesorado (I.S.P.) Nº 66</t>
  </si>
  <si>
    <t>Instituto Superior de Profesorado N° 02 Dr. Joaquín V. González</t>
  </si>
  <si>
    <t>Brinkmann</t>
  </si>
  <si>
    <t>Instituto Superior Nº 8693 Establecimiento Profesional de la Salud</t>
  </si>
  <si>
    <t>Instituto Privado Nº A-1428  Superior Auxiliares de la Medicina</t>
  </si>
  <si>
    <t>UCACHA</t>
  </si>
  <si>
    <t>Instituto Nº A-1538 de Educación en Áreas de la Salud</t>
  </si>
  <si>
    <t>Instituto "S.E.P San Nicolás" (Sindicato de Empleados Públicos) -Anexo Deán Funes</t>
  </si>
  <si>
    <t>Instituto de Educación Superior de Formación Docente y Técnica (I.S.F.D.yT.) Nº 165 Domingo A. Teruggi</t>
  </si>
  <si>
    <t>Loberia</t>
  </si>
  <si>
    <t>Instituto Superior de Formación Técnica (I.S.F.T.)  Instituto Superior de Estudios Técnicos</t>
  </si>
  <si>
    <t>LA RIOJA 166</t>
  </si>
  <si>
    <t>353-4883809</t>
  </si>
  <si>
    <t>direccioncastagnino@gmail.com</t>
  </si>
  <si>
    <t>PROF. FRANCO LUIS GUEPART</t>
  </si>
  <si>
    <t>353-154240539</t>
  </si>
  <si>
    <t>franco.guepart@gmail.com</t>
  </si>
  <si>
    <t>LIC. MAGALÍ BARBERO</t>
  </si>
  <si>
    <t>PROFESORA</t>
  </si>
  <si>
    <t>353-154206217</t>
  </si>
  <si>
    <t>magalibarberoeducacion@gmail.com</t>
  </si>
  <si>
    <t>Avda Seeber 317</t>
  </si>
  <si>
    <t>3562-455170</t>
  </si>
  <si>
    <t>imbelgrano_brk@yahoo.com.ar</t>
  </si>
  <si>
    <t>Firmani Julio Cesar</t>
  </si>
  <si>
    <t>3562-407147</t>
  </si>
  <si>
    <t>jfirmani@hotmail.com</t>
  </si>
  <si>
    <t>Astrada Javier Jesus</t>
  </si>
  <si>
    <t>Instructor</t>
  </si>
  <si>
    <t>3562-416987</t>
  </si>
  <si>
    <t>javiastrada73@gmail.com</t>
  </si>
  <si>
    <t>Escuela Superior de Enfermería N° 1260234 Cruz Roja Argentina Rio Cuarto</t>
  </si>
  <si>
    <t>Representante Legal</t>
  </si>
  <si>
    <t>El Instituto no cuenta con cargo de Coordinador de carrera</t>
  </si>
  <si>
    <t>Instituto de Educación Superior N° D- 74 Cruz Roja Argentina -Filial Paraná</t>
  </si>
  <si>
    <t>PARANA</t>
  </si>
  <si>
    <t>ANDRES PAZOS 301</t>
  </si>
  <si>
    <t>343-4310100</t>
  </si>
  <si>
    <t>educa.parana@cruzroja.org.ar</t>
  </si>
  <si>
    <t>ULRICH ALBERTO</t>
  </si>
  <si>
    <t>REPRESENTANTE LEGAL</t>
  </si>
  <si>
    <t>343-5023508</t>
  </si>
  <si>
    <t>afulrich@cruzroja.org.ar</t>
  </si>
  <si>
    <t>NANI MARTIN</t>
  </si>
  <si>
    <t>RECTOR</t>
  </si>
  <si>
    <t>343-4257387</t>
  </si>
  <si>
    <t>mnani@cruzroja.org.ar</t>
  </si>
  <si>
    <t>RECTORA</t>
  </si>
  <si>
    <t>faltan docentes de los desdoblamientos de las prácticas.</t>
  </si>
  <si>
    <t>I.U.C.E - Instituto de Capacitación y Gestión</t>
  </si>
  <si>
    <t>La carrera comenzó a dictarse en la extensión Zapala en julio de 2022. Los estudiantes están becados al 100% en virtud de un convenio con la Municipalidad de Zapala. A partir de agosto se incorporan 4 instructores para las Prácticas en el Hospital de Zapala</t>
  </si>
  <si>
    <t>Coordinador</t>
  </si>
  <si>
    <t>La carrera se dicta a ciclo cerrado. Desde el año 2021 hay dos divisiones</t>
  </si>
  <si>
    <t>Instituto de Educación Superior Particular Incorporada (I.S.P.I.) Cruz Roja Argentina - Anexo</t>
  </si>
  <si>
    <t>Instituto de Educación Superior Particular Incorporada (I.S.P.I.) N° 9203 Cruz Roja Argentina</t>
  </si>
  <si>
    <t>Rectora</t>
  </si>
  <si>
    <t>Escuela Superior de Enfermería M. E. Araya de Colombres</t>
  </si>
  <si>
    <t>Para la cantidad de estudiante matriculados al 30 de abril 2023 se tomo la PP de cada año</t>
  </si>
  <si>
    <t>Instituto Privado N° A-914 Metropolitana de Altos Estudios</t>
  </si>
  <si>
    <t>Instituto de Formación Técnica Superior (I.F.T.S.) Escuela Superior de Enfermería Cecilia Grierson</t>
  </si>
  <si>
    <t>Escuela de Enfermería N° 90 Cecilia Grierson -Anexo Lugano</t>
  </si>
  <si>
    <t>Escuela de Enfermería N° A-0732 Especialidades Paramédicas Cruz Roja Argentina Filial Saavedra</t>
  </si>
  <si>
    <t>Escuela de Enfermería N° A-825 Especialidades Paramédicas Cruz Roja Argentina (Sede Central)</t>
  </si>
  <si>
    <t>Instituto Privado N° A-0896 Instituto Amado Olmos Atsa</t>
  </si>
  <si>
    <t>Instituto Privado N° A-0691 Instituto del Profesorado en Enfermería Padre Luis Tezza</t>
  </si>
  <si>
    <t>Instituto Privado N° A-1385 Instituto Superior Octubre (I.S.O.)</t>
  </si>
  <si>
    <t>Instituto Privado N° A-1450 Instituto UOCRA</t>
  </si>
  <si>
    <t>Instituto N° A-1519 Superior de Enfermería Artémides Zatti</t>
  </si>
  <si>
    <t>Instituto Superior de Formación Docente (I.S.F.D.) N° 133 Otto Pascual La Falce</t>
  </si>
  <si>
    <t>Instituto Superior de Formación Docente y Técnica  (ISFDyT N° 78)</t>
  </si>
  <si>
    <t>Instituto Superior N° 4726 Escuela de Enfermería Cruz Roja Arg. F. S. Nicolas P. Ogallar</t>
  </si>
  <si>
    <t>Instituto de Educación Superior de Formación Docente y Técnica (I.S.F.D.yT.) N° 80 Paulo Freire</t>
  </si>
  <si>
    <t>Instituto de Educación Superior de Formación Docente y Técnica (I.S.F.D.yT.) N° 59 Dr. Carlos Madariaga</t>
  </si>
  <si>
    <t>Instituto de Formación y Capacitación del Sindicato de Salud Pública de la Provincia de Buenos Aires</t>
  </si>
  <si>
    <t>Instituto Superior de Formación Técnica (I.S.F.T.) N° 150 25 de Mayo</t>
  </si>
  <si>
    <t>Instituto de Educación Superior de Formación Docente y Técnica (I.S.F.D.yT.) N° 158 José Manuel Estrada</t>
  </si>
  <si>
    <t>Instituto de Educación Superior de Formación Docente y Técnica (I.S.F.D.yT.) N° 89 Dr. René Favaloro</t>
  </si>
  <si>
    <t>Instituto de Educación Superior de Formación Docente y Técnica (I.S.F.D.yT.) N° 126 General José de San Martín</t>
  </si>
  <si>
    <t xml:space="preserve">Instituto Superior de Formación Técnica (I.S.F.T.) N° 132 Colegio Nacional General San Martín </t>
  </si>
  <si>
    <t>Instituto Superior de Formación Técnica (I.S.F.T.) N° 4406 Escuela de Enfermería. y Esp. Paramédicas Cruz Roja -Lomas de Zamora</t>
  </si>
  <si>
    <t>Instituto de Educación Superior de Formación Docente y Técnica (ISFDyT) N° 70 Manuel Belgrano</t>
  </si>
  <si>
    <t>Instituto Superior de Formación Docente (I.S.F.D.) N° 87 Domingo Faustino Sarmiento</t>
  </si>
  <si>
    <t>Instituto de Educación Superior de Formación Docente y Técnica (I.S.F.D.yT.) N° 124 Juan B. Marenzi</t>
  </si>
  <si>
    <t>Instituto Superior de Formación Docente (I.S.F.D.) N° 73 Rosario Vera Peñaloza</t>
  </si>
  <si>
    <t>Instituto de Educación Superior de Formación Docente y Técnica (I.S.F.D.yT.) N° 125 Nicolás Avellaneda</t>
  </si>
  <si>
    <t>Instituto Escuela de Enfermería N° 4887 Cruz Roja Argentina - Filial Lanús - DIPREGEP</t>
  </si>
  <si>
    <t>Instituto Superior de Formación Técnica (I.S.F.T.) N° 180 Localidad Mariano Moreno</t>
  </si>
  <si>
    <t>Escuela Técnica Privada N° 4996 Esc. de Enf. de la Cruz Roja Arg. F. Vicente Lopez 4996</t>
  </si>
  <si>
    <t>Escuela Técnica Privada N° 5679 Escuela de Enfermeria Cruz Roja Argentina</t>
  </si>
  <si>
    <t>Instituto Superior de Formación Técnica (I.S.F.T.) N° 6012 Escuela Superior de Formación en Salud</t>
  </si>
  <si>
    <t>Instituto Superior de Formación Técnica (I.S.F.T.) N° 6012 Escuela Superior de Formación en Salud - Anexo Hospital de Agudos José Penna</t>
  </si>
  <si>
    <t>Instituto Superior de Formación Técnica (I.S.F.T.) N° 6012 Escuela Superior de Formación en Salud - Anexo Higa Dr. Diego Paroissien</t>
  </si>
  <si>
    <t>Instituto Superior de Formación Técnica (I.S.F.T.) N° 6012 Escuela Superior de Formación en Salud - Anexo Hospital Sor María Ludovica</t>
  </si>
  <si>
    <t>Instituto Superior de Formación Técnica (I.S.F.T.) N° 6012 Escuela Superior de Formación en Salud Anexo Hospital Pedro Fiorito</t>
  </si>
  <si>
    <t> Instituto Superior de Formación Técnica (I.S.F.T.) N° 6012 Escuela Superior de Formación en Salud- Anexo Hospital Zonal General de Agudos Mi pueblo Florencio Varela</t>
  </si>
  <si>
    <t> Instituto Superior de Formación Técnica (I.S.F.T.) N° 6012 Escuela Superior de Formación en Salud - Anexo Hospital General de Agudos Simplemente Evita</t>
  </si>
  <si>
    <t>Instituto Superior de Formación Técnica (I.S.F.T.) N° 6012 Escuela Superior de Formación en Salud - Anexo Hospital de Agudos Evita</t>
  </si>
  <si>
    <t>Instituto Superior de Formación Técnica (I.S.F.T.) N° 6012 Escuela Superior de Formación en Salud Anexo Hospital Don Victorio Tetamanti</t>
  </si>
  <si>
    <t>Instituto Superior de Formación Técnica (I.S.F.T.) N° 6012 Escuela Superior de Formación en Salud -Anexo Hospital Mariano y Luciano de la Vega</t>
  </si>
  <si>
    <t>Instituto Superior de Formación Técnica (I.S.F.T.) N° 6012 Escuela Superior de Formación en Salud - Anexo Hospital Interzonal Gral de Agudos Eva Perón</t>
  </si>
  <si>
    <t> Instituto Superior de Formación Técnica (I.S.F.T.) N° 6012 Escuela Superior de Formación en Salud - Anexo Hospital HIGA Profesor Dr. Luis Guemes</t>
  </si>
  <si>
    <t>Instituto Superior de Formación Técnica (I.S.F.T.) N° 6012 Escuela Superior de Formación en Salud - Anexo Hospital ZGA Dr. Carlos Bocalandro</t>
  </si>
  <si>
    <t>Instituto Superior de Formación Docente y Técnica Nº 236</t>
  </si>
  <si>
    <t>Instituto de Educación Superior (I.E.S.) Andalgalá</t>
  </si>
  <si>
    <t>Instituto de Educación Superior (I.E.S.) Sebastián Alejandro Corpacci</t>
  </si>
  <si>
    <t>Instituto de Educación Superior (I.E.S.) Sebastián Alejandro Corpacci ANEXO</t>
  </si>
  <si>
    <t>Instituto Superior Técnico Industrial "Néstor C. Kirchner"</t>
  </si>
  <si>
    <t>Instituto Superior Dr. Ramón Carrillo</t>
  </si>
  <si>
    <t>Instituto Superior Dr. Ramón J. Carrillo -Anexo Río Primero</t>
  </si>
  <si>
    <t>Intituto Superior de Formacion Docente y Tecnica "Gustavo Martínez Zuviria"</t>
  </si>
  <si>
    <t>Escuela Normal Superior Dalmacio Vélez Sársfield - Anexo Pozo del Molle</t>
  </si>
  <si>
    <t>Escuela Superior de Enfermería Villa Dolores</t>
  </si>
  <si>
    <t>Instituto Superior Cruz Roja Argentina Filial Cordoba</t>
  </si>
  <si>
    <t>Escuela Superior de Enfermería Cruz Roja Argentina</t>
  </si>
  <si>
    <t>Instituto "S.E.P San Nicolás" (Sindicato de Empleados Públicos)</t>
  </si>
  <si>
    <t>Instituto Tecnologico Foro de los Ríos</t>
  </si>
  <si>
    <t>Instituto Superior Técnico "Anexo Dependiente de Inspecciòn- Malvinas Argentinas"</t>
  </si>
  <si>
    <t>Instituto de Educación Superior (I.E.S.) De Servicio Social Remedios Escalada de San Martín</t>
  </si>
  <si>
    <t>Centro Educativo Irupe</t>
  </si>
  <si>
    <t>Instituto de Educación Superior de Formación Docente Dr. J. Alfredo Ferreira</t>
  </si>
  <si>
    <t>Instituto de Educación Superior de Formación Docente Mercedes</t>
  </si>
  <si>
    <t>Instituto de Educación Superior de Formación Docente Profesor Agustín Gómez</t>
  </si>
  <si>
    <t>Instituto de Educación Superior (I.E.S.) Instituto de Formación y Capacitación Cruz Roja Argentina Filial Corrientes</t>
  </si>
  <si>
    <t>Instituto de Educación Superior de Formación Docente Juan García de Cossio</t>
  </si>
  <si>
    <t>Instituto de Educación Superior de Formación Docente María Luisa Román de Frechou</t>
  </si>
  <si>
    <t> Instituto de Educación Superior de Formación Docente Santa Lucía</t>
  </si>
  <si>
    <t>Instituto de Educación Superior (I. E. S.) N° 1453 Escuela Superior de Salud Pública - Anexo Presidencia R. S. Peña</t>
  </si>
  <si>
    <t>Instituto de Educación Superior (I. E. S.) N° 1453 Escuela Superior de Salud Pública - Anexo Charata</t>
  </si>
  <si>
    <t>Instituto de Educación Superior (I. E. S.) N° 1453 Escuela Superior de Salud Pública - Anexo Nueva Pompeya</t>
  </si>
  <si>
    <t>Instituto de Educación Superior (I. E. S.) N° 1453 Escuela Superior de Salud Pública - Anexo Puerto Bermejo</t>
  </si>
  <si>
    <t>Instituto de Educación Superior P. O Bottegal</t>
  </si>
  <si>
    <t>Instituto de Educación Superior de Formación Docente Localidad Villa Paranacito</t>
  </si>
  <si>
    <t>Escuela Secundaria y Superior N° 4 Dr. Julio Ossola</t>
  </si>
  <si>
    <t>Instituto de Educación Superior de Formación Docente María Inés Elizalde</t>
  </si>
  <si>
    <t>Instituto de Educación Superior Diamante</t>
  </si>
  <si>
    <t>Instituto de Educación Superior de Formación Docente N° 715 Profesor Rogelio Leites</t>
  </si>
  <si>
    <t>Escuela Normal Superior Victorino Viale</t>
  </si>
  <si>
    <t>Instituto de Educación Superior N° 80 Instituto Superior Cruz Roja Argentina Filial Concordia</t>
  </si>
  <si>
    <t>Instituto de Educación Superior N° 79 Cruz Roja - Gualeguay</t>
  </si>
  <si>
    <t>Instituto Superior en Ciencias de la Salud</t>
  </si>
  <si>
    <t>Instituto Superior San Gregorio</t>
  </si>
  <si>
    <t xml:space="preserve">Instituto de Educación Superior (I.E.S.) N° 9015 </t>
  </si>
  <si>
    <t>Instituto de Educación Superior (I.E.S.) N° 9015 Unidad académica  Guaymallén</t>
  </si>
  <si>
    <t>Instituto de Educación Superior (I.E.S.) N° 9-015  Unidad Académica Capital</t>
  </si>
  <si>
    <t>Instituto de Educación Superior (I.E.S.) N° 9-015 Unidad Académica Tunuyán</t>
  </si>
  <si>
    <t>Instituto de Educación Superior (I.E.S.) N° 9-015 Unidad Académica Maipú</t>
  </si>
  <si>
    <t>Instituto de Educación Superior (I.E.S.) N° 9-015 Unidad Académica Rivadavia</t>
  </si>
  <si>
    <t>Instituto de Educación Superior (I.E.S.) N° 9-015 Unidad Académica Luján de Cuyo</t>
  </si>
  <si>
    <t>Instituto de Educación Superior (I.E.S.) N° 9-015 Unidad Académica Santa Rosa</t>
  </si>
  <si>
    <t>Instituto de Educación Superior (I.E.S.) N° 71 Cruz Roja Argentina Filial San Rafael</t>
  </si>
  <si>
    <t>Instituto de Educación Superior (I.E.S.) N° 9-007 Dr. Salvador Calafat</t>
  </si>
  <si>
    <t>Instituto Privado Nº 172 Instituto de Docencia, Investigación y Capacitación Laboral de la Sanidad Anexo San Martin</t>
  </si>
  <si>
    <t>Instituto Privado Nº 172 Instituto de Docencia, Investigación y Capacitación Laboral de la Sanidad Anexo Lavalle</t>
  </si>
  <si>
    <t>Instituto Privado Nº 172 Instituto de Docencia, Investigación y Capacitación Laboral de la Sanidad Anexo Tupungato</t>
  </si>
  <si>
    <t>Instituto Privado Nº 172 Instituto de Docencia, Investigación y Capacitación Laboral de la Sanidad Anexo General Alvear</t>
  </si>
  <si>
    <t>Instituto Privado Nº 172 Instituto de Docencia, Investigación y Capacitación Laboral de la Sanidad Anexo Malargüe</t>
  </si>
  <si>
    <t>Instituto de Educación Superior (I.E.S.) N° 9026 Instituto de Educación Superior</t>
  </si>
  <si>
    <t>Instituto Politécnico Nº 1 Instituto Superior de ETP Misiones</t>
  </si>
  <si>
    <t>Instituto de Educación Superior (I.E.S.) N° 14 Cruz Roja Argentina Filial Plaza Huincul</t>
  </si>
  <si>
    <t xml:space="preserve"> Instituto Superior N° 8034 Cruz Roja Argentina Filial Salta</t>
  </si>
  <si>
    <t>Instituto de Educación Superior Particular Incorporada (I.S.P.I.) N° 9195 Cruz Roja Argentina</t>
  </si>
  <si>
    <t>Instituto de Educación Superior Particular Incorporada (I.S.P.I.) N° 9195 Cruz Roja Argentina - Anexo</t>
  </si>
  <si>
    <t>Colegio Superior N° 50 General José de San Martín</t>
  </si>
  <si>
    <t>Instituto de Educación Superior Particular Incorporada (I.S.P.I.) N° 9193 Cruz Roja Argentina - Filial Rosario</t>
  </si>
  <si>
    <t>Instituto de Educación Superior Particular Autorizado (I.S.P.A.) Nº 4086 De Especialización Profesional</t>
  </si>
  <si>
    <t>Escuela Superior de Enfermería Rosa Carmen All</t>
  </si>
  <si>
    <t>Escuela Superior de Enfermería Reconquista</t>
  </si>
  <si>
    <t>Escuela Superior de Enfermería Rafaela</t>
  </si>
  <si>
    <t>Escuela Superior de Enfermería San Jorge</t>
  </si>
  <si>
    <t>Escuela Superior de Enfermería Cañada de Gómez</t>
  </si>
  <si>
    <t>Escuela Superior de Enfermería</t>
  </si>
  <si>
    <t>Instituto de Educación Superior de Formación Docente N° 03- Anexo Forres</t>
  </si>
  <si>
    <t>Escuela Normal Superior General Manuel Belgrano</t>
  </si>
  <si>
    <t>Escuela Normal Superior República del Ecuador</t>
  </si>
  <si>
    <t>Instituto de Educación Superior de Formación Docente N° 01 ISFDC MJ Gottau</t>
  </si>
  <si>
    <t>Instituto de Educación Superior (I.E.S.) Dr. Antenor Álvarez -Cruz Roja Argentina</t>
  </si>
  <si>
    <t>Instituto de Educación Superior (I.E.S.) Instituto Superior Monseñor Jorge Gottau</t>
  </si>
  <si>
    <t>Instituto de Educación Superior (I.E.S.) Dr. Ramón Carrillo</t>
  </si>
  <si>
    <t>Centro Educativo de Nivel Terciario (C.E.N.T.) N° 74 Anexo Simoca</t>
  </si>
  <si>
    <t>Centro Educativo de Nivel Terciario (C.E.N.T.) N° 35 Prof. Julián J. Godoy</t>
  </si>
  <si>
    <t>La primer cohorte de la carrera se abrió en 2022</t>
  </si>
  <si>
    <t>Las Varillas</t>
  </si>
  <si>
    <t>Pbro. Tomás Luque 121</t>
  </si>
  <si>
    <t>3533-402945</t>
  </si>
  <si>
    <t>secretariasuperior.gmz@gmail.com</t>
  </si>
  <si>
    <t>Javier Gassino</t>
  </si>
  <si>
    <t>3533-685878</t>
  </si>
  <si>
    <t>gassinojavier.gmz@gmail.com</t>
  </si>
  <si>
    <t>Ramiro Fonceca</t>
  </si>
  <si>
    <t>3533-404587</t>
  </si>
  <si>
    <t>foncecaramiro.gmz@gmail.com</t>
  </si>
  <si>
    <t>La carrera Tecnicatura Superior de Enfermeria es por cohorte. La cohorte 2019, tuvo 12 egresados en diciembre de 2021.</t>
  </si>
  <si>
    <t>Belgrano 225</t>
  </si>
  <si>
    <t>353-4839620</t>
  </si>
  <si>
    <t>alejandra_cometto@hotmail.com</t>
  </si>
  <si>
    <t>Trucco, Liliana</t>
  </si>
  <si>
    <t>3533-580467</t>
  </si>
  <si>
    <t>truccoliliana1@gmail.com - dvslasvarillas2023@gmail.com</t>
  </si>
  <si>
    <t>Cometto, Alejandra Daniela</t>
  </si>
  <si>
    <t>353-4250336</t>
  </si>
  <si>
    <t xml:space="preserve">Sarmiento 1155- Planta Alta </t>
  </si>
  <si>
    <t>3549-426774</t>
  </si>
  <si>
    <t>inescapdevila@yahoo.com.ar</t>
  </si>
  <si>
    <t xml:space="preserve">Sonia Edith Maldonado </t>
  </si>
  <si>
    <t>3549-522034</t>
  </si>
  <si>
    <t>soniaemaldonado@yahoo.com.ar</t>
  </si>
  <si>
    <t>Ayelen Desiree Villagra Camacho</t>
  </si>
  <si>
    <t>3549-443387</t>
  </si>
  <si>
    <t>ayelenvillagra14@gmail.com</t>
  </si>
  <si>
    <t xml:space="preserve">No poseemos estudiantes en el 2do y 3ro año debido a que la carrera es a tèrmino y las segunda cohorte ha iniciado este año </t>
  </si>
  <si>
    <t>COORDINADORA</t>
  </si>
  <si>
    <t>Rector</t>
  </si>
  <si>
    <t>La cantidad de alumnos en 2° año corresponde tambien a la profesionalizacion en enfermeria que se dicta por cohorte</t>
  </si>
  <si>
    <t>La carrera se dicta por cohorte, por eso los ceros.</t>
  </si>
  <si>
    <t>Instituto de Educación Superior (I. E. S.) N° 1453 Escuela Superior de Salud Pública - Anexo Las Garcitas</t>
  </si>
  <si>
    <t>Instituto de Educación Superior (I. E. S.) N° 1453 Escuela Superior de Salud Pública - Anexo General Jose de San Martin</t>
  </si>
  <si>
    <t xml:space="preserve">Se ofrecen becas del 100%, 90% y 50% a un importante número de estudiantes. La cuota incluye seguro escolar, gabinete de simulación con materiales (maniquíes, insumos, EPP). El diseño incluye 1200 horas de prácticas y residencia en instituciones públicas y privadas provinciales y nacionales. </t>
  </si>
  <si>
    <t>Instituto Privado de Educación Superior N° 472 "Instituto Misionero de Estudios Superiores"</t>
  </si>
  <si>
    <t>La institución no cobra ningún tipo de cuota. La Tecnicatura en Enfermería se está dictando abierta a la comunidad en los Anexos de Eldorado y Puerto Iguazú, con modlaidad a término, por ello no todos los años se abre la inscripción a 1er año, sino una vez que haya terminado la cohorte</t>
  </si>
  <si>
    <t>Las cuotas sufren dos incrementos en el año. Cada incremento es de $ 2000. Estos incrementos ocurren en junio y septiembre.</t>
  </si>
  <si>
    <t>inicios del segundo cuatrimestre se reabriran las inscripciones para el corriente ciclo lectivo.</t>
  </si>
  <si>
    <t>La cantidad de docentes total, corresponde a los de 3° año, (unica seccion activa en el presente ciclo lectivo)</t>
  </si>
  <si>
    <t>Hasta este año la carrera ha sido a ciclo cerrado. Como autoridad de carrera hemos colocado el nombre del Director del Instituto. No tenemos asignado el cargo de Jefe de área.</t>
  </si>
  <si>
    <t>Tenemos 6 estudiantes con atraso académico, adeudan materias de 3er. Año. Son cohorte 2020.</t>
  </si>
  <si>
    <t>coordinadora</t>
  </si>
  <si>
    <t>Nuestro Instituto abre carreras a ciclo cerrado. Ese es el motivo por el cual no hay matriculados en 2º y 3º año. La cohorte anterior había ingresado en 2019, terminando de cursar en diciembre de 2021. Aún siguen recibiéndose algunos estudiantes de esa cohorte que debían finales.</t>
  </si>
  <si>
    <t>No se cobra arancel, por ser propietario de la Institucion Educativa el Municipio de Lomas de Zamora.</t>
  </si>
  <si>
    <t>Los estudiantes de la  carrera de Enfermería están cursando 2° año (2023)</t>
  </si>
  <si>
    <t>La directora de la institución se encuentra en uso de licencia hasta el 31/05/2023.</t>
  </si>
  <si>
    <t>Remedios de Escalada 855</t>
  </si>
  <si>
    <t>11-52949019</t>
  </si>
  <si>
    <t>estudiosparamedicos@hotmail.com</t>
  </si>
  <si>
    <t>Sebastián Caffera</t>
  </si>
  <si>
    <t>11-58865307</t>
  </si>
  <si>
    <t>scaffera@hotmail.com</t>
  </si>
  <si>
    <t>Griselda Patricia Sosa</t>
  </si>
  <si>
    <t>11-49469060</t>
  </si>
  <si>
    <t>grise_sosa@yahoo.com.ar</t>
  </si>
  <si>
    <t>Gral. Pinto</t>
  </si>
  <si>
    <t>Pellegrini 10</t>
  </si>
  <si>
    <t>isfd133pinto@abc.gob.ar</t>
  </si>
  <si>
    <t>Jorgelina Sierra</t>
  </si>
  <si>
    <t>2355-445772</t>
  </si>
  <si>
    <t>jsierra3@abc.gob.ar</t>
  </si>
  <si>
    <t>No hay</t>
  </si>
  <si>
    <t>-No hay</t>
  </si>
  <si>
    <t>SAN NICOLAS</t>
  </si>
  <si>
    <t>SARMIENTO 32</t>
  </si>
  <si>
    <t>336-4439222</t>
  </si>
  <si>
    <t>educa.snicolas@cruzroja.org.ar</t>
  </si>
  <si>
    <t>GIRALDI ULISES</t>
  </si>
  <si>
    <t>336-4541471</t>
  </si>
  <si>
    <t>s-nicolas@cruzroja.org.ar</t>
  </si>
  <si>
    <t>SIBERT CARLOS</t>
  </si>
  <si>
    <t>336-4587008</t>
  </si>
  <si>
    <t>casibert@hotmail.com</t>
  </si>
  <si>
    <t>La Tecnicatura Superior en Enfermeria Reso. 854/16 comenzo a dictarse en el año 2022, por lo tanto la primera tanda de egresados o que finalizarán cursada será en el próximo 2024,</t>
  </si>
  <si>
    <t>Horario de funcionamiento: 17:30 a 22:00 h, de lunes a viernes. Edificio compartido con la EP N° 2 y la EES N° 5. La primera cohorte finaliza cursadas en noviembre del 2023. Es la primera vez que se ofrece la carrera en la institución.</t>
  </si>
  <si>
    <t xml:space="preserve">Tenemos solicitud de mesa extraordinaria por última materia este miércoles 10 de mayo en donde se presentarán 6 estudiantes que están en condiciones de egresar. Aunque pertenecerían a la próxima cohorte. Este año ha habido baja matrícula en comparación a otros años. </t>
  </si>
  <si>
    <t>Los alumnos de nuestro Instituto (afiliados al SSP - 50%) pagan únicamente la matrícula. Los alumnos que no son afiliados pagan una matrícula y 10 (diez) cuotas al año.</t>
  </si>
  <si>
    <t>La carrera no cuenta con Jefe de Área (Autoridad de la carrera)</t>
  </si>
  <si>
    <t>La Carrera cuenta con dos 1°-2°-3° año (Secciones ByC) en turno mañana y un   1°-2°-3° (año Seccion A) en turno tarde.  A pesar de la cantidad de Estudiantes y de contar con los elementos de simulacion la Carrera se ve afectada de realizar de manera eficaz la Simulacion Clinica por carecer del espacio fisico correspondiente.</t>
  </si>
  <si>
    <t>Secretaria</t>
  </si>
  <si>
    <t>Barreira 50</t>
  </si>
  <si>
    <t>2261-442053</t>
  </si>
  <si>
    <t>is060165@gmail.com</t>
  </si>
  <si>
    <t>2262-534654</t>
  </si>
  <si>
    <t>barberiasilvina@gmail.com</t>
  </si>
  <si>
    <t>Maria Silvina Barberia</t>
  </si>
  <si>
    <t>San Nicolas de los Arroyos</t>
  </si>
  <si>
    <t xml:space="preserve">Rector </t>
  </si>
  <si>
    <t>Vicerrector</t>
  </si>
  <si>
    <t xml:space="preserve">El total de docentes de la carrera es la sumatoria entre el número de docentes de teória y docentes de prácticas. </t>
  </si>
  <si>
    <t>La sede de Campo Quijano funcionaba en rosario de Lerma por razones edilicias nos trasladamos a Campo Quijano estamos en la escuela Escuela Dody Araoz Costas de Jovanovics Usandivaras</t>
  </si>
  <si>
    <t>La carrera de enfermeria se encuentra en sus inicio, cuenta con una matricula de 95 alumnos entre los 2 cursos. Por medio de la Institución se firmó convenio entre los Ministerios de Salud y Educación de la Provincia, lo que posibilitó que se realice un convenio entre el Hospital y el IES, facilitando de esta manera la práctica de los alumnos en el espacio adecuado a tal fin. Asi tambien por medio de fondos de INET y propios la Institución esta abocada en fortalecer mediante la adquisición de recursos materiales los elementos indispensables par la carrera.</t>
  </si>
  <si>
    <t>Cohorte a termino, Inició 1er año en el 2022 y actualmente se encuentra dictando 2do año en 2023.</t>
  </si>
  <si>
    <t>Coordinadora de carrera</t>
  </si>
  <si>
    <t>.Sin Comentarios.Saludos Cordiales Mercedes</t>
  </si>
  <si>
    <t>Detalle de docentes de la carrera: (*)este total de docentes incluye, 10 docentes que realizan solo la práctica; 16 docentes que realizan teoría y práctica y realizan teoría sola un total de 17 docentes. Los datos incluyen tambien docentes, matriculados y egresados de la extensión  áulica UPCN (820442803). (**) El total corresponde a 134 alumnos de la escuela más 53 alumnos de la extensión áulica (Cabe aclarar que al ser una extensión áulica, la cohorte 2023 solamente es segundo año). (***)El total corresponde a 75 de la escuela  más 53 de la extensión áulica. Se aclara que al ser una carrera que permite el cursado de todas las materias como regulares y libres, muchos estudiantes estan matriculados en primer año y segundo o tercero ya que pueden anotarse a cursar materias de distintos años.</t>
  </si>
  <si>
    <t>La carrera se dicta por cohorte. Los docentes de Prácticas también tienen a su cargo el dictado de espacios curriculares teóricos.</t>
  </si>
  <si>
    <t>Los docentes destinados a las asignaturas Prácticas Profesionalizantes I, II y III poseen cargas horarias frente a los alumnos en otras asignaturas correspondientes a la currícula vigente.-</t>
  </si>
  <si>
    <t xml:space="preserve">Esta carrera se comenzó a implementar en junio 2021. Se iniciaron dos secciones A y B, de 70 estudiantes cada una. Actualmente hay una sección de 1º Año, una de 2º año y dos secciones de 3º Año. </t>
  </si>
  <si>
    <t>Docentes que dictan clases en primer año y en espacios de segundo se contabilizó como uno para el total de docentes de la carrera. Son exactamente 3 (tres). 1, 2 y 3 año de enfermería cuentan con tres divisiones.</t>
  </si>
  <si>
    <t xml:space="preserve">   ESTA CARRERA TERMINA LA PRIMERA COHORTE EN NOVIEMBRE 2023 POR ELLO AÚN NO TENEMOS EGRESADOS</t>
  </si>
  <si>
    <t>Instituto de Educación Superior N° 11 Tupac Amaru</t>
  </si>
  <si>
    <t xml:space="preserve">Actualmete se tiene dos segundos años cursando en forma simultanea, uno con inicio ciclo lectivo agosto 2022 y el otro inicio ciclo lectivo marzo 2023.En el presente año lectivo el 1° año no se habilito para el mes de marzo. </t>
  </si>
  <si>
    <t xml:space="preserve">La carrera se inicio en el año 2021.  </t>
  </si>
  <si>
    <t>Datos numericos entre docentes y alumnos teniendo en cuenta Sede Saujil  y Anexo Villa de Poman.</t>
  </si>
  <si>
    <t xml:space="preserve">La Paz </t>
  </si>
  <si>
    <t>Los egresdos 2022 son casi en totalidad estudiantes que comenzaron el cursado de la carrera en 2020 (pandemia mundial), quienes han podido egresar con intencificaciòn de sus practicas profesionalizantes, acompañamiento y seguimiento docente e institucional.</t>
  </si>
  <si>
    <t>Dos comisiones completas de 1º,2º y 3º</t>
  </si>
  <si>
    <t>En Primer año dos Divisiones</t>
  </si>
  <si>
    <t>Dos Divisiones completas en 1º,2º y 3º</t>
  </si>
  <si>
    <t>Instituto de Educación Superior (I.E.S.) N° 9015 Unidad Académica San Rafael</t>
  </si>
  <si>
    <t>Oferta Educativa cerrada - solo se informan egresados</t>
  </si>
  <si>
    <t>Dos Divisiones en primer año</t>
  </si>
  <si>
    <t>Av. Presidente Perón 28</t>
  </si>
  <si>
    <t>2395-451697</t>
  </si>
  <si>
    <t>isfdyt80carloscasars@abc.gob.ar</t>
  </si>
  <si>
    <t>Gabriela Verónica García</t>
  </si>
  <si>
    <t>2395-439443</t>
  </si>
  <si>
    <t>gabgarcia10@abc.gob.ar</t>
  </si>
  <si>
    <t>LOS  3 GRADUADOS CORRESPONDEN A LA COHORTE 2019</t>
  </si>
  <si>
    <t>2023 Se abre 1er año y se mantiene la práctica de 3ero</t>
  </si>
  <si>
    <t>No se realizaron aperturas durante el ciclo lectivo 2020, por lo tanto no hubieron egresos en el año 2022.</t>
  </si>
  <si>
    <t>Primero</t>
  </si>
  <si>
    <t>Segundo</t>
  </si>
  <si>
    <t>Tercero</t>
  </si>
  <si>
    <t>Egresados</t>
  </si>
  <si>
    <t xml:space="preserve">Total </t>
  </si>
  <si>
    <t>PPs</t>
  </si>
  <si>
    <t>Cuota</t>
  </si>
  <si>
    <t>Cant.</t>
  </si>
  <si>
    <t>Libertad 214</t>
  </si>
  <si>
    <t>343-4930334</t>
  </si>
  <si>
    <t>ies.bottegal.pn@entrerios.edu.ar</t>
  </si>
  <si>
    <t>Fabián R. Gomar</t>
  </si>
  <si>
    <t>343-4467811</t>
  </si>
  <si>
    <t>fabiangomar@yahoo.com.ar</t>
  </si>
  <si>
    <t>Adriana Faes</t>
  </si>
  <si>
    <t>343-5108114</t>
  </si>
  <si>
    <t>adrianafaes@hotmail.com</t>
  </si>
  <si>
    <t>No tenemos egresados porque la carrera se inicio en en Instituto en el año 2021, por lo que recien para este año tendremos nuestros primeros egresados dado que se encuentran cursando el ultimo año de la carrera.</t>
  </si>
  <si>
    <t>Primer año 100 estudiantes cursan a totalidad de los espacios curriculares. 11 estudiantes cursan solo algunos espacios.</t>
  </si>
  <si>
    <t>El Instituto no cuenta con el cargo de Coordinador/a de carrera. En los alumnos matriculados al 30 de abril de 2023 no se incluye a recursantes.</t>
  </si>
  <si>
    <t>Se abren 2 chohortes  por año: marzo y agosto. Valor de la cuota $17.500 (no me deja consignarlo en el casillero)</t>
  </si>
  <si>
    <t>Se abren dos cohortes por año (marzo/agosto). Secretaria de sede: Fernanda Pratti</t>
  </si>
  <si>
    <t>La secretaria Administrativa se llama Luz Darbesio.</t>
  </si>
  <si>
    <t xml:space="preserve">En agosto 2023 se abre nueva cohorte de la carrera. Secretaria Administrativa Silvina Mingo. </t>
  </si>
  <si>
    <t>Otro Nivel y/o Modalidad</t>
  </si>
  <si>
    <t>Actividades Extracurriculares contempla Gestión Emocional $ 2500, Lengua de señas $ 2500, horas de prácticas extracurriculares en el simulador con docente $ 4500 y Módulo de Emergencia $ 2000. No es obligatorio y lo hace el alumno que desee, el módulo que quiera.</t>
  </si>
  <si>
    <t xml:space="preserve">El total de docentes es 14, algnxs de ellxs , dictan clase en más de ,una asignatura, de acuerdo a los resultados de los concursos realizados y aprobados. </t>
  </si>
  <si>
    <t>Nuñez 581</t>
  </si>
  <si>
    <t>2342-</t>
  </si>
  <si>
    <t>isfdyt78bragado@abc.gob.ar</t>
  </si>
  <si>
    <t>Claudia Albertino</t>
  </si>
  <si>
    <t>2342-408174</t>
  </si>
  <si>
    <t>calbertino@abc.gob.ar</t>
  </si>
  <si>
    <t>Instituto Superior de Formación Docente (I.S.F.D.) Nº 348</t>
  </si>
  <si>
    <t>Las carreras que se dictan en el anexo son todas a ciclo cerrado, es por ello que no contamos con inscripciones a primer y segundo año. En cuanto a la autoridad de la carrera, es la regente, ya que no contamos con coordinador o director de carrera.</t>
  </si>
  <si>
    <t xml:space="preserve">Todas las carreras de nuestra institución son a ciclo cerrado, no obstante, la carrera de enfermería tiene continuidad en el tiempo ya que es una oferta que se renueva periódicamente. </t>
  </si>
  <si>
    <t>en el período solicitado egresaron 12 estudiantes.</t>
  </si>
  <si>
    <t>Alumnos con atraso académico: 
En 1° hay 1
En 2° hay 10
En 3° hay 5</t>
  </si>
  <si>
    <t>Av. Coriientes 3934</t>
  </si>
  <si>
    <t>apodesta@emae.edu.ar</t>
  </si>
  <si>
    <t>Agustin Podesta</t>
  </si>
  <si>
    <t>11-3572-2741</t>
  </si>
  <si>
    <t>Mario Fabian Castro</t>
  </si>
  <si>
    <t>Director de Estudios</t>
  </si>
  <si>
    <t>11-5150-0879</t>
  </si>
  <si>
    <t>mcastro@emae.edu.ar</t>
  </si>
  <si>
    <t>Esta Institucion cuenta con dos ingresos anuales</t>
  </si>
  <si>
    <t>Cnel. Ramon Falcón 4080</t>
  </si>
  <si>
    <t>4-636-1737</t>
  </si>
  <si>
    <t>escenfisr@yahoo.com.ar</t>
  </si>
  <si>
    <t>VENUTI, María del Carmen</t>
  </si>
  <si>
    <t>11-3210-9143</t>
  </si>
  <si>
    <t>mariavenu@yahoo.com.ar</t>
  </si>
  <si>
    <t xml:space="preserve">PAPASEIT, Mariela </t>
  </si>
  <si>
    <t>Directora de Estudios</t>
  </si>
  <si>
    <t>11-6502-6310</t>
  </si>
  <si>
    <t>marielapapaseit@gmail.com</t>
  </si>
  <si>
    <t>Detalle Cuota : Arancel Programático $ 9.876,00 - Arancel Extraprogra- mático $ 3.950,40 - Seguro $ 50,00 - Mantenimiento: $ 1.382,64 - Bonoficacion: $ 9,04</t>
  </si>
  <si>
    <t>La institución tiene matriculación en marzo y en agosto.</t>
  </si>
  <si>
    <t>El valor de la matricula era para ingresantes marzo 2023 y contiene el valor de la cuota 11. El valor de la cuota mensual siempre es igual o menor a la AUH de acuerdo a la lo que informa Anses. Varía con la variacion de la AUH.</t>
  </si>
  <si>
    <t>Los 7 docentes de la practica tambien estan incluidos en los 19 docentes de la carrera, pues dan materias teoricas. Se consignan 2 cargos suplentes // El comienzo de la carrera fue en 2021, en diciembre de este año 2023, contaremos con egresados de la primer cohorte.</t>
  </si>
  <si>
    <t xml:space="preserve">Se detalla a continuación distribución de personal docente, a saber: Del total de los 19 docentes, 5 son docentes exclusivamente de campo práctico, siendo los otros 8 docentes que además de realizar campo práctico tienen asignadas asignaturas teóricas en contraturno.                       Como dato adjunto: nuestro instituto cuenta con dos ingresos anuales en los meses de Marzo y Agosto.    </t>
  </si>
  <si>
    <t>Bernardo de Irigoyen 4951</t>
  </si>
  <si>
    <t>223-4893459</t>
  </si>
  <si>
    <t>isetmardelplata@gmail.com</t>
  </si>
  <si>
    <t>Laura Estela Giarrocco</t>
  </si>
  <si>
    <t>223-6689498</t>
  </si>
  <si>
    <t>lgiarrocco@gmail.com</t>
  </si>
  <si>
    <t>Centro Educativo de Nivel Terciario (C.E.N.T.) N° 11 "Ciudad de Ushuaia"</t>
  </si>
  <si>
    <t>No se cobra cuota mensual por actividad extracurricular.</t>
  </si>
  <si>
    <t>San Martin 887</t>
  </si>
  <si>
    <t>3574-401702-401702</t>
  </si>
  <si>
    <t>ramoncarrilloanexostarosa@yahoo.com.ar</t>
  </si>
  <si>
    <t>Adriana Beatriz Fraga</t>
  </si>
  <si>
    <t>3574--401702</t>
  </si>
  <si>
    <t>fragaadry0@hotmail.com</t>
  </si>
  <si>
    <t>SAN FRANCISCO</t>
  </si>
  <si>
    <t>BV. ROQUE SAENZ PEÑA 1151</t>
  </si>
  <si>
    <t>3564-424556</t>
  </si>
  <si>
    <t>fastanivelsuperior@gmail.com</t>
  </si>
  <si>
    <t>CARLOS FERNANDEZ</t>
  </si>
  <si>
    <t>3564-571563</t>
  </si>
  <si>
    <t>NATALIA BENITEZ</t>
  </si>
  <si>
    <t>-3564507151</t>
  </si>
  <si>
    <t>natalia_benitez_28@hotmail.com</t>
  </si>
  <si>
    <t>diez</t>
  </si>
  <si>
    <t>se recibieron un total de 29 alunmos  hasta el 30 de Abril 2023</t>
  </si>
  <si>
    <t>Profesora a cargo de la tecnicatura de Enfermería del Anexo Malvinas Argentinas: Prof. Vanesa Sartori</t>
  </si>
  <si>
    <t>Coordinadora de la tecnicatura de Enfermería del Anexo Juarez Celman: Lic. Claudia Rodriguez Jimenez</t>
  </si>
  <si>
    <t>Coordinador de la tecnicatura de Enfermería del Anexo Bº LaFrance: Mgter. Agustín Zamar</t>
  </si>
  <si>
    <t>Coordinadora de la tecnicatura de Enfermería del Anexo Bº Villa el Libertador: Lic. Norma Ramos</t>
  </si>
  <si>
    <t>Villa Santa Rosa de Rio Primero</t>
  </si>
  <si>
    <t>JUAN B. AMBROSETTI 601</t>
  </si>
  <si>
    <t>11-4982-3198</t>
  </si>
  <si>
    <t>dfts_ifts90_de7@bue.edu.ar</t>
  </si>
  <si>
    <t>SILVANA KARINA MOREIRA</t>
  </si>
  <si>
    <t>11-35767624</t>
  </si>
  <si>
    <t>silvanak.moreira@bue.edu.ar</t>
  </si>
  <si>
    <t>BARROS PAZOS 5250</t>
  </si>
  <si>
    <t>Instituto de Educación Superior Dr.Guillermo Cleland Paterson</t>
  </si>
  <si>
    <t>Coordinadora de Carrera</t>
  </si>
  <si>
    <t>La Carrera prof. de enfermería tiene gran aceptación en la población estudiantil que comienzan con entusiasmo sus actividades, peron en las sañldas de campo (CIC, salas, centros y Hospitales) los alumnos se enfrentan a las actividades de la profesión en observ., talleres, relev. de datos y chocan emocionalmente con situaciones donde ven su tarea  y por no estar  preparados o maduros para enfrenrarlas se produce el degranamiento de la  1era división.</t>
  </si>
  <si>
    <t>San Martín N° 448</t>
  </si>
  <si>
    <t>3756-439073</t>
  </si>
  <si>
    <t>centroeducativoirupe@hotmail.com/
1801216-00@privada.mec.gob.ar</t>
  </si>
  <si>
    <t>Mgter. Dora Oviedo de Godec</t>
  </si>
  <si>
    <t>3756-446041</t>
  </si>
  <si>
    <t>doragodec@gmail.com</t>
  </si>
  <si>
    <t>Lic. Ana Luján Ayala</t>
  </si>
  <si>
    <t>3756--535605</t>
  </si>
  <si>
    <t>analujana@yahoo.com</t>
  </si>
  <si>
    <t>•El año lectivo del Centro Educativo "Irupé" comienza en el mes de agosto.•Durante los meses de mayo a julio, se realiza el Curso Introductorio.
•El total de ingresantes (hasta la fecha) año 2023:  60 alumnos.</t>
  </si>
  <si>
    <t>VICTORIA</t>
  </si>
  <si>
    <t>AVENIDA CONGRESO 726</t>
  </si>
  <si>
    <t>3436-422878</t>
  </si>
  <si>
    <t>institutogasparbenavento@hotmail.com</t>
  </si>
  <si>
    <t>Kraft, Juan Manuel</t>
  </si>
  <si>
    <t>3436-430706</t>
  </si>
  <si>
    <t>kraftjuanmanuel@gmail.com</t>
  </si>
  <si>
    <t xml:space="preserve">Ramirez, Norma Beatriz </t>
  </si>
  <si>
    <t>3436-404881</t>
  </si>
  <si>
    <t>normaramy@gmail.com</t>
  </si>
  <si>
    <t xml:space="preserve"> </t>
  </si>
  <si>
    <t>2 Ingresos</t>
  </si>
  <si>
    <t>x</t>
  </si>
  <si>
    <t>CORRIENTES CAPITAL</t>
  </si>
  <si>
    <t>IRIGOYEN 2145</t>
  </si>
  <si>
    <t>379-4801972</t>
  </si>
  <si>
    <t>kastillocesar@hotmail.com</t>
  </si>
  <si>
    <t>CASTILLO CESAR DANIEL</t>
  </si>
  <si>
    <t>SAUCEDO MARTA</t>
  </si>
  <si>
    <t>379-4677043</t>
  </si>
  <si>
    <t>sauce2@hotmail.com</t>
  </si>
  <si>
    <t>Instituto de Educación Superior (I.E.S.) Nº 32 Belén</t>
  </si>
  <si>
    <t>La Tecnicatura Superior en Enfermería es una carrera nueva en nuestra institución, dio inicio este año 2023. La misma es dictada en la Sede de la Institución (Ciudad de Belén) y en en dos extensiones (Hualfín y Londres).</t>
  </si>
  <si>
    <t>Instituto de Educación Superior (I.E.S.) Sebastián Alejandro Corpacci  EXTENSION AULICA MIRAFLORES</t>
  </si>
  <si>
    <t>Instituto de Educación Superior (I.E.S.) Recreo</t>
  </si>
  <si>
    <t>Recreo</t>
  </si>
  <si>
    <t>Raul Sabagh 431</t>
  </si>
  <si>
    <t>iesrecreo@catamarca.edu.ar</t>
  </si>
  <si>
    <t xml:space="preserve">Walter Omar Soria </t>
  </si>
  <si>
    <t>3832-439532</t>
  </si>
  <si>
    <t>walterosoria0408@hotmail.com</t>
  </si>
  <si>
    <t>Rojas Lorena</t>
  </si>
  <si>
    <t>3854-444555</t>
  </si>
  <si>
    <t>Centro Educativo de Nivel Terciario (C.E.N.T.) N° 74 Anexo Lules</t>
  </si>
  <si>
    <t>Centro Educativo de Nivel Terciario (C.E.N.T.) N° 74 Anexo Tafi Viejo</t>
  </si>
  <si>
    <t>Institución Superior de Formación Docente y Técnica N° 210</t>
  </si>
  <si>
    <t xml:space="preserve">  Carrera de reciente creación, sólo tiene 1er año en el presente ciclo lectivo. </t>
  </si>
  <si>
    <t>Instituto Superior de Formación Docente (I.S.F.D.) Nº 1 Anexo Abra Pampa</t>
  </si>
  <si>
    <t>Abra Pampa</t>
  </si>
  <si>
    <t>Av. Juan Domingo Perón S/N</t>
  </si>
  <si>
    <t>3885-36832</t>
  </si>
  <si>
    <t>institutodeeducacionsuperior1@gmail.com</t>
  </si>
  <si>
    <t>TOLABA, MARIO FIDEL</t>
  </si>
  <si>
    <t>3885-470379</t>
  </si>
  <si>
    <t>mariotolabaf@gmail.com</t>
  </si>
  <si>
    <t>SIMON  CARRILLO</t>
  </si>
  <si>
    <t>simonca_jujuy@hotmail.com</t>
  </si>
  <si>
    <t>La carrera de enfermería se implementa a partir de 2023 en reconversión de la Tecnicatura en Agente Sanitario. Segundo y tercer año se implementarán en en 2024 y 2025 respectivamente. Resol. N° 3586-ES/22</t>
  </si>
  <si>
    <t>Cochinoca</t>
  </si>
  <si>
    <t>Instituto Nº 4010 Superior de Ciencias Comerciales - Anexo Gobernador Crespo</t>
  </si>
  <si>
    <t>Carrera iniciada en 2022</t>
  </si>
  <si>
    <t>4861-1899</t>
  </si>
  <si>
    <t>20017500</t>
  </si>
  <si>
    <t>20024000</t>
  </si>
  <si>
    <t>20036600</t>
  </si>
  <si>
    <t>20036601</t>
  </si>
  <si>
    <t>60008000</t>
  </si>
  <si>
    <t>60011700</t>
  </si>
  <si>
    <t>60021000</t>
  </si>
  <si>
    <t>60021900</t>
  </si>
  <si>
    <t>60128300</t>
  </si>
  <si>
    <t>60167400</t>
  </si>
  <si>
    <t>60233900</t>
  </si>
  <si>
    <t>100011800</t>
  </si>
  <si>
    <t>140253504</t>
  </si>
  <si>
    <t>140261700</t>
  </si>
  <si>
    <t>140278801</t>
  </si>
  <si>
    <t>140312400</t>
  </si>
  <si>
    <t>140319700</t>
  </si>
  <si>
    <t>140319900</t>
  </si>
  <si>
    <t>140322200</t>
  </si>
  <si>
    <t>180041100</t>
  </si>
  <si>
    <t>180121600</t>
  </si>
  <si>
    <t>300029300</t>
  </si>
  <si>
    <t>300078400</t>
  </si>
  <si>
    <t>300306900</t>
  </si>
  <si>
    <t>380052001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</si>
</sst>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C0A]General"/>
  </numFmts>
  <fonts count="18" x14ac:knownFonts="1">
    <font>
      <sz val="11"/>
      <color theme="1"/>
      <name val="Calibri"/>
      <family val="2"/>
      <scheme val="minor"/>
    </font>
    <font>
      <sz val="11"/>
      <color rgb="FF000000"/>
      <name val="Calibri"/>
      <family val="2"/>
    </font>
    <font>
      <sz val="12"/>
      <color theme="1"/>
      <name val="Calibri"/>
      <family val="2"/>
      <scheme val="minor"/>
    </font>
    <font>
      <sz val="11"/>
      <color rgb="FF000000"/>
      <name val="Calibri"/>
      <family val="2"/>
    </font>
    <font>
      <b/>
      <sz val="9"/>
      <color indexed="81"/>
      <name val="Tahoma"/>
      <family val="2"/>
    </font>
    <font>
      <sz val="9"/>
      <color indexed="81"/>
      <name val="Tahoma"/>
      <family val="2"/>
    </font>
    <font>
      <u/>
      <sz val="11"/>
      <color theme="10"/>
      <name val="Calibri"/>
      <family val="2"/>
      <scheme val="minor"/>
    </font>
    <font>
      <sz val="12"/>
      <name val="Calibri"/>
      <family val="2"/>
    </font>
    <font>
      <sz val="14"/>
      <color theme="1"/>
      <name val="Calibri"/>
      <family val="2"/>
      <scheme val="minor"/>
    </font>
    <font>
      <b/>
      <sz val="14"/>
      <color theme="1"/>
      <name val="Calibri"/>
      <family val="2"/>
      <scheme val="minor"/>
    </font>
    <font>
      <sz val="12"/>
      <name val="Calibri"/>
      <family val="2"/>
      <scheme val="minor"/>
    </font>
    <font>
      <u/>
      <sz val="12"/>
      <color theme="10"/>
      <name val="Calibri"/>
      <family val="2"/>
      <scheme val="minor"/>
    </font>
    <font>
      <sz val="12"/>
      <color rgb="FFFF0000"/>
      <name val="Calibri"/>
      <family val="2"/>
      <scheme val="minor"/>
    </font>
    <font>
      <sz val="12"/>
      <color indexed="8"/>
      <name val="Calibri"/>
      <family val="2"/>
      <scheme val="minor"/>
    </font>
    <font>
      <sz val="12"/>
      <color rgb="FF000000"/>
      <name val="Calibri"/>
      <family val="2"/>
      <scheme val="minor"/>
    </font>
    <font>
      <b/>
      <sz val="14"/>
      <name val="Calibri"/>
      <family val="2"/>
      <scheme val="minor"/>
    </font>
    <font>
      <b/>
      <sz val="14"/>
      <color rgb="FF000000"/>
      <name val="Calibri"/>
      <family val="2"/>
      <scheme val="minor"/>
    </font>
    <font>
      <b/>
      <i/>
      <sz val="14"/>
      <color rgb="FFFF0000"/>
      <name val="Calibri"/>
      <family val="2"/>
      <scheme val="minor"/>
    </font>
  </fonts>
  <fills count="5">
    <fill>
      <patternFill patternType="none"/>
    </fill>
    <fill>
      <patternFill patternType="gray125"/>
    </fill>
    <fill>
      <patternFill patternType="solid">
        <fgColor rgb="FFD8D8D8"/>
        <bgColor rgb="FFD8D8D8"/>
      </patternFill>
    </fill>
    <fill>
      <patternFill patternType="solid">
        <fgColor theme="0" tint="-0.14999847407452621"/>
        <bgColor indexed="64"/>
      </patternFill>
    </fill>
    <fill>
      <patternFill patternType="solid">
        <fgColor rgb="FFFFFFFF"/>
        <bgColor rgb="FFFFFFFF"/>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5">
    <xf numFmtId="0" fontId="0" fillId="0" borderId="0"/>
    <xf numFmtId="0" fontId="3" fillId="0" borderId="0"/>
    <xf numFmtId="9" fontId="1" fillId="0" borderId="0" applyFont="0" applyFill="0" applyBorder="0" applyAlignment="0" applyProtection="0"/>
    <xf numFmtId="0" fontId="6" fillId="0" borderId="0" applyNumberFormat="0" applyFill="0" applyBorder="0" applyAlignment="0" applyProtection="0"/>
    <xf numFmtId="0" fontId="1" fillId="0" borderId="0"/>
  </cellStyleXfs>
  <cellXfs count="41">
    <xf numFmtId="0" fontId="0" fillId="0" borderId="0" xfId="0"/>
    <xf numFmtId="0" fontId="2" fillId="0" borderId="0" xfId="0" applyFont="1" applyAlignment="1">
      <alignment vertical="center" wrapText="1"/>
    </xf>
    <xf numFmtId="0" fontId="2" fillId="0" borderId="0" xfId="0" applyFont="1" applyAlignment="1" applyProtection="1">
      <alignment vertical="top" wrapText="1"/>
      <protection locked="0"/>
    </xf>
    <xf numFmtId="0" fontId="0" fillId="0" borderId="0" xfId="0" applyAlignment="1">
      <alignment wrapText="1"/>
    </xf>
    <xf numFmtId="0" fontId="0" fillId="0" borderId="0" xfId="0" applyAlignment="1">
      <alignment vertical="center"/>
    </xf>
    <xf numFmtId="0" fontId="2" fillId="0" borderId="0" xfId="0" applyFont="1" applyAlignment="1">
      <alignment horizontal="center" vertical="center" wrapText="1"/>
    </xf>
    <xf numFmtId="0" fontId="9" fillId="3" borderId="0" xfId="0" applyFont="1" applyFill="1" applyAlignment="1">
      <alignment horizontal="center" vertical="center" wrapText="1"/>
    </xf>
    <xf numFmtId="0" fontId="2" fillId="0" borderId="0" xfId="0" applyFont="1" applyAlignment="1">
      <alignment horizontal="center" vertical="center"/>
    </xf>
    <xf numFmtId="3" fontId="2" fillId="0" borderId="0" xfId="0" applyNumberFormat="1" applyFont="1" applyAlignment="1">
      <alignment horizontal="center" vertical="center"/>
    </xf>
    <xf numFmtId="4" fontId="2" fillId="0" borderId="0" xfId="0" applyNumberFormat="1" applyFont="1" applyAlignment="1">
      <alignment horizontal="center" vertical="center"/>
    </xf>
    <xf numFmtId="49" fontId="2" fillId="0" borderId="0" xfId="0" applyNumberFormat="1" applyFont="1" applyAlignment="1">
      <alignment horizontal="center" vertical="center"/>
    </xf>
    <xf numFmtId="0" fontId="10" fillId="0" borderId="0" xfId="0" applyFont="1" applyAlignment="1">
      <alignment horizontal="center" vertical="center" wrapText="1"/>
    </xf>
    <xf numFmtId="49" fontId="7" fillId="0" borderId="0" xfId="0" applyNumberFormat="1" applyFont="1" applyAlignment="1">
      <alignment horizontal="center" vertical="center" wrapText="1"/>
    </xf>
    <xf numFmtId="49" fontId="7" fillId="0" borderId="0" xfId="0" applyNumberFormat="1" applyFont="1" applyAlignment="1">
      <alignment horizontal="center" vertical="center"/>
    </xf>
    <xf numFmtId="49" fontId="2" fillId="0" borderId="0" xfId="0" applyNumberFormat="1" applyFont="1" applyAlignment="1">
      <alignment vertical="center"/>
    </xf>
    <xf numFmtId="0" fontId="2" fillId="0" borderId="0" xfId="0" applyFont="1" applyAlignment="1">
      <alignment vertical="center"/>
    </xf>
    <xf numFmtId="49" fontId="2" fillId="0" borderId="0" xfId="0" applyNumberFormat="1" applyFont="1" applyAlignment="1">
      <alignment vertical="center" wrapText="1"/>
    </xf>
    <xf numFmtId="49" fontId="2" fillId="0" borderId="0" xfId="0" applyNumberFormat="1" applyFont="1"/>
    <xf numFmtId="0" fontId="2" fillId="0" borderId="0" xfId="0" applyFont="1"/>
    <xf numFmtId="1" fontId="10" fillId="0" borderId="0" xfId="0" applyNumberFormat="1" applyFont="1" applyAlignment="1">
      <alignment vertical="center" wrapText="1"/>
    </xf>
    <xf numFmtId="0" fontId="11" fillId="0" borderId="0" xfId="3" applyFont="1" applyAlignment="1">
      <alignment vertical="center" wrapText="1"/>
    </xf>
    <xf numFmtId="0" fontId="12" fillId="0" borderId="0" xfId="0" applyFont="1" applyAlignment="1">
      <alignment vertical="center" wrapText="1"/>
    </xf>
    <xf numFmtId="1" fontId="2" fillId="0" borderId="0" xfId="0" applyNumberFormat="1" applyFont="1" applyAlignment="1">
      <alignment vertical="center" wrapText="1"/>
    </xf>
    <xf numFmtId="0" fontId="2" fillId="0" borderId="0" xfId="0" applyFont="1" applyAlignment="1" applyProtection="1">
      <alignment horizontal="center" vertical="center" wrapText="1"/>
      <protection locked="0"/>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pplyProtection="1">
      <alignment horizontal="center" vertical="center" wrapText="1"/>
      <protection locked="0"/>
    </xf>
    <xf numFmtId="0" fontId="13" fillId="0" borderId="0" xfId="0" applyFont="1" applyAlignment="1">
      <alignment horizontal="center" vertical="center" wrapText="1"/>
    </xf>
    <xf numFmtId="0" fontId="13" fillId="0" borderId="0" xfId="0" applyFont="1" applyAlignment="1" applyProtection="1">
      <alignment horizontal="center" vertical="center" wrapText="1"/>
      <protection locked="0"/>
    </xf>
    <xf numFmtId="0" fontId="14" fillId="0" borderId="0" xfId="0" applyFont="1" applyAlignment="1">
      <alignment horizontal="center" vertical="center" wrapText="1"/>
    </xf>
    <xf numFmtId="0" fontId="14" fillId="0" borderId="0" xfId="0" applyFont="1" applyAlignment="1" applyProtection="1">
      <alignment horizontal="center" vertical="center" wrapText="1"/>
      <protection locked="0"/>
    </xf>
    <xf numFmtId="164" fontId="14" fillId="0" borderId="0" xfId="0" applyNumberFormat="1" applyFont="1" applyAlignment="1">
      <alignment horizontal="center" vertical="center" wrapText="1"/>
    </xf>
    <xf numFmtId="0" fontId="14" fillId="4" borderId="0" xfId="0" applyFont="1" applyFill="1" applyAlignment="1">
      <alignment horizontal="center" vertical="center" wrapText="1"/>
    </xf>
    <xf numFmtId="1" fontId="15" fillId="2" borderId="1" xfId="0" applyNumberFormat="1" applyFont="1" applyFill="1" applyBorder="1" applyAlignment="1">
      <alignment horizontal="center" vertical="center" wrapText="1"/>
    </xf>
    <xf numFmtId="49" fontId="16" fillId="2" borderId="1" xfId="0" applyNumberFormat="1" applyFont="1" applyFill="1" applyBorder="1" applyAlignment="1">
      <alignment horizontal="center" vertical="center" wrapText="1"/>
    </xf>
    <xf numFmtId="0" fontId="17"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7" fillId="0" borderId="0" xfId="0" applyFont="1" applyAlignment="1">
      <alignment horizontal="center" vertical="center" wrapText="1"/>
    </xf>
    <xf numFmtId="0" fontId="9" fillId="0" borderId="0" xfId="0" applyFont="1" applyAlignment="1">
      <alignment vertical="center"/>
    </xf>
    <xf numFmtId="0" fontId="8" fillId="0" borderId="0" xfId="0" applyFont="1" applyAlignment="1">
      <alignment horizontal="center" wrapText="1"/>
    </xf>
    <xf numFmtId="0" fontId="9" fillId="0" borderId="0" xfId="0" applyFont="1"/>
  </cellXfs>
  <cellStyles count="5">
    <cellStyle name="Hipervínculo" xfId="3" builtinId="8"/>
    <cellStyle name="Normal" xfId="0" builtinId="0"/>
    <cellStyle name="Normal 2" xfId="1" xr:uid="{00000000-0005-0000-0000-000002000000}"/>
    <cellStyle name="Normal 2 2" xfId="4" xr:uid="{00000000-0005-0000-0000-000003000000}"/>
    <cellStyle name="Porcentaje 2" xfId="2" xr:uid="{00000000-0005-0000-0000-000004000000}"/>
  </cellStyles>
  <dxfs count="1">
    <dxf>
      <font>
        <b/>
        <i val="0"/>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Nestor Cristian Gonzalez Opelt" id="{22537AE5-66A0-4452-9700-7B99D4A5E81B}" userId="S::cristian.opelt@educacion.gob.ar::7ff6a8b6-2740-4bd6-a75f-fe75ae79e5db"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5" dT="2023-11-03T13:39:34.82" personId="{22537AE5-66A0-4452-9700-7B99D4A5E81B}" id="{08695CBA-56DA-4A2F-BAC8-E48791A402FE}" done="1">
    <text xml:space="preserve">Datos corregidos 031123 por mail de Eventurini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U385"/>
  <sheetViews>
    <sheetView tabSelected="1" workbookViewId="0">
      <selection activeCell="G6" sqref="G6"/>
    </sheetView>
  </sheetViews>
  <sheetFormatPr baseColWidth="10" defaultRowHeight="45" customHeight="1" x14ac:dyDescent="0.25"/>
  <cols>
    <col min="1" max="1" width="11.28515625" style="19" bestFit="1" customWidth="1"/>
    <col min="2" max="2" width="99.5703125" style="1" bestFit="1" customWidth="1"/>
    <col min="3" max="3" width="19.85546875" style="1" bestFit="1" customWidth="1"/>
    <col min="4" max="4" width="25.7109375" style="1" bestFit="1" customWidth="1"/>
    <col min="5" max="5" width="30.5703125" style="1" bestFit="1" customWidth="1"/>
    <col min="6" max="6" width="9.140625" style="1" bestFit="1" customWidth="1"/>
    <col min="7" max="7" width="16.140625" style="1" bestFit="1" customWidth="1"/>
    <col min="8" max="8" width="24.7109375" style="1" bestFit="1" customWidth="1"/>
    <col min="9" max="9" width="29.42578125" style="1" bestFit="1" customWidth="1"/>
    <col min="10" max="10" width="20.85546875" style="1" bestFit="1" customWidth="1"/>
    <col min="11" max="11" width="68.28515625" style="1" bestFit="1" customWidth="1"/>
    <col min="12" max="12" width="29.42578125" style="1" bestFit="1" customWidth="1"/>
    <col min="13" max="13" width="23.42578125" style="1" bestFit="1" customWidth="1"/>
    <col min="14" max="14" width="16.7109375" style="1" bestFit="1" customWidth="1"/>
    <col min="15" max="15" width="56.85546875" style="1" bestFit="1" customWidth="1"/>
    <col min="16" max="16" width="32.42578125" style="1" bestFit="1" customWidth="1"/>
    <col min="17" max="17" width="24" style="1" bestFit="1" customWidth="1"/>
    <col min="18" max="18" width="16.7109375" style="1" bestFit="1" customWidth="1"/>
    <col min="19" max="19" width="36" style="1" bestFit="1" customWidth="1"/>
    <col min="20" max="20" width="14.85546875" style="1" bestFit="1" customWidth="1"/>
    <col min="21" max="21" width="16.140625" style="1" bestFit="1" customWidth="1"/>
    <col min="22" max="16384" width="11.42578125" style="4"/>
  </cols>
  <sheetData>
    <row r="1" spans="1:21" s="38" customFormat="1" ht="45" customHeight="1" x14ac:dyDescent="0.25">
      <c r="A1" s="33" t="s">
        <v>0</v>
      </c>
      <c r="B1" s="34" t="s">
        <v>1</v>
      </c>
      <c r="C1" s="35" t="s">
        <v>16</v>
      </c>
      <c r="D1" s="35" t="s">
        <v>2</v>
      </c>
      <c r="E1" s="36" t="s">
        <v>3</v>
      </c>
      <c r="F1" s="36" t="s">
        <v>12</v>
      </c>
      <c r="G1" s="36" t="s">
        <v>4</v>
      </c>
      <c r="H1" s="35" t="s">
        <v>5</v>
      </c>
      <c r="I1" s="36" t="s">
        <v>6</v>
      </c>
      <c r="J1" s="34" t="s">
        <v>7</v>
      </c>
      <c r="K1" s="36" t="s">
        <v>8</v>
      </c>
      <c r="L1" s="36" t="s">
        <v>9</v>
      </c>
      <c r="M1" s="36" t="s">
        <v>13</v>
      </c>
      <c r="N1" s="36" t="s">
        <v>152</v>
      </c>
      <c r="O1" s="36" t="s">
        <v>151</v>
      </c>
      <c r="P1" s="36" t="s">
        <v>10</v>
      </c>
      <c r="Q1" s="36" t="s">
        <v>13</v>
      </c>
      <c r="R1" s="36" t="s">
        <v>150</v>
      </c>
      <c r="S1" s="36" t="s">
        <v>149</v>
      </c>
      <c r="T1" s="35" t="s">
        <v>141</v>
      </c>
      <c r="U1" s="37" t="s">
        <v>148</v>
      </c>
    </row>
    <row r="2" spans="1:21" customFormat="1" ht="15.75" x14ac:dyDescent="0.25">
      <c r="A2" s="14" t="s">
        <v>665</v>
      </c>
      <c r="B2" s="1" t="s">
        <v>254</v>
      </c>
      <c r="C2" s="15" t="s">
        <v>24</v>
      </c>
      <c r="D2" s="15" t="s">
        <v>24</v>
      </c>
      <c r="E2" s="15" t="s">
        <v>24</v>
      </c>
      <c r="F2" s="15">
        <v>1194</v>
      </c>
      <c r="G2" s="15" t="s">
        <v>22</v>
      </c>
      <c r="H2" s="15" t="s">
        <v>20</v>
      </c>
      <c r="I2" s="15" t="s">
        <v>539</v>
      </c>
      <c r="J2" s="15" t="s">
        <v>664</v>
      </c>
      <c r="K2" s="15" t="s">
        <v>540</v>
      </c>
      <c r="L2" s="15" t="s">
        <v>541</v>
      </c>
      <c r="M2" s="15" t="s">
        <v>407</v>
      </c>
      <c r="N2" s="15" t="s">
        <v>542</v>
      </c>
      <c r="O2" s="15" t="s">
        <v>540</v>
      </c>
      <c r="P2" s="15" t="s">
        <v>543</v>
      </c>
      <c r="Q2" s="15" t="s">
        <v>544</v>
      </c>
      <c r="R2" s="15" t="s">
        <v>545</v>
      </c>
      <c r="S2" s="15" t="s">
        <v>546</v>
      </c>
      <c r="T2" s="15">
        <v>2018</v>
      </c>
      <c r="U2" s="15"/>
    </row>
    <row r="3" spans="1:21" customFormat="1" ht="15.75" x14ac:dyDescent="0.25">
      <c r="A3" s="14" t="s">
        <v>666</v>
      </c>
      <c r="B3" s="1" t="s">
        <v>29</v>
      </c>
      <c r="C3" s="15" t="s">
        <v>24</v>
      </c>
      <c r="D3" s="15" t="s">
        <v>24</v>
      </c>
      <c r="E3" s="15" t="s">
        <v>24</v>
      </c>
      <c r="F3" s="15">
        <v>1407</v>
      </c>
      <c r="G3" s="15" t="s">
        <v>22</v>
      </c>
      <c r="H3" s="15" t="s">
        <v>20</v>
      </c>
      <c r="I3" s="15" t="s">
        <v>548</v>
      </c>
      <c r="J3" s="15" t="s">
        <v>549</v>
      </c>
      <c r="K3" s="15" t="s">
        <v>550</v>
      </c>
      <c r="L3" s="15" t="s">
        <v>551</v>
      </c>
      <c r="M3" s="15" t="s">
        <v>251</v>
      </c>
      <c r="N3" s="15" t="s">
        <v>552</v>
      </c>
      <c r="O3" s="15" t="s">
        <v>553</v>
      </c>
      <c r="P3" s="15" t="s">
        <v>554</v>
      </c>
      <c r="Q3" s="15" t="s">
        <v>555</v>
      </c>
      <c r="R3" s="15" t="s">
        <v>556</v>
      </c>
      <c r="S3" s="15" t="s">
        <v>557</v>
      </c>
      <c r="T3" s="15">
        <v>2019</v>
      </c>
      <c r="U3" s="15"/>
    </row>
    <row r="4" spans="1:21" customFormat="1" ht="15.75" x14ac:dyDescent="0.25">
      <c r="A4" s="14" t="s">
        <v>667</v>
      </c>
      <c r="B4" s="1" t="s">
        <v>255</v>
      </c>
      <c r="C4" s="15" t="s">
        <v>24</v>
      </c>
      <c r="D4" s="15" t="s">
        <v>24</v>
      </c>
      <c r="E4" s="15" t="s">
        <v>24</v>
      </c>
      <c r="F4" s="15">
        <v>1405</v>
      </c>
      <c r="G4" s="15" t="s">
        <v>19</v>
      </c>
      <c r="H4" s="15" t="s">
        <v>20</v>
      </c>
      <c r="I4" s="15" t="s">
        <v>593</v>
      </c>
      <c r="J4" s="15" t="s">
        <v>594</v>
      </c>
      <c r="K4" s="15" t="s">
        <v>595</v>
      </c>
      <c r="L4" s="15" t="s">
        <v>596</v>
      </c>
      <c r="M4" s="15" t="s">
        <v>243</v>
      </c>
      <c r="N4" s="15" t="s">
        <v>597</v>
      </c>
      <c r="O4" s="15" t="s">
        <v>598</v>
      </c>
      <c r="P4" s="15" t="s">
        <v>596</v>
      </c>
      <c r="Q4" s="15" t="s">
        <v>243</v>
      </c>
      <c r="R4" s="15" t="s">
        <v>597</v>
      </c>
      <c r="S4" s="15" t="s">
        <v>598</v>
      </c>
      <c r="T4" s="15">
        <v>2016</v>
      </c>
      <c r="U4" s="15"/>
    </row>
    <row r="5" spans="1:21" customFormat="1" ht="15.75" x14ac:dyDescent="0.25">
      <c r="A5" s="14" t="s">
        <v>668</v>
      </c>
      <c r="B5" s="1" t="s">
        <v>256</v>
      </c>
      <c r="C5" s="15" t="s">
        <v>24</v>
      </c>
      <c r="D5" s="15" t="s">
        <v>24</v>
      </c>
      <c r="E5" s="15" t="s">
        <v>24</v>
      </c>
      <c r="F5" s="15">
        <v>1439</v>
      </c>
      <c r="G5" s="15" t="s">
        <v>19</v>
      </c>
      <c r="H5" s="15" t="s">
        <v>20</v>
      </c>
      <c r="I5" s="15" t="s">
        <v>599</v>
      </c>
      <c r="J5" s="15" t="s">
        <v>28</v>
      </c>
      <c r="K5" s="15" t="s">
        <v>595</v>
      </c>
      <c r="L5" s="15" t="s">
        <v>596</v>
      </c>
      <c r="M5" s="15" t="s">
        <v>243</v>
      </c>
      <c r="N5" s="15" t="s">
        <v>597</v>
      </c>
      <c r="O5" s="15" t="s">
        <v>598</v>
      </c>
      <c r="P5" s="15" t="s">
        <v>596</v>
      </c>
      <c r="Q5" s="15" t="s">
        <v>243</v>
      </c>
      <c r="R5" s="15" t="s">
        <v>597</v>
      </c>
      <c r="S5" s="15" t="s">
        <v>598</v>
      </c>
      <c r="T5" s="15">
        <v>2016</v>
      </c>
      <c r="U5" s="15"/>
    </row>
    <row r="6" spans="1:21" ht="30" customHeight="1" x14ac:dyDescent="0.25">
      <c r="A6" s="16" t="s">
        <v>669</v>
      </c>
      <c r="B6" s="1" t="s">
        <v>204</v>
      </c>
      <c r="C6" s="1" t="s">
        <v>23</v>
      </c>
      <c r="D6" s="1" t="s">
        <v>205</v>
      </c>
      <c r="E6" s="1" t="s">
        <v>205</v>
      </c>
      <c r="F6" s="1">
        <v>7635</v>
      </c>
      <c r="G6" s="1" t="s">
        <v>19</v>
      </c>
      <c r="H6" s="1" t="s">
        <v>525</v>
      </c>
      <c r="I6" s="1" t="s">
        <v>459</v>
      </c>
      <c r="J6" s="1" t="s">
        <v>460</v>
      </c>
      <c r="K6" s="1" t="s">
        <v>461</v>
      </c>
      <c r="L6" s="1" t="s">
        <v>33</v>
      </c>
      <c r="M6" s="1" t="s">
        <v>33</v>
      </c>
      <c r="N6" s="1" t="s">
        <v>462</v>
      </c>
      <c r="O6" s="1" t="s">
        <v>463</v>
      </c>
      <c r="P6" s="1" t="s">
        <v>464</v>
      </c>
      <c r="Q6" s="1" t="s">
        <v>33</v>
      </c>
      <c r="R6" s="1" t="s">
        <v>462</v>
      </c>
      <c r="S6" s="1" t="s">
        <v>463</v>
      </c>
      <c r="T6" s="15">
        <v>2022</v>
      </c>
    </row>
    <row r="7" spans="1:21" ht="30" customHeight="1" x14ac:dyDescent="0.25">
      <c r="A7" s="16" t="s">
        <v>670</v>
      </c>
      <c r="B7" s="1" t="s">
        <v>52</v>
      </c>
      <c r="C7" s="1" t="s">
        <v>23</v>
      </c>
      <c r="D7" s="1" t="s">
        <v>53</v>
      </c>
      <c r="E7" s="1" t="s">
        <v>53</v>
      </c>
      <c r="F7" s="1">
        <v>1686</v>
      </c>
      <c r="G7" s="1" t="s">
        <v>22</v>
      </c>
      <c r="H7" s="1" t="s">
        <v>20</v>
      </c>
      <c r="I7" s="1" t="s">
        <v>425</v>
      </c>
      <c r="J7" s="1" t="s">
        <v>426</v>
      </c>
      <c r="K7" s="1" t="s">
        <v>427</v>
      </c>
      <c r="L7" s="1" t="s">
        <v>428</v>
      </c>
      <c r="M7" s="1" t="s">
        <v>154</v>
      </c>
      <c r="N7" s="1" t="s">
        <v>429</v>
      </c>
      <c r="O7" s="1" t="s">
        <v>430</v>
      </c>
      <c r="P7" s="1" t="s">
        <v>431</v>
      </c>
      <c r="Q7" s="1" t="s">
        <v>153</v>
      </c>
      <c r="R7" s="1" t="s">
        <v>432</v>
      </c>
      <c r="S7" s="1" t="s">
        <v>433</v>
      </c>
      <c r="T7" s="15">
        <v>2019</v>
      </c>
    </row>
    <row r="8" spans="1:21" ht="30" customHeight="1" x14ac:dyDescent="0.25">
      <c r="A8" s="14" t="s">
        <v>671</v>
      </c>
      <c r="B8" s="1" t="s">
        <v>206</v>
      </c>
      <c r="C8" s="15" t="s">
        <v>23</v>
      </c>
      <c r="D8" s="15" t="s">
        <v>87</v>
      </c>
      <c r="E8" s="15" t="s">
        <v>88</v>
      </c>
      <c r="F8" s="15">
        <v>7600</v>
      </c>
      <c r="G8" s="15" t="s">
        <v>22</v>
      </c>
      <c r="H8" s="15" t="s">
        <v>20</v>
      </c>
      <c r="I8" s="15" t="s">
        <v>563</v>
      </c>
      <c r="J8" s="15" t="s">
        <v>564</v>
      </c>
      <c r="K8" s="15" t="s">
        <v>565</v>
      </c>
      <c r="L8" s="15" t="s">
        <v>566</v>
      </c>
      <c r="M8" s="15" t="s">
        <v>33</v>
      </c>
      <c r="N8" s="15" t="s">
        <v>567</v>
      </c>
      <c r="O8" s="15" t="s">
        <v>568</v>
      </c>
      <c r="P8" s="15">
        <v>0</v>
      </c>
      <c r="Q8" s="15">
        <v>0</v>
      </c>
      <c r="R8" s="15" t="s">
        <v>28</v>
      </c>
      <c r="S8" s="15">
        <v>0</v>
      </c>
      <c r="T8" s="15">
        <v>2022</v>
      </c>
      <c r="U8" s="15"/>
    </row>
    <row r="9" spans="1:21" ht="30" customHeight="1" x14ac:dyDescent="0.25">
      <c r="A9" s="16" t="s">
        <v>672</v>
      </c>
      <c r="B9" s="1" t="s">
        <v>264</v>
      </c>
      <c r="C9" s="1" t="s">
        <v>23</v>
      </c>
      <c r="D9" s="1" t="s">
        <v>54</v>
      </c>
      <c r="E9" s="1" t="s">
        <v>434</v>
      </c>
      <c r="F9" s="1">
        <v>6050</v>
      </c>
      <c r="G9" s="1" t="s">
        <v>19</v>
      </c>
      <c r="H9" s="1" t="s">
        <v>525</v>
      </c>
      <c r="I9" s="1" t="s">
        <v>435</v>
      </c>
      <c r="J9" s="1" t="s">
        <v>28</v>
      </c>
      <c r="K9" s="1" t="s">
        <v>436</v>
      </c>
      <c r="L9" s="1" t="s">
        <v>437</v>
      </c>
      <c r="M9" s="1" t="s">
        <v>33</v>
      </c>
      <c r="N9" s="1" t="s">
        <v>438</v>
      </c>
      <c r="O9" s="1" t="s">
        <v>439</v>
      </c>
      <c r="P9" s="1" t="s">
        <v>440</v>
      </c>
      <c r="Q9" s="1" t="s">
        <v>440</v>
      </c>
      <c r="R9" s="1" t="s">
        <v>441</v>
      </c>
      <c r="S9" s="1" t="s">
        <v>440</v>
      </c>
      <c r="T9" s="15">
        <v>2016</v>
      </c>
    </row>
    <row r="10" spans="1:21" ht="30" customHeight="1" x14ac:dyDescent="0.25">
      <c r="A10" s="14" t="s">
        <v>673</v>
      </c>
      <c r="B10" s="1" t="s">
        <v>265</v>
      </c>
      <c r="C10" s="15" t="s">
        <v>23</v>
      </c>
      <c r="D10" s="15" t="s">
        <v>56</v>
      </c>
      <c r="E10" s="15" t="s">
        <v>56</v>
      </c>
      <c r="F10" s="15">
        <v>6640</v>
      </c>
      <c r="G10" s="15" t="s">
        <v>19</v>
      </c>
      <c r="H10" s="15" t="s">
        <v>525</v>
      </c>
      <c r="I10" s="15" t="s">
        <v>528</v>
      </c>
      <c r="J10" s="15" t="s">
        <v>529</v>
      </c>
      <c r="K10" s="15" t="s">
        <v>530</v>
      </c>
      <c r="L10" s="15" t="s">
        <v>531</v>
      </c>
      <c r="M10" s="15" t="s">
        <v>33</v>
      </c>
      <c r="N10" s="15" t="s">
        <v>532</v>
      </c>
      <c r="O10" s="15" t="s">
        <v>533</v>
      </c>
      <c r="P10" s="15" t="s">
        <v>531</v>
      </c>
      <c r="Q10" s="15" t="s">
        <v>33</v>
      </c>
      <c r="R10" s="15" t="s">
        <v>532</v>
      </c>
      <c r="S10" s="15" t="s">
        <v>533</v>
      </c>
      <c r="T10" s="15">
        <v>2017</v>
      </c>
      <c r="U10" s="15"/>
    </row>
    <row r="11" spans="1:21" ht="30" customHeight="1" x14ac:dyDescent="0.25">
      <c r="A11" s="16" t="s">
        <v>674</v>
      </c>
      <c r="B11" s="1" t="s">
        <v>266</v>
      </c>
      <c r="C11" s="1" t="s">
        <v>23</v>
      </c>
      <c r="D11" s="1" t="s">
        <v>465</v>
      </c>
      <c r="E11" s="1" t="s">
        <v>442</v>
      </c>
      <c r="F11" s="1">
        <v>2900</v>
      </c>
      <c r="G11" s="1" t="s">
        <v>22</v>
      </c>
      <c r="H11" s="1" t="s">
        <v>20</v>
      </c>
      <c r="I11" s="1" t="s">
        <v>443</v>
      </c>
      <c r="J11" s="1" t="s">
        <v>444</v>
      </c>
      <c r="K11" s="1" t="s">
        <v>445</v>
      </c>
      <c r="L11" s="1" t="s">
        <v>446</v>
      </c>
      <c r="M11" s="1" t="s">
        <v>236</v>
      </c>
      <c r="N11" s="1" t="s">
        <v>447</v>
      </c>
      <c r="O11" s="1" t="s">
        <v>448</v>
      </c>
      <c r="P11" s="1" t="s">
        <v>449</v>
      </c>
      <c r="Q11" s="1" t="s">
        <v>17</v>
      </c>
      <c r="R11" s="1" t="s">
        <v>450</v>
      </c>
      <c r="S11" s="1" t="s">
        <v>451</v>
      </c>
      <c r="T11" s="15">
        <v>2016</v>
      </c>
    </row>
    <row r="12" spans="1:21" ht="30" customHeight="1" x14ac:dyDescent="0.25">
      <c r="A12" s="16" t="s">
        <v>675</v>
      </c>
      <c r="B12" s="1" t="s">
        <v>267</v>
      </c>
      <c r="C12" s="1" t="s">
        <v>23</v>
      </c>
      <c r="D12" s="1" t="s">
        <v>57</v>
      </c>
      <c r="E12" s="1" t="s">
        <v>57</v>
      </c>
      <c r="F12" s="1">
        <v>6530</v>
      </c>
      <c r="G12" s="1" t="s">
        <v>19</v>
      </c>
      <c r="H12" s="1" t="s">
        <v>525</v>
      </c>
      <c r="I12" s="1" t="s">
        <v>492</v>
      </c>
      <c r="J12" s="1" t="s">
        <v>493</v>
      </c>
      <c r="K12" s="1" t="s">
        <v>494</v>
      </c>
      <c r="L12" s="1" t="s">
        <v>495</v>
      </c>
      <c r="M12" s="1" t="s">
        <v>33</v>
      </c>
      <c r="N12" s="1" t="s">
        <v>496</v>
      </c>
      <c r="O12" s="1" t="s">
        <v>497</v>
      </c>
      <c r="P12" s="1">
        <v>0</v>
      </c>
      <c r="Q12" s="1">
        <v>0</v>
      </c>
      <c r="R12" s="1" t="s">
        <v>28</v>
      </c>
      <c r="S12" s="1">
        <v>0</v>
      </c>
      <c r="T12" s="15">
        <v>2016</v>
      </c>
    </row>
    <row r="13" spans="1:21" ht="30" customHeight="1" x14ac:dyDescent="0.25">
      <c r="A13" s="17" t="s">
        <v>676</v>
      </c>
      <c r="B13" s="18" t="s">
        <v>637</v>
      </c>
      <c r="C13" s="18" t="s">
        <v>25</v>
      </c>
      <c r="D13" s="18" t="s">
        <v>484</v>
      </c>
      <c r="E13" s="18" t="s">
        <v>638</v>
      </c>
      <c r="F13" s="18">
        <v>5260</v>
      </c>
      <c r="G13" s="18" t="s">
        <v>19</v>
      </c>
      <c r="H13" s="18" t="s">
        <v>20</v>
      </c>
      <c r="I13" s="18" t="s">
        <v>639</v>
      </c>
      <c r="J13" s="18" t="s">
        <v>28</v>
      </c>
      <c r="K13" s="18" t="s">
        <v>640</v>
      </c>
      <c r="L13" s="18" t="s">
        <v>641</v>
      </c>
      <c r="M13" s="18" t="s">
        <v>466</v>
      </c>
      <c r="N13" s="18" t="s">
        <v>642</v>
      </c>
      <c r="O13" s="18" t="s">
        <v>643</v>
      </c>
      <c r="P13" s="18" t="s">
        <v>644</v>
      </c>
      <c r="Q13" s="18" t="s">
        <v>420</v>
      </c>
      <c r="R13" s="18" t="s">
        <v>645</v>
      </c>
      <c r="S13" s="18">
        <v>0</v>
      </c>
      <c r="T13" s="18">
        <v>2023</v>
      </c>
      <c r="U13" s="18"/>
    </row>
    <row r="14" spans="1:21" ht="30" customHeight="1" x14ac:dyDescent="0.25">
      <c r="A14" s="14" t="s">
        <v>677</v>
      </c>
      <c r="B14" s="1" t="s">
        <v>304</v>
      </c>
      <c r="C14" s="1" t="s">
        <v>21</v>
      </c>
      <c r="D14" s="15" t="s">
        <v>99</v>
      </c>
      <c r="E14" s="15" t="s">
        <v>592</v>
      </c>
      <c r="F14" s="15">
        <v>5133</v>
      </c>
      <c r="G14" s="1" t="s">
        <v>19</v>
      </c>
      <c r="H14" s="1" t="s">
        <v>20</v>
      </c>
      <c r="I14" s="15" t="s">
        <v>571</v>
      </c>
      <c r="J14" s="15" t="s">
        <v>572</v>
      </c>
      <c r="K14" s="15" t="s">
        <v>573</v>
      </c>
      <c r="L14" s="15" t="s">
        <v>574</v>
      </c>
      <c r="M14" s="15" t="s">
        <v>458</v>
      </c>
      <c r="N14" s="15" t="s">
        <v>575</v>
      </c>
      <c r="O14" s="15" t="s">
        <v>576</v>
      </c>
      <c r="P14" s="15">
        <v>0</v>
      </c>
      <c r="Q14" s="15">
        <v>0</v>
      </c>
      <c r="R14" s="15" t="s">
        <v>28</v>
      </c>
      <c r="S14" s="15">
        <v>0</v>
      </c>
      <c r="T14" s="15">
        <v>2016</v>
      </c>
      <c r="U14" s="15"/>
    </row>
    <row r="15" spans="1:21" ht="30" customHeight="1" x14ac:dyDescent="0.25">
      <c r="A15" s="16" t="s">
        <v>678</v>
      </c>
      <c r="B15" s="1" t="s">
        <v>305</v>
      </c>
      <c r="C15" s="1" t="s">
        <v>21</v>
      </c>
      <c r="D15" s="1" t="s">
        <v>103</v>
      </c>
      <c r="E15" s="1" t="s">
        <v>377</v>
      </c>
      <c r="F15" s="1">
        <v>5940</v>
      </c>
      <c r="G15" s="1" t="s">
        <v>22</v>
      </c>
      <c r="H15" s="1" t="s">
        <v>525</v>
      </c>
      <c r="I15" s="1" t="s">
        <v>378</v>
      </c>
      <c r="J15" s="1" t="s">
        <v>379</v>
      </c>
      <c r="K15" s="1" t="s">
        <v>380</v>
      </c>
      <c r="L15" s="1" t="s">
        <v>381</v>
      </c>
      <c r="M15" s="1" t="s">
        <v>154</v>
      </c>
      <c r="N15" s="1" t="s">
        <v>382</v>
      </c>
      <c r="O15" s="1" t="s">
        <v>383</v>
      </c>
      <c r="P15" s="1" t="s">
        <v>384</v>
      </c>
      <c r="Q15" s="1" t="s">
        <v>247</v>
      </c>
      <c r="R15" s="1" t="s">
        <v>385</v>
      </c>
      <c r="S15" s="1" t="s">
        <v>386</v>
      </c>
      <c r="T15" s="15">
        <v>2023</v>
      </c>
    </row>
    <row r="16" spans="1:21" ht="30" customHeight="1" x14ac:dyDescent="0.25">
      <c r="A16" s="16" t="s">
        <v>679</v>
      </c>
      <c r="B16" s="1" t="s">
        <v>306</v>
      </c>
      <c r="C16" s="1" t="s">
        <v>21</v>
      </c>
      <c r="D16" s="1" t="s">
        <v>100</v>
      </c>
      <c r="E16" s="1" t="s">
        <v>101</v>
      </c>
      <c r="F16" s="1">
        <v>5913</v>
      </c>
      <c r="G16" s="1" t="s">
        <v>19</v>
      </c>
      <c r="H16" s="1" t="s">
        <v>525</v>
      </c>
      <c r="I16" s="1" t="s">
        <v>388</v>
      </c>
      <c r="J16" s="1" t="s">
        <v>389</v>
      </c>
      <c r="K16" s="1" t="s">
        <v>390</v>
      </c>
      <c r="L16" s="1" t="s">
        <v>391</v>
      </c>
      <c r="M16" s="1" t="s">
        <v>33</v>
      </c>
      <c r="N16" s="1" t="s">
        <v>392</v>
      </c>
      <c r="O16" s="1" t="s">
        <v>393</v>
      </c>
      <c r="P16" s="1" t="s">
        <v>394</v>
      </c>
      <c r="Q16" s="1" t="s">
        <v>153</v>
      </c>
      <c r="R16" s="1" t="s">
        <v>395</v>
      </c>
      <c r="S16" s="1" t="s">
        <v>390</v>
      </c>
      <c r="T16" s="15">
        <v>2016</v>
      </c>
    </row>
    <row r="17" spans="1:21" ht="30" customHeight="1" x14ac:dyDescent="0.25">
      <c r="A17" s="16" t="s">
        <v>680</v>
      </c>
      <c r="B17" s="1" t="s">
        <v>171</v>
      </c>
      <c r="C17" s="1" t="s">
        <v>21</v>
      </c>
      <c r="D17" s="1" t="s">
        <v>146</v>
      </c>
      <c r="E17" s="1" t="s">
        <v>201</v>
      </c>
      <c r="F17" s="1">
        <v>2677</v>
      </c>
      <c r="G17" s="1" t="s">
        <v>19</v>
      </c>
      <c r="H17" s="1" t="s">
        <v>525</v>
      </c>
      <c r="I17" s="1" t="s">
        <v>207</v>
      </c>
      <c r="J17" s="1" t="s">
        <v>208</v>
      </c>
      <c r="K17" s="1" t="s">
        <v>209</v>
      </c>
      <c r="L17" s="1" t="s">
        <v>210</v>
      </c>
      <c r="M17" s="1" t="s">
        <v>17</v>
      </c>
      <c r="N17" s="1" t="s">
        <v>211</v>
      </c>
      <c r="O17" s="1" t="s">
        <v>212</v>
      </c>
      <c r="P17" s="1" t="s">
        <v>213</v>
      </c>
      <c r="Q17" s="1" t="s">
        <v>214</v>
      </c>
      <c r="R17" s="1" t="s">
        <v>215</v>
      </c>
      <c r="S17" s="1" t="s">
        <v>216</v>
      </c>
      <c r="T17" s="15">
        <v>2021</v>
      </c>
    </row>
    <row r="18" spans="1:21" ht="30" customHeight="1" x14ac:dyDescent="0.25">
      <c r="A18" s="14" t="s">
        <v>681</v>
      </c>
      <c r="B18" s="1" t="s">
        <v>172</v>
      </c>
      <c r="C18" s="1" t="s">
        <v>21</v>
      </c>
      <c r="D18" s="15" t="s">
        <v>103</v>
      </c>
      <c r="E18" s="15" t="s">
        <v>577</v>
      </c>
      <c r="F18" s="15">
        <v>2400</v>
      </c>
      <c r="G18" s="1" t="s">
        <v>22</v>
      </c>
      <c r="H18" s="1" t="s">
        <v>525</v>
      </c>
      <c r="I18" s="15" t="s">
        <v>578</v>
      </c>
      <c r="J18" s="15" t="s">
        <v>579</v>
      </c>
      <c r="K18" s="15" t="s">
        <v>580</v>
      </c>
      <c r="L18" s="15" t="s">
        <v>581</v>
      </c>
      <c r="M18" s="15" t="s">
        <v>236</v>
      </c>
      <c r="N18" s="15" t="s">
        <v>582</v>
      </c>
      <c r="O18" s="15" t="s">
        <v>580</v>
      </c>
      <c r="P18" s="15" t="s">
        <v>583</v>
      </c>
      <c r="Q18" s="15" t="s">
        <v>406</v>
      </c>
      <c r="R18" s="15" t="s">
        <v>584</v>
      </c>
      <c r="S18" s="15" t="s">
        <v>585</v>
      </c>
      <c r="T18" s="15">
        <v>2022</v>
      </c>
      <c r="U18" s="15"/>
    </row>
    <row r="19" spans="1:21" ht="30" customHeight="1" x14ac:dyDescent="0.25">
      <c r="A19" s="16" t="s">
        <v>682</v>
      </c>
      <c r="B19" s="1" t="s">
        <v>32</v>
      </c>
      <c r="C19" s="1" t="s">
        <v>21</v>
      </c>
      <c r="D19" s="1" t="s">
        <v>45</v>
      </c>
      <c r="E19" s="1" t="s">
        <v>45</v>
      </c>
      <c r="F19" s="1">
        <v>5280</v>
      </c>
      <c r="G19" s="1" t="s">
        <v>19</v>
      </c>
      <c r="H19" s="1" t="s">
        <v>525</v>
      </c>
      <c r="I19" s="1" t="s">
        <v>396</v>
      </c>
      <c r="J19" s="1" t="s">
        <v>397</v>
      </c>
      <c r="K19" s="1" t="s">
        <v>398</v>
      </c>
      <c r="L19" s="1" t="s">
        <v>399</v>
      </c>
      <c r="M19" s="1" t="s">
        <v>33</v>
      </c>
      <c r="N19" s="1" t="s">
        <v>400</v>
      </c>
      <c r="O19" s="1" t="s">
        <v>401</v>
      </c>
      <c r="P19" s="1" t="s">
        <v>402</v>
      </c>
      <c r="Q19" s="1" t="s">
        <v>153</v>
      </c>
      <c r="R19" s="1" t="s">
        <v>403</v>
      </c>
      <c r="S19" s="1" t="s">
        <v>404</v>
      </c>
      <c r="T19" s="15">
        <v>2021</v>
      </c>
    </row>
    <row r="20" spans="1:21" ht="30" customHeight="1" x14ac:dyDescent="0.25">
      <c r="A20" s="16" t="s">
        <v>683</v>
      </c>
      <c r="B20" s="1" t="s">
        <v>102</v>
      </c>
      <c r="C20" s="1" t="s">
        <v>21</v>
      </c>
      <c r="D20" s="1" t="s">
        <v>103</v>
      </c>
      <c r="E20" s="1" t="s">
        <v>198</v>
      </c>
      <c r="F20" s="1">
        <v>2419</v>
      </c>
      <c r="G20" s="1" t="s">
        <v>22</v>
      </c>
      <c r="H20" s="1" t="s">
        <v>525</v>
      </c>
      <c r="I20" s="1" t="s">
        <v>217</v>
      </c>
      <c r="J20" s="1" t="s">
        <v>218</v>
      </c>
      <c r="K20" s="1" t="s">
        <v>219</v>
      </c>
      <c r="L20" s="1" t="s">
        <v>220</v>
      </c>
      <c r="M20" s="1" t="s">
        <v>154</v>
      </c>
      <c r="N20" s="1" t="s">
        <v>221</v>
      </c>
      <c r="O20" s="1" t="s">
        <v>222</v>
      </c>
      <c r="P20" s="1" t="s">
        <v>223</v>
      </c>
      <c r="Q20" s="1" t="s">
        <v>224</v>
      </c>
      <c r="R20" s="1" t="s">
        <v>225</v>
      </c>
      <c r="S20" s="1" t="s">
        <v>226</v>
      </c>
      <c r="T20" s="15">
        <v>2021</v>
      </c>
    </row>
    <row r="21" spans="1:21" ht="30" customHeight="1" x14ac:dyDescent="0.25">
      <c r="A21" s="14" t="s">
        <v>684</v>
      </c>
      <c r="B21" s="1" t="s">
        <v>313</v>
      </c>
      <c r="C21" s="15" t="s">
        <v>18</v>
      </c>
      <c r="D21" s="15" t="s">
        <v>30</v>
      </c>
      <c r="E21" s="15" t="s">
        <v>626</v>
      </c>
      <c r="F21" s="15">
        <v>3400</v>
      </c>
      <c r="G21" s="15" t="s">
        <v>19</v>
      </c>
      <c r="H21" s="15" t="s">
        <v>19</v>
      </c>
      <c r="I21" s="15" t="s">
        <v>627</v>
      </c>
      <c r="J21" s="15" t="s">
        <v>628</v>
      </c>
      <c r="K21" s="15" t="s">
        <v>629</v>
      </c>
      <c r="L21" s="15" t="s">
        <v>630</v>
      </c>
      <c r="M21" s="15" t="s">
        <v>240</v>
      </c>
      <c r="N21" s="15" t="s">
        <v>628</v>
      </c>
      <c r="O21" s="15" t="s">
        <v>629</v>
      </c>
      <c r="P21" s="15" t="s">
        <v>631</v>
      </c>
      <c r="Q21" s="15" t="s">
        <v>406</v>
      </c>
      <c r="R21" s="15" t="s">
        <v>632</v>
      </c>
      <c r="S21" s="15" t="s">
        <v>633</v>
      </c>
      <c r="T21" s="15">
        <v>2017</v>
      </c>
      <c r="U21" s="15"/>
    </row>
    <row r="22" spans="1:21" ht="30" customHeight="1" x14ac:dyDescent="0.25">
      <c r="A22" s="14" t="s">
        <v>685</v>
      </c>
      <c r="B22" s="1" t="s">
        <v>314</v>
      </c>
      <c r="C22" s="15" t="s">
        <v>18</v>
      </c>
      <c r="D22" s="15" t="s">
        <v>108</v>
      </c>
      <c r="E22" s="15" t="s">
        <v>108</v>
      </c>
      <c r="F22" s="15">
        <v>3340</v>
      </c>
      <c r="G22" s="15" t="s">
        <v>22</v>
      </c>
      <c r="H22" s="15" t="s">
        <v>20</v>
      </c>
      <c r="I22" s="15" t="s">
        <v>603</v>
      </c>
      <c r="J22" s="15" t="s">
        <v>604</v>
      </c>
      <c r="K22" s="15" t="s">
        <v>605</v>
      </c>
      <c r="L22" s="15" t="s">
        <v>606</v>
      </c>
      <c r="M22" s="15" t="s">
        <v>228</v>
      </c>
      <c r="N22" s="15" t="s">
        <v>607</v>
      </c>
      <c r="O22" s="15" t="s">
        <v>608</v>
      </c>
      <c r="P22" s="15" t="s">
        <v>609</v>
      </c>
      <c r="Q22" s="15" t="s">
        <v>601</v>
      </c>
      <c r="R22" s="15" t="s">
        <v>610</v>
      </c>
      <c r="S22" s="15" t="s">
        <v>611</v>
      </c>
      <c r="T22" s="15">
        <v>2018</v>
      </c>
      <c r="U22" s="15"/>
    </row>
    <row r="23" spans="1:21" ht="30" customHeight="1" x14ac:dyDescent="0.25">
      <c r="A23" s="16" t="s">
        <v>686</v>
      </c>
      <c r="B23" s="1" t="s">
        <v>230</v>
      </c>
      <c r="C23" s="1" t="s">
        <v>26</v>
      </c>
      <c r="D23" s="1" t="s">
        <v>113</v>
      </c>
      <c r="E23" s="1" t="s">
        <v>231</v>
      </c>
      <c r="F23" s="1">
        <v>3100</v>
      </c>
      <c r="G23" s="1" t="s">
        <v>22</v>
      </c>
      <c r="H23" s="1" t="s">
        <v>20</v>
      </c>
      <c r="I23" s="1" t="s">
        <v>232</v>
      </c>
      <c r="J23" s="1" t="s">
        <v>233</v>
      </c>
      <c r="K23" s="1" t="s">
        <v>234</v>
      </c>
      <c r="L23" s="1" t="s">
        <v>235</v>
      </c>
      <c r="M23" s="1" t="s">
        <v>236</v>
      </c>
      <c r="N23" s="1" t="s">
        <v>237</v>
      </c>
      <c r="O23" s="1" t="s">
        <v>238</v>
      </c>
      <c r="P23" s="1" t="s">
        <v>239</v>
      </c>
      <c r="Q23" s="1" t="s">
        <v>240</v>
      </c>
      <c r="R23" s="1" t="s">
        <v>241</v>
      </c>
      <c r="S23" s="1" t="s">
        <v>242</v>
      </c>
      <c r="T23" s="15">
        <v>2016</v>
      </c>
    </row>
    <row r="24" spans="1:21" ht="30" customHeight="1" x14ac:dyDescent="0.25">
      <c r="A24" s="16" t="s">
        <v>687</v>
      </c>
      <c r="B24" s="1" t="s">
        <v>326</v>
      </c>
      <c r="C24" s="1" t="s">
        <v>26</v>
      </c>
      <c r="D24" s="1" t="s">
        <v>113</v>
      </c>
      <c r="E24" s="1" t="s">
        <v>147</v>
      </c>
      <c r="F24" s="1">
        <v>3134</v>
      </c>
      <c r="G24" s="1" t="s">
        <v>19</v>
      </c>
      <c r="H24" s="1" t="s">
        <v>20</v>
      </c>
      <c r="I24" s="1" t="s">
        <v>509</v>
      </c>
      <c r="J24" s="1" t="s">
        <v>510</v>
      </c>
      <c r="K24" s="1" t="s">
        <v>511</v>
      </c>
      <c r="L24" s="1" t="s">
        <v>512</v>
      </c>
      <c r="M24" s="1" t="s">
        <v>407</v>
      </c>
      <c r="N24" s="1" t="s">
        <v>513</v>
      </c>
      <c r="O24" s="1" t="s">
        <v>514</v>
      </c>
      <c r="P24" s="1" t="s">
        <v>515</v>
      </c>
      <c r="Q24" s="1" t="s">
        <v>472</v>
      </c>
      <c r="R24" s="1" t="s">
        <v>516</v>
      </c>
      <c r="S24" s="1" t="s">
        <v>517</v>
      </c>
      <c r="T24" s="15">
        <v>2016</v>
      </c>
    </row>
    <row r="25" spans="1:21" ht="30" customHeight="1" x14ac:dyDescent="0.25">
      <c r="A25" s="14" t="s">
        <v>688</v>
      </c>
      <c r="B25" s="1" t="s">
        <v>115</v>
      </c>
      <c r="C25" s="15" t="s">
        <v>26</v>
      </c>
      <c r="D25" s="15" t="s">
        <v>116</v>
      </c>
      <c r="E25" s="15" t="s">
        <v>613</v>
      </c>
      <c r="F25" s="15">
        <v>3153</v>
      </c>
      <c r="G25" s="15" t="s">
        <v>19</v>
      </c>
      <c r="H25" s="15" t="s">
        <v>20</v>
      </c>
      <c r="I25" s="15" t="s">
        <v>614</v>
      </c>
      <c r="J25" s="15" t="s">
        <v>615</v>
      </c>
      <c r="K25" s="15" t="s">
        <v>616</v>
      </c>
      <c r="L25" s="15" t="s">
        <v>617</v>
      </c>
      <c r="M25" s="15" t="s">
        <v>407</v>
      </c>
      <c r="N25" s="15" t="s">
        <v>618</v>
      </c>
      <c r="O25" s="15" t="s">
        <v>619</v>
      </c>
      <c r="P25" s="15" t="s">
        <v>620</v>
      </c>
      <c r="Q25" s="15" t="s">
        <v>153</v>
      </c>
      <c r="R25" s="15" t="s">
        <v>621</v>
      </c>
      <c r="S25" s="15" t="s">
        <v>622</v>
      </c>
      <c r="T25" s="15">
        <v>2018</v>
      </c>
      <c r="U25" s="15"/>
    </row>
    <row r="26" spans="1:21" ht="30" customHeight="1" x14ac:dyDescent="0.25">
      <c r="A26" s="14" t="s">
        <v>689</v>
      </c>
      <c r="B26" s="18" t="s">
        <v>650</v>
      </c>
      <c r="C26" s="15" t="s">
        <v>27</v>
      </c>
      <c r="D26" s="15" t="s">
        <v>661</v>
      </c>
      <c r="E26" s="15" t="s">
        <v>651</v>
      </c>
      <c r="F26" s="15">
        <v>4640</v>
      </c>
      <c r="G26" s="15" t="s">
        <v>19</v>
      </c>
      <c r="H26" s="1" t="s">
        <v>525</v>
      </c>
      <c r="I26" s="18" t="s">
        <v>652</v>
      </c>
      <c r="J26" s="18" t="s">
        <v>653</v>
      </c>
      <c r="K26" s="18" t="s">
        <v>654</v>
      </c>
      <c r="L26" s="18" t="s">
        <v>655</v>
      </c>
      <c r="M26" s="18" t="s">
        <v>407</v>
      </c>
      <c r="N26" s="18" t="s">
        <v>656</v>
      </c>
      <c r="O26" s="18" t="s">
        <v>657</v>
      </c>
      <c r="P26" s="18" t="s">
        <v>658</v>
      </c>
      <c r="Q26" s="18" t="s">
        <v>467</v>
      </c>
      <c r="R26" s="18" t="s">
        <v>653</v>
      </c>
      <c r="S26" s="18" t="s">
        <v>659</v>
      </c>
      <c r="T26" s="15">
        <v>2023</v>
      </c>
      <c r="U26" s="18"/>
    </row>
    <row r="27" spans="1:21" ht="30" customHeight="1" x14ac:dyDescent="0.25">
      <c r="A27" s="14"/>
      <c r="C27" s="15"/>
      <c r="D27" s="15"/>
      <c r="E27" s="15"/>
      <c r="F27" s="15"/>
      <c r="G27" s="15"/>
      <c r="H27" s="15"/>
      <c r="I27" s="15"/>
      <c r="J27" s="15"/>
      <c r="K27" s="15"/>
      <c r="L27" s="15"/>
      <c r="M27" s="15"/>
      <c r="N27" s="15"/>
      <c r="O27" s="15"/>
      <c r="P27" s="15"/>
      <c r="Q27" s="15"/>
      <c r="R27" s="15"/>
      <c r="S27" s="15"/>
      <c r="T27" s="15"/>
      <c r="U27" s="15"/>
    </row>
    <row r="28" spans="1:21" ht="30" customHeight="1" x14ac:dyDescent="0.25">
      <c r="A28" s="16"/>
      <c r="T28" s="15"/>
    </row>
    <row r="29" spans="1:21" ht="30" customHeight="1" x14ac:dyDescent="0.25">
      <c r="A29" s="16"/>
      <c r="T29" s="15"/>
    </row>
    <row r="30" spans="1:21" ht="30" customHeight="1" x14ac:dyDescent="0.25">
      <c r="A30" s="16"/>
      <c r="T30" s="15"/>
    </row>
    <row r="31" spans="1:21" ht="30" customHeight="1" x14ac:dyDescent="0.25">
      <c r="A31" s="16"/>
      <c r="T31" s="15"/>
    </row>
    <row r="32" spans="1:21" ht="30" customHeight="1" x14ac:dyDescent="0.25">
      <c r="A32" s="14"/>
      <c r="C32" s="15"/>
    </row>
    <row r="33" spans="1:20" ht="30" customHeight="1" x14ac:dyDescent="0.25">
      <c r="A33" s="16"/>
      <c r="T33" s="15"/>
    </row>
    <row r="34" spans="1:20" ht="30" customHeight="1" x14ac:dyDescent="0.25">
      <c r="A34" s="16"/>
      <c r="T34" s="15"/>
    </row>
    <row r="35" spans="1:20" ht="30" customHeight="1" x14ac:dyDescent="0.25">
      <c r="A35" s="16"/>
      <c r="T35" s="15"/>
    </row>
    <row r="36" spans="1:20" ht="30" customHeight="1" x14ac:dyDescent="0.25">
      <c r="A36" s="16"/>
      <c r="T36" s="15"/>
    </row>
    <row r="37" spans="1:20" ht="30" customHeight="1" x14ac:dyDescent="0.25">
      <c r="A37" s="16"/>
      <c r="T37" s="15"/>
    </row>
    <row r="38" spans="1:20" ht="30" customHeight="1" x14ac:dyDescent="0.25">
      <c r="A38" s="16"/>
      <c r="T38" s="15"/>
    </row>
    <row r="39" spans="1:20" ht="30" customHeight="1" x14ac:dyDescent="0.25">
      <c r="A39" s="16"/>
      <c r="T39" s="15"/>
    </row>
    <row r="40" spans="1:20" ht="30" customHeight="1" x14ac:dyDescent="0.25">
      <c r="A40" s="16"/>
      <c r="T40" s="15"/>
    </row>
    <row r="41" spans="1:20" ht="30" customHeight="1" x14ac:dyDescent="0.25">
      <c r="A41" s="16"/>
      <c r="T41" s="15"/>
    </row>
    <row r="42" spans="1:20" ht="30" customHeight="1" x14ac:dyDescent="0.25">
      <c r="A42" s="16"/>
      <c r="T42" s="15"/>
    </row>
    <row r="43" spans="1:20" ht="30" customHeight="1" x14ac:dyDescent="0.25">
      <c r="A43" s="16"/>
      <c r="T43" s="15"/>
    </row>
    <row r="44" spans="1:20" ht="30" customHeight="1" x14ac:dyDescent="0.25">
      <c r="A44" s="16"/>
      <c r="T44" s="15"/>
    </row>
    <row r="45" spans="1:20" ht="30" customHeight="1" x14ac:dyDescent="0.25">
      <c r="A45" s="16"/>
      <c r="T45" s="15"/>
    </row>
    <row r="46" spans="1:20" ht="30" customHeight="1" x14ac:dyDescent="0.25">
      <c r="A46" s="16"/>
      <c r="T46" s="15"/>
    </row>
    <row r="47" spans="1:20" ht="30" customHeight="1" x14ac:dyDescent="0.25">
      <c r="A47" s="16"/>
      <c r="T47" s="15"/>
    </row>
    <row r="48" spans="1:20" ht="30" customHeight="1" x14ac:dyDescent="0.25">
      <c r="A48" s="16"/>
      <c r="T48" s="15"/>
    </row>
    <row r="49" spans="1:21" ht="30" customHeight="1" x14ac:dyDescent="0.25">
      <c r="A49" s="16"/>
      <c r="T49" s="15"/>
    </row>
    <row r="50" spans="1:21" ht="30" customHeight="1" x14ac:dyDescent="0.25">
      <c r="A50" s="16"/>
      <c r="T50" s="15"/>
    </row>
    <row r="51" spans="1:21" ht="30" customHeight="1" x14ac:dyDescent="0.25">
      <c r="A51" s="16"/>
      <c r="T51" s="15"/>
    </row>
    <row r="52" spans="1:21" ht="30" customHeight="1" x14ac:dyDescent="0.25">
      <c r="A52" s="16"/>
      <c r="T52" s="15"/>
    </row>
    <row r="53" spans="1:21" ht="30" customHeight="1" x14ac:dyDescent="0.25">
      <c r="A53" s="16"/>
      <c r="T53" s="15"/>
    </row>
    <row r="54" spans="1:21" ht="30" customHeight="1" x14ac:dyDescent="0.25">
      <c r="A54" s="16"/>
      <c r="T54" s="15"/>
    </row>
    <row r="55" spans="1:21" ht="30" customHeight="1" x14ac:dyDescent="0.25">
      <c r="A55" s="16"/>
      <c r="T55" s="15"/>
    </row>
    <row r="56" spans="1:21" ht="30" customHeight="1" x14ac:dyDescent="0.25">
      <c r="A56" s="16"/>
      <c r="T56" s="15"/>
      <c r="U56" s="15"/>
    </row>
    <row r="57" spans="1:21" ht="30" customHeight="1" x14ac:dyDescent="0.25">
      <c r="A57" s="14"/>
      <c r="C57" s="15"/>
      <c r="D57" s="15"/>
      <c r="E57" s="15"/>
      <c r="F57" s="15"/>
      <c r="G57" s="15"/>
      <c r="H57" s="15"/>
      <c r="I57" s="15"/>
      <c r="J57" s="15"/>
      <c r="K57" s="15"/>
      <c r="L57" s="15"/>
      <c r="M57" s="15"/>
      <c r="N57" s="15"/>
      <c r="O57" s="15"/>
      <c r="P57" s="15"/>
      <c r="Q57" s="15"/>
      <c r="R57" s="15"/>
      <c r="S57" s="15"/>
      <c r="T57" s="15"/>
    </row>
    <row r="58" spans="1:21" ht="30" customHeight="1" x14ac:dyDescent="0.25">
      <c r="A58" s="16"/>
      <c r="T58" s="15"/>
    </row>
    <row r="59" spans="1:21" ht="30" customHeight="1" x14ac:dyDescent="0.25">
      <c r="A59" s="16"/>
      <c r="T59" s="15"/>
    </row>
    <row r="60" spans="1:21" ht="30" customHeight="1" x14ac:dyDescent="0.25">
      <c r="A60" s="16"/>
      <c r="T60" s="15"/>
    </row>
    <row r="61" spans="1:21" ht="30" customHeight="1" x14ac:dyDescent="0.25">
      <c r="A61" s="16"/>
      <c r="T61" s="15"/>
    </row>
    <row r="62" spans="1:21" ht="30" customHeight="1" x14ac:dyDescent="0.25">
      <c r="A62" s="16"/>
      <c r="T62" s="15"/>
    </row>
    <row r="63" spans="1:21" ht="30" customHeight="1" x14ac:dyDescent="0.25">
      <c r="A63" s="16"/>
      <c r="T63" s="15"/>
    </row>
    <row r="64" spans="1:21" ht="30" customHeight="1" x14ac:dyDescent="0.25">
      <c r="A64" s="16"/>
      <c r="T64" s="15"/>
    </row>
    <row r="65" spans="1:20" ht="30" customHeight="1" x14ac:dyDescent="0.25">
      <c r="A65" s="16"/>
      <c r="T65" s="15"/>
    </row>
    <row r="66" spans="1:20" ht="30" customHeight="1" x14ac:dyDescent="0.25">
      <c r="A66" s="16"/>
      <c r="T66" s="15"/>
    </row>
    <row r="67" spans="1:20" ht="30" customHeight="1" x14ac:dyDescent="0.25">
      <c r="A67" s="16"/>
      <c r="T67" s="15"/>
    </row>
    <row r="68" spans="1:20" ht="30" customHeight="1" x14ac:dyDescent="0.25">
      <c r="A68" s="16"/>
      <c r="T68" s="15"/>
    </row>
    <row r="69" spans="1:20" ht="30" customHeight="1" x14ac:dyDescent="0.25">
      <c r="A69" s="16"/>
      <c r="T69" s="15"/>
    </row>
    <row r="70" spans="1:20" ht="30" customHeight="1" x14ac:dyDescent="0.25">
      <c r="A70" s="16"/>
      <c r="T70" s="15"/>
    </row>
    <row r="71" spans="1:20" ht="30" customHeight="1" x14ac:dyDescent="0.25">
      <c r="A71" s="16"/>
      <c r="T71" s="15"/>
    </row>
    <row r="72" spans="1:20" ht="30" customHeight="1" x14ac:dyDescent="0.25">
      <c r="A72" s="16"/>
      <c r="T72" s="15"/>
    </row>
    <row r="73" spans="1:20" ht="30" customHeight="1" x14ac:dyDescent="0.25">
      <c r="A73" s="16"/>
      <c r="T73" s="15"/>
    </row>
    <row r="74" spans="1:20" ht="30" customHeight="1" x14ac:dyDescent="0.25">
      <c r="A74" s="16"/>
      <c r="T74" s="15"/>
    </row>
    <row r="75" spans="1:20" ht="30" customHeight="1" x14ac:dyDescent="0.25">
      <c r="A75" s="16"/>
      <c r="T75" s="15"/>
    </row>
    <row r="76" spans="1:20" ht="30" customHeight="1" x14ac:dyDescent="0.25">
      <c r="A76" s="14"/>
    </row>
    <row r="77" spans="1:20" ht="30" customHeight="1" x14ac:dyDescent="0.25">
      <c r="A77" s="16"/>
      <c r="T77" s="15"/>
    </row>
    <row r="78" spans="1:20" ht="30" customHeight="1" x14ac:dyDescent="0.25">
      <c r="A78" s="16"/>
      <c r="T78" s="15"/>
    </row>
    <row r="79" spans="1:20" ht="30" customHeight="1" x14ac:dyDescent="0.25">
      <c r="A79" s="16"/>
      <c r="T79" s="15"/>
    </row>
    <row r="80" spans="1:20" ht="30" customHeight="1" x14ac:dyDescent="0.25">
      <c r="A80" s="16"/>
      <c r="T80" s="15"/>
    </row>
    <row r="81" spans="1:20" ht="30" customHeight="1" x14ac:dyDescent="0.25">
      <c r="A81" s="16"/>
      <c r="T81" s="15"/>
    </row>
    <row r="82" spans="1:20" ht="30" customHeight="1" x14ac:dyDescent="0.25">
      <c r="A82" s="16"/>
      <c r="T82" s="15"/>
    </row>
    <row r="83" spans="1:20" ht="30" customHeight="1" x14ac:dyDescent="0.25">
      <c r="A83" s="16"/>
      <c r="T83" s="15"/>
    </row>
    <row r="84" spans="1:20" ht="30" customHeight="1" x14ac:dyDescent="0.25">
      <c r="A84" s="16"/>
      <c r="T84" s="15"/>
    </row>
    <row r="85" spans="1:20" ht="30" customHeight="1" x14ac:dyDescent="0.25">
      <c r="A85" s="16"/>
      <c r="T85" s="15"/>
    </row>
    <row r="86" spans="1:20" ht="30" customHeight="1" x14ac:dyDescent="0.25">
      <c r="A86" s="16"/>
      <c r="T86" s="15"/>
    </row>
    <row r="87" spans="1:20" ht="30" customHeight="1" x14ac:dyDescent="0.25">
      <c r="A87" s="16"/>
      <c r="T87" s="15"/>
    </row>
    <row r="88" spans="1:20" ht="30" customHeight="1" x14ac:dyDescent="0.25">
      <c r="A88" s="16"/>
      <c r="T88" s="15"/>
    </row>
    <row r="89" spans="1:20" ht="30" customHeight="1" x14ac:dyDescent="0.25">
      <c r="A89" s="16"/>
      <c r="T89" s="15"/>
    </row>
    <row r="90" spans="1:20" ht="30" customHeight="1" x14ac:dyDescent="0.25">
      <c r="A90" s="16"/>
      <c r="T90" s="15"/>
    </row>
    <row r="91" spans="1:20" ht="30" customHeight="1" x14ac:dyDescent="0.25">
      <c r="A91" s="16"/>
      <c r="T91" s="15"/>
    </row>
    <row r="92" spans="1:20" ht="30" customHeight="1" x14ac:dyDescent="0.25">
      <c r="A92" s="16"/>
      <c r="T92" s="15"/>
    </row>
    <row r="93" spans="1:20" ht="30" customHeight="1" x14ac:dyDescent="0.25">
      <c r="A93" s="16"/>
      <c r="T93" s="15"/>
    </row>
    <row r="94" spans="1:20" ht="30" customHeight="1" x14ac:dyDescent="0.25">
      <c r="A94" s="16"/>
      <c r="T94" s="15"/>
    </row>
    <row r="95" spans="1:20" ht="30" customHeight="1" x14ac:dyDescent="0.25">
      <c r="A95" s="16"/>
      <c r="T95" s="15"/>
    </row>
    <row r="96" spans="1:20" ht="30" customHeight="1" x14ac:dyDescent="0.25">
      <c r="A96" s="16"/>
      <c r="T96" s="15"/>
    </row>
    <row r="97" spans="1:20" ht="30" customHeight="1" x14ac:dyDescent="0.25">
      <c r="A97" s="16"/>
      <c r="T97" s="15"/>
    </row>
    <row r="98" spans="1:20" ht="30" customHeight="1" x14ac:dyDescent="0.25">
      <c r="A98" s="16"/>
      <c r="T98" s="15"/>
    </row>
    <row r="99" spans="1:20" ht="30" customHeight="1" x14ac:dyDescent="0.25">
      <c r="A99" s="16"/>
      <c r="T99" s="15"/>
    </row>
    <row r="100" spans="1:20" ht="30" customHeight="1" x14ac:dyDescent="0.25">
      <c r="A100" s="16"/>
      <c r="T100" s="15"/>
    </row>
    <row r="101" spans="1:20" ht="30" customHeight="1" x14ac:dyDescent="0.25">
      <c r="A101" s="16"/>
      <c r="T101" s="15"/>
    </row>
    <row r="102" spans="1:20" ht="30" customHeight="1" x14ac:dyDescent="0.25">
      <c r="A102" s="16"/>
      <c r="T102" s="15"/>
    </row>
    <row r="103" spans="1:20" ht="30" customHeight="1" x14ac:dyDescent="0.25">
      <c r="A103" s="16"/>
      <c r="T103" s="15"/>
    </row>
    <row r="104" spans="1:20" ht="30" customHeight="1" x14ac:dyDescent="0.25">
      <c r="A104" s="16"/>
      <c r="T104" s="15"/>
    </row>
    <row r="105" spans="1:20" ht="30" customHeight="1" x14ac:dyDescent="0.25">
      <c r="A105" s="16"/>
      <c r="T105" s="15"/>
    </row>
    <row r="106" spans="1:20" ht="30" customHeight="1" x14ac:dyDescent="0.25">
      <c r="A106" s="16"/>
      <c r="T106" s="15"/>
    </row>
    <row r="107" spans="1:20" ht="30" customHeight="1" x14ac:dyDescent="0.25">
      <c r="A107" s="16"/>
      <c r="T107" s="15"/>
    </row>
    <row r="108" spans="1:20" ht="30" customHeight="1" x14ac:dyDescent="0.25">
      <c r="A108" s="16"/>
      <c r="T108" s="15"/>
    </row>
    <row r="109" spans="1:20" ht="30" customHeight="1" x14ac:dyDescent="0.25">
      <c r="A109" s="16"/>
      <c r="T109" s="15"/>
    </row>
    <row r="110" spans="1:20" ht="30" customHeight="1" x14ac:dyDescent="0.25">
      <c r="A110" s="16"/>
      <c r="T110" s="15"/>
    </row>
    <row r="111" spans="1:20" ht="30" customHeight="1" x14ac:dyDescent="0.25">
      <c r="A111" s="16"/>
      <c r="T111" s="15"/>
    </row>
    <row r="112" spans="1:20" ht="30" customHeight="1" x14ac:dyDescent="0.25">
      <c r="A112" s="16"/>
      <c r="T112" s="15"/>
    </row>
    <row r="113" spans="1:21" ht="30" customHeight="1" x14ac:dyDescent="0.25">
      <c r="A113" s="16"/>
      <c r="T113" s="15"/>
    </row>
    <row r="114" spans="1:21" ht="30" customHeight="1" x14ac:dyDescent="0.25">
      <c r="A114" s="16"/>
      <c r="T114" s="15"/>
    </row>
    <row r="115" spans="1:21" ht="30" customHeight="1" x14ac:dyDescent="0.25">
      <c r="A115" s="16"/>
      <c r="T115" s="15"/>
    </row>
    <row r="116" spans="1:21" ht="30" customHeight="1" x14ac:dyDescent="0.25">
      <c r="A116" s="16"/>
      <c r="T116" s="15"/>
    </row>
    <row r="117" spans="1:21" ht="30" customHeight="1" x14ac:dyDescent="0.25">
      <c r="A117" s="16"/>
      <c r="T117" s="15"/>
    </row>
    <row r="118" spans="1:21" ht="30" customHeight="1" x14ac:dyDescent="0.25">
      <c r="A118" s="16"/>
      <c r="T118" s="15"/>
    </row>
    <row r="119" spans="1:21" ht="30" customHeight="1" x14ac:dyDescent="0.25">
      <c r="A119" s="16"/>
      <c r="T119" s="15"/>
    </row>
    <row r="120" spans="1:21" ht="30" customHeight="1" x14ac:dyDescent="0.25">
      <c r="A120" s="16"/>
      <c r="T120" s="15"/>
    </row>
    <row r="121" spans="1:21" ht="30" customHeight="1" x14ac:dyDescent="0.25">
      <c r="A121" s="16"/>
      <c r="T121" s="15"/>
    </row>
    <row r="122" spans="1:21" ht="30" customHeight="1" x14ac:dyDescent="0.25">
      <c r="A122" s="16"/>
      <c r="T122" s="15"/>
    </row>
    <row r="123" spans="1:21" ht="30" customHeight="1" x14ac:dyDescent="0.25">
      <c r="A123" s="16"/>
      <c r="T123" s="15"/>
    </row>
    <row r="124" spans="1:21" ht="30" customHeight="1" x14ac:dyDescent="0.25">
      <c r="A124" s="16"/>
      <c r="T124" s="15"/>
    </row>
    <row r="125" spans="1:21" ht="30" customHeight="1" x14ac:dyDescent="0.25">
      <c r="A125" s="16"/>
      <c r="T125" s="15"/>
      <c r="U125" s="18"/>
    </row>
    <row r="126" spans="1:21" ht="45" customHeight="1" x14ac:dyDescent="0.25">
      <c r="A126" s="17"/>
      <c r="B126" s="18"/>
      <c r="C126" s="18"/>
      <c r="D126" s="18"/>
      <c r="E126" s="18"/>
      <c r="F126" s="18"/>
      <c r="G126" s="18"/>
      <c r="H126" s="18"/>
      <c r="I126" s="18"/>
      <c r="J126" s="18"/>
      <c r="K126" s="18"/>
      <c r="L126" s="18"/>
      <c r="M126" s="18"/>
      <c r="N126" s="18"/>
      <c r="O126" s="18"/>
      <c r="P126" s="18"/>
      <c r="Q126" s="18"/>
      <c r="R126" s="18"/>
      <c r="S126" s="18"/>
      <c r="T126" s="15"/>
      <c r="U126" s="18"/>
    </row>
    <row r="127" spans="1:21" ht="45" customHeight="1" x14ac:dyDescent="0.25">
      <c r="A127" s="17"/>
      <c r="B127" s="18"/>
      <c r="C127" s="18"/>
      <c r="D127" s="18"/>
      <c r="E127" s="18"/>
      <c r="F127" s="18"/>
      <c r="G127" s="18"/>
      <c r="H127" s="18"/>
      <c r="I127" s="18"/>
      <c r="J127" s="18"/>
      <c r="K127" s="18"/>
      <c r="L127" s="18"/>
      <c r="M127" s="18"/>
      <c r="N127" s="18"/>
      <c r="O127" s="18"/>
      <c r="P127" s="18"/>
      <c r="Q127" s="18"/>
      <c r="R127" s="18"/>
      <c r="S127" s="18"/>
      <c r="T127" s="15"/>
      <c r="U127" s="15"/>
    </row>
    <row r="128" spans="1:21" ht="45" customHeight="1" x14ac:dyDescent="0.25">
      <c r="A128" s="14"/>
      <c r="C128" s="15"/>
      <c r="D128" s="15"/>
      <c r="E128" s="15"/>
      <c r="F128" s="15"/>
      <c r="G128" s="15"/>
      <c r="H128" s="15"/>
      <c r="I128" s="15"/>
      <c r="J128" s="15"/>
      <c r="K128" s="15"/>
      <c r="L128" s="15"/>
      <c r="M128" s="15"/>
      <c r="N128" s="15"/>
      <c r="O128" s="15"/>
      <c r="P128" s="15"/>
      <c r="Q128" s="15"/>
      <c r="R128" s="15"/>
      <c r="S128" s="15"/>
      <c r="T128" s="15"/>
      <c r="U128" s="15"/>
    </row>
    <row r="129" spans="1:20" ht="45" customHeight="1" x14ac:dyDescent="0.25">
      <c r="A129" s="14"/>
      <c r="C129" s="15"/>
      <c r="D129" s="15"/>
      <c r="E129" s="15"/>
      <c r="F129" s="15"/>
      <c r="G129" s="15"/>
      <c r="H129" s="15"/>
      <c r="I129" s="15"/>
      <c r="J129" s="15"/>
      <c r="K129" s="15"/>
      <c r="L129" s="15"/>
      <c r="M129" s="15"/>
      <c r="N129" s="15"/>
      <c r="O129" s="15"/>
      <c r="P129" s="15"/>
      <c r="Q129" s="15"/>
      <c r="R129" s="15"/>
      <c r="S129" s="15"/>
      <c r="T129" s="15"/>
    </row>
    <row r="134" spans="1:20" ht="0" hidden="1" customHeight="1" x14ac:dyDescent="0.25"/>
    <row r="144" spans="1:20" ht="45" customHeight="1" x14ac:dyDescent="0.25">
      <c r="K144" s="20"/>
    </row>
    <row r="154" spans="20:20" ht="45" customHeight="1" x14ac:dyDescent="0.25">
      <c r="T154" s="21"/>
    </row>
    <row r="158" spans="20:20" ht="45" customHeight="1" x14ac:dyDescent="0.25">
      <c r="T158" s="21"/>
    </row>
    <row r="159" spans="20:20" ht="45" customHeight="1" x14ac:dyDescent="0.25">
      <c r="T159" s="21"/>
    </row>
    <row r="175" spans="20:20" ht="45" customHeight="1" x14ac:dyDescent="0.25">
      <c r="T175" s="21"/>
    </row>
    <row r="226" spans="1:20" ht="45" customHeight="1" x14ac:dyDescent="0.25">
      <c r="T226" s="21"/>
    </row>
    <row r="227" spans="1:20" ht="0" hidden="1" customHeight="1" x14ac:dyDescent="0.25"/>
    <row r="234" spans="1:20" ht="45" customHeight="1" x14ac:dyDescent="0.25">
      <c r="K234" s="20"/>
      <c r="O234" s="20"/>
    </row>
    <row r="238" spans="1:20" ht="45" customHeight="1" x14ac:dyDescent="0.25">
      <c r="A238" s="22"/>
    </row>
    <row r="283" spans="11:15" ht="45" customHeight="1" x14ac:dyDescent="0.25">
      <c r="K283" s="20"/>
    </row>
    <row r="285" spans="11:15" ht="45" customHeight="1" x14ac:dyDescent="0.25">
      <c r="K285" s="20"/>
      <c r="O285" s="20"/>
    </row>
    <row r="290" spans="1:1" ht="45" customHeight="1" x14ac:dyDescent="0.25">
      <c r="A290" s="22"/>
    </row>
    <row r="324" spans="15:15" ht="45" customHeight="1" x14ac:dyDescent="0.25">
      <c r="O324" s="20"/>
    </row>
    <row r="343" spans="1:1" ht="45" customHeight="1" x14ac:dyDescent="0.25">
      <c r="A343" s="22"/>
    </row>
    <row r="344" spans="1:1" ht="45" customHeight="1" x14ac:dyDescent="0.25">
      <c r="A344" s="22"/>
    </row>
    <row r="351" spans="1:1" ht="0" hidden="1" customHeight="1" x14ac:dyDescent="0.25"/>
    <row r="366" spans="15:15" ht="45" customHeight="1" x14ac:dyDescent="0.25">
      <c r="O366" s="20"/>
    </row>
    <row r="375" spans="12:16" ht="45" customHeight="1" x14ac:dyDescent="0.25"/>
    <row r="385" ht="31.5" customHeight="1" x14ac:dyDescent="0.25"/>
  </sheetData>
  <autoFilter ref="A1:U1" xr:uid="{00000000-0001-0000-0000-000000000000}"/>
  <sortState xmlns:xlrd2="http://schemas.microsoft.com/office/spreadsheetml/2017/richdata2" ref="A2:T129">
    <sortCondition ref="A2:A129"/>
  </sortState>
  <dataValidations count="5">
    <dataValidation allowBlank="1" showErrorMessage="1" error="Valor incorrecto._x000a_Por favor, ingrese solo números sin guiones ni barras." sqref="A235 A349:A357 A128" xr:uid="{00000000-0002-0000-0000-000000000000}"/>
    <dataValidation allowBlank="1" showErrorMessage="1" sqref="B235 B349:B357" xr:uid="{00000000-0002-0000-0000-000001000000}"/>
    <dataValidation allowBlank="1" showInputMessage="1" showErrorMessage="1" prompt="Por favor indique calle y número" sqref="I352:I357 I349:I350" xr:uid="{00000000-0002-0000-0000-000002000000}"/>
    <dataValidation allowBlank="1" showInputMessage="1" showErrorMessage="1" prompt="Nombre y apellido de la maxima autoridad de la carrera._x000a_" sqref="P349:P357" xr:uid="{00000000-0002-0000-0000-000003000000}"/>
    <dataValidation allowBlank="1" showInputMessage="1" showErrorMessage="1" prompt="Director/a de estudios_x000a_Coordinador/a" sqref="Q349:Q357" xr:uid="{00000000-0002-0000-0000-000004000000}"/>
  </dataValidations>
  <pageMargins left="0.7" right="0.7" top="0.75" bottom="0.75" header="0.3" footer="0.3"/>
  <pageSetup paperSize="9"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O579"/>
  <sheetViews>
    <sheetView topLeftCell="C1" workbookViewId="0">
      <pane ySplit="1" topLeftCell="A2" activePane="bottomLeft" state="frozen"/>
      <selection pane="bottomLeft" activeCell="C1" sqref="C1:N1048576"/>
    </sheetView>
  </sheetViews>
  <sheetFormatPr baseColWidth="10" defaultRowHeight="15.75" x14ac:dyDescent="0.25"/>
  <cols>
    <col min="1" max="1" width="11.28515625" style="5" bestFit="1" customWidth="1"/>
    <col min="2" max="2" width="159.85546875" style="5" bestFit="1" customWidth="1"/>
    <col min="3" max="13" width="18.28515625" style="5" customWidth="1"/>
    <col min="14" max="14" width="18.28515625" style="11" customWidth="1"/>
    <col min="15" max="16384" width="11.42578125" style="3"/>
  </cols>
  <sheetData>
    <row r="1" spans="1:14" s="39" customFormat="1" ht="56.25" x14ac:dyDescent="0.3">
      <c r="A1" s="6" t="s">
        <v>0</v>
      </c>
      <c r="B1" s="6" t="s">
        <v>14</v>
      </c>
      <c r="C1" s="6" t="s">
        <v>501</v>
      </c>
      <c r="D1" s="6" t="s">
        <v>502</v>
      </c>
      <c r="E1" s="6" t="s">
        <v>503</v>
      </c>
      <c r="F1" s="6" t="s">
        <v>504</v>
      </c>
      <c r="G1" s="6" t="s">
        <v>505</v>
      </c>
      <c r="H1" s="6" t="s">
        <v>506</v>
      </c>
      <c r="I1" s="6" t="s">
        <v>140</v>
      </c>
      <c r="J1" s="6" t="s">
        <v>507</v>
      </c>
      <c r="K1" s="6" t="s">
        <v>508</v>
      </c>
      <c r="L1" s="6"/>
      <c r="M1" s="6"/>
      <c r="N1" s="6" t="s">
        <v>624</v>
      </c>
    </row>
    <row r="2" spans="1:14" customFormat="1" x14ac:dyDescent="0.25">
      <c r="A2" s="7">
        <v>20017500</v>
      </c>
      <c r="B2" s="7" t="s">
        <v>254</v>
      </c>
      <c r="C2" s="7">
        <v>123</v>
      </c>
      <c r="D2" s="7">
        <v>135</v>
      </c>
      <c r="E2" s="7">
        <v>125</v>
      </c>
      <c r="F2" s="7">
        <v>115</v>
      </c>
      <c r="G2" s="7">
        <v>27</v>
      </c>
      <c r="H2" s="7">
        <v>16</v>
      </c>
      <c r="I2" s="7">
        <v>11396</v>
      </c>
      <c r="J2" s="7">
        <v>9876</v>
      </c>
      <c r="K2" s="7">
        <v>10</v>
      </c>
      <c r="L2" s="7">
        <v>1715</v>
      </c>
      <c r="M2" s="7">
        <f t="shared" ref="M2:M33" si="0">+L2+J2</f>
        <v>11591</v>
      </c>
      <c r="N2" s="7" t="s">
        <v>625</v>
      </c>
    </row>
    <row r="3" spans="1:14" customFormat="1" x14ac:dyDescent="0.25">
      <c r="A3" s="7">
        <v>20024000</v>
      </c>
      <c r="B3" s="7" t="s">
        <v>29</v>
      </c>
      <c r="C3" s="7">
        <v>157</v>
      </c>
      <c r="D3" s="7">
        <v>106</v>
      </c>
      <c r="E3" s="7">
        <v>49</v>
      </c>
      <c r="F3" s="7">
        <v>36</v>
      </c>
      <c r="G3" s="7">
        <v>15</v>
      </c>
      <c r="H3" s="7">
        <v>10</v>
      </c>
      <c r="I3" s="7">
        <v>8500</v>
      </c>
      <c r="J3" s="7">
        <v>11200</v>
      </c>
      <c r="K3" s="7">
        <v>10</v>
      </c>
      <c r="L3" s="7">
        <v>0</v>
      </c>
      <c r="M3" s="7">
        <f t="shared" si="0"/>
        <v>11200</v>
      </c>
      <c r="N3" s="7"/>
    </row>
    <row r="4" spans="1:14" customFormat="1" x14ac:dyDescent="0.25">
      <c r="A4" s="7">
        <v>20036600</v>
      </c>
      <c r="B4" s="7" t="s">
        <v>255</v>
      </c>
      <c r="C4" s="7">
        <v>678</v>
      </c>
      <c r="D4" s="7">
        <v>614</v>
      </c>
      <c r="E4" s="7">
        <v>470</v>
      </c>
      <c r="F4" s="7">
        <v>269</v>
      </c>
      <c r="G4" s="7">
        <v>208</v>
      </c>
      <c r="H4" s="7">
        <v>102</v>
      </c>
      <c r="I4" s="7">
        <v>0</v>
      </c>
      <c r="J4" s="7">
        <v>0</v>
      </c>
      <c r="K4" s="7">
        <v>0</v>
      </c>
      <c r="L4" s="7">
        <v>0</v>
      </c>
      <c r="M4" s="7">
        <f t="shared" si="0"/>
        <v>0</v>
      </c>
      <c r="N4" s="7"/>
    </row>
    <row r="5" spans="1:14" customFormat="1" x14ac:dyDescent="0.25">
      <c r="A5" s="7">
        <v>20036601</v>
      </c>
      <c r="B5" s="7" t="s">
        <v>256</v>
      </c>
      <c r="C5" s="7">
        <v>224</v>
      </c>
      <c r="D5" s="7">
        <v>163</v>
      </c>
      <c r="E5" s="7">
        <v>147</v>
      </c>
      <c r="F5" s="7">
        <v>51</v>
      </c>
      <c r="G5" s="7">
        <v>77</v>
      </c>
      <c r="H5" s="7">
        <v>41</v>
      </c>
      <c r="I5" s="7">
        <v>0</v>
      </c>
      <c r="J5" s="7">
        <v>0</v>
      </c>
      <c r="K5" s="7">
        <v>0</v>
      </c>
      <c r="L5" s="7">
        <v>0</v>
      </c>
      <c r="M5" s="7">
        <f t="shared" si="0"/>
        <v>0</v>
      </c>
      <c r="N5" s="7"/>
    </row>
    <row r="6" spans="1:14" customFormat="1" x14ac:dyDescent="0.25">
      <c r="A6" s="7">
        <v>20053100</v>
      </c>
      <c r="B6" s="7" t="s">
        <v>257</v>
      </c>
      <c r="C6" s="7">
        <v>159</v>
      </c>
      <c r="D6" s="7">
        <v>143</v>
      </c>
      <c r="E6" s="7">
        <v>59</v>
      </c>
      <c r="F6" s="7">
        <v>61</v>
      </c>
      <c r="G6" s="7">
        <v>12</v>
      </c>
      <c r="H6" s="7">
        <v>15</v>
      </c>
      <c r="I6" s="7">
        <v>16000</v>
      </c>
      <c r="J6" s="7">
        <v>9876</v>
      </c>
      <c r="K6" s="7">
        <v>10</v>
      </c>
      <c r="L6" s="8">
        <v>3950</v>
      </c>
      <c r="M6" s="7">
        <f t="shared" si="0"/>
        <v>13826</v>
      </c>
      <c r="N6" s="7"/>
    </row>
    <row r="7" spans="1:14" customFormat="1" x14ac:dyDescent="0.25">
      <c r="A7" s="7">
        <v>20053900</v>
      </c>
      <c r="B7" s="7" t="s">
        <v>258</v>
      </c>
      <c r="C7" s="7">
        <v>222</v>
      </c>
      <c r="D7" s="7">
        <v>196</v>
      </c>
      <c r="E7" s="7">
        <v>117</v>
      </c>
      <c r="F7" s="7">
        <v>59</v>
      </c>
      <c r="G7" s="7">
        <v>29</v>
      </c>
      <c r="H7" s="7">
        <v>20</v>
      </c>
      <c r="I7" s="7">
        <v>16000</v>
      </c>
      <c r="J7" s="7">
        <v>9876</v>
      </c>
      <c r="K7" s="7">
        <v>10</v>
      </c>
      <c r="L7" s="9">
        <v>3950.4</v>
      </c>
      <c r="M7" s="7">
        <f t="shared" si="0"/>
        <v>13826.4</v>
      </c>
      <c r="N7" s="7"/>
    </row>
    <row r="8" spans="1:14" customFormat="1" x14ac:dyDescent="0.25">
      <c r="A8" s="7">
        <v>20089000</v>
      </c>
      <c r="B8" s="7" t="s">
        <v>259</v>
      </c>
      <c r="C8" s="7">
        <v>204</v>
      </c>
      <c r="D8" s="7">
        <v>140</v>
      </c>
      <c r="E8" s="7">
        <v>90</v>
      </c>
      <c r="F8" s="7">
        <v>70</v>
      </c>
      <c r="G8" s="7">
        <v>43</v>
      </c>
      <c r="H8" s="7">
        <v>15</v>
      </c>
      <c r="I8" s="7">
        <v>20000</v>
      </c>
      <c r="J8" s="7">
        <v>2000</v>
      </c>
      <c r="K8" s="7">
        <v>10</v>
      </c>
      <c r="L8" s="7">
        <v>0</v>
      </c>
      <c r="M8" s="7">
        <f t="shared" si="0"/>
        <v>2000</v>
      </c>
      <c r="N8" s="7"/>
    </row>
    <row r="9" spans="1:14" customFormat="1" x14ac:dyDescent="0.25">
      <c r="A9" s="7">
        <v>20096900</v>
      </c>
      <c r="B9" s="7" t="s">
        <v>35</v>
      </c>
      <c r="C9" s="7">
        <v>11</v>
      </c>
      <c r="D9" s="7">
        <v>32</v>
      </c>
      <c r="E9" s="7">
        <v>21</v>
      </c>
      <c r="F9" s="7">
        <v>13</v>
      </c>
      <c r="G9" s="7">
        <v>18</v>
      </c>
      <c r="H9" s="7">
        <v>4</v>
      </c>
      <c r="I9" s="7">
        <v>8000</v>
      </c>
      <c r="J9" s="7">
        <v>8000</v>
      </c>
      <c r="K9" s="7">
        <v>10</v>
      </c>
      <c r="L9" s="7">
        <v>0</v>
      </c>
      <c r="M9" s="7">
        <f t="shared" si="0"/>
        <v>8000</v>
      </c>
      <c r="N9" s="7"/>
    </row>
    <row r="10" spans="1:14" customFormat="1" x14ac:dyDescent="0.25">
      <c r="A10" s="7">
        <v>20142000</v>
      </c>
      <c r="B10" s="7" t="s">
        <v>156</v>
      </c>
      <c r="C10" s="7">
        <v>44</v>
      </c>
      <c r="D10" s="7">
        <v>57</v>
      </c>
      <c r="E10" s="7">
        <v>44</v>
      </c>
      <c r="F10" s="7">
        <v>44</v>
      </c>
      <c r="G10" s="7">
        <v>14</v>
      </c>
      <c r="H10" s="7">
        <v>6</v>
      </c>
      <c r="I10" s="7">
        <v>14000</v>
      </c>
      <c r="J10" s="7">
        <v>14000</v>
      </c>
      <c r="K10" s="7">
        <v>12</v>
      </c>
      <c r="L10" s="7">
        <v>0</v>
      </c>
      <c r="M10" s="7">
        <f t="shared" si="0"/>
        <v>14000</v>
      </c>
      <c r="N10" s="7" t="s">
        <v>625</v>
      </c>
    </row>
    <row r="11" spans="1:14" customFormat="1" x14ac:dyDescent="0.25">
      <c r="A11" s="7">
        <v>20174400</v>
      </c>
      <c r="B11" s="7" t="s">
        <v>260</v>
      </c>
      <c r="C11" s="7">
        <v>144</v>
      </c>
      <c r="D11" s="7">
        <v>232</v>
      </c>
      <c r="E11" s="7">
        <v>103</v>
      </c>
      <c r="F11" s="7">
        <v>173</v>
      </c>
      <c r="G11" s="7">
        <v>0</v>
      </c>
      <c r="H11" s="7">
        <v>0</v>
      </c>
      <c r="I11" s="7">
        <v>18000</v>
      </c>
      <c r="J11" s="7">
        <v>11130</v>
      </c>
      <c r="K11" s="7">
        <v>10</v>
      </c>
      <c r="L11" s="7">
        <v>0</v>
      </c>
      <c r="M11" s="7">
        <f t="shared" si="0"/>
        <v>11130</v>
      </c>
      <c r="N11" s="7"/>
    </row>
    <row r="12" spans="1:14" customFormat="1" x14ac:dyDescent="0.25">
      <c r="A12" s="7">
        <v>20191900</v>
      </c>
      <c r="B12" s="7" t="s">
        <v>162</v>
      </c>
      <c r="C12" s="7">
        <v>154</v>
      </c>
      <c r="D12" s="7">
        <v>174</v>
      </c>
      <c r="E12" s="7">
        <v>99</v>
      </c>
      <c r="F12" s="7">
        <v>42</v>
      </c>
      <c r="G12" s="7">
        <v>33</v>
      </c>
      <c r="H12" s="7">
        <v>12</v>
      </c>
      <c r="I12" s="7">
        <v>21127.06</v>
      </c>
      <c r="J12" s="7">
        <v>13171.45</v>
      </c>
      <c r="K12" s="7">
        <v>10</v>
      </c>
      <c r="L12" s="7">
        <v>1975</v>
      </c>
      <c r="M12" s="7">
        <f t="shared" si="0"/>
        <v>15146.45</v>
      </c>
      <c r="N12" s="7"/>
    </row>
    <row r="13" spans="1:14" customFormat="1" x14ac:dyDescent="0.25">
      <c r="A13" s="7">
        <v>20224200</v>
      </c>
      <c r="B13" s="7" t="s">
        <v>261</v>
      </c>
      <c r="C13" s="7">
        <v>88</v>
      </c>
      <c r="D13" s="7">
        <v>46</v>
      </c>
      <c r="E13" s="7">
        <v>29</v>
      </c>
      <c r="F13" s="7">
        <v>29</v>
      </c>
      <c r="G13" s="7">
        <v>26</v>
      </c>
      <c r="H13" s="7">
        <v>10</v>
      </c>
      <c r="I13" s="7">
        <v>8400</v>
      </c>
      <c r="J13" s="7">
        <v>9795</v>
      </c>
      <c r="K13" s="7">
        <v>10</v>
      </c>
      <c r="L13" s="7">
        <v>0</v>
      </c>
      <c r="M13" s="7">
        <f t="shared" si="0"/>
        <v>9795</v>
      </c>
      <c r="N13" s="7"/>
    </row>
    <row r="14" spans="1:14" customFormat="1" x14ac:dyDescent="0.25">
      <c r="A14" s="7">
        <v>20234600</v>
      </c>
      <c r="B14" s="7" t="s">
        <v>200</v>
      </c>
      <c r="C14" s="7">
        <v>30</v>
      </c>
      <c r="D14" s="7">
        <v>26</v>
      </c>
      <c r="E14" s="7">
        <v>11</v>
      </c>
      <c r="F14" s="7">
        <v>18</v>
      </c>
      <c r="G14" s="7">
        <v>15</v>
      </c>
      <c r="H14" s="7">
        <v>2</v>
      </c>
      <c r="I14" s="7">
        <v>11000</v>
      </c>
      <c r="J14" s="7">
        <v>11000</v>
      </c>
      <c r="K14" s="7">
        <v>11</v>
      </c>
      <c r="L14" s="7">
        <v>0</v>
      </c>
      <c r="M14" s="7">
        <f t="shared" si="0"/>
        <v>11000</v>
      </c>
      <c r="N14" s="7"/>
    </row>
    <row r="15" spans="1:14" customFormat="1" x14ac:dyDescent="0.25">
      <c r="A15" s="7">
        <v>20245000</v>
      </c>
      <c r="B15" s="7" t="s">
        <v>262</v>
      </c>
      <c r="C15" s="7">
        <v>36</v>
      </c>
      <c r="D15" s="7">
        <v>57</v>
      </c>
      <c r="E15" s="7">
        <v>22</v>
      </c>
      <c r="F15" s="7">
        <v>8</v>
      </c>
      <c r="G15" s="7">
        <v>18</v>
      </c>
      <c r="H15" s="7">
        <v>4</v>
      </c>
      <c r="I15" s="7">
        <v>9000</v>
      </c>
      <c r="J15" s="7">
        <v>6500</v>
      </c>
      <c r="K15" s="7">
        <v>10</v>
      </c>
      <c r="L15" s="7">
        <v>0</v>
      </c>
      <c r="M15" s="7">
        <f t="shared" si="0"/>
        <v>6500</v>
      </c>
      <c r="N15" s="7"/>
    </row>
    <row r="16" spans="1:14" customFormat="1" x14ac:dyDescent="0.25">
      <c r="A16" s="7">
        <v>20282200</v>
      </c>
      <c r="B16" s="7" t="s">
        <v>50</v>
      </c>
      <c r="C16" s="7">
        <v>78</v>
      </c>
      <c r="D16" s="7">
        <v>63</v>
      </c>
      <c r="E16" s="7">
        <v>67</v>
      </c>
      <c r="F16" s="7">
        <v>31</v>
      </c>
      <c r="G16" s="7">
        <v>40</v>
      </c>
      <c r="H16" s="7">
        <v>12</v>
      </c>
      <c r="I16" s="7">
        <v>15000</v>
      </c>
      <c r="J16" s="7">
        <v>11465</v>
      </c>
      <c r="K16" s="7">
        <v>10</v>
      </c>
      <c r="L16" s="7">
        <v>0</v>
      </c>
      <c r="M16" s="7">
        <f t="shared" si="0"/>
        <v>11465</v>
      </c>
      <c r="N16" s="7"/>
    </row>
    <row r="17" spans="1:14" customFormat="1" x14ac:dyDescent="0.25">
      <c r="A17" s="7">
        <v>20282300</v>
      </c>
      <c r="B17" s="7" t="s">
        <v>163</v>
      </c>
      <c r="C17" s="7">
        <v>11</v>
      </c>
      <c r="D17" s="7">
        <v>6</v>
      </c>
      <c r="E17" s="7">
        <v>5</v>
      </c>
      <c r="F17" s="7">
        <v>7</v>
      </c>
      <c r="G17" s="7">
        <v>10</v>
      </c>
      <c r="H17" s="7">
        <v>3</v>
      </c>
      <c r="I17" s="8">
        <v>15000</v>
      </c>
      <c r="J17" s="8">
        <v>10000</v>
      </c>
      <c r="K17" s="7">
        <v>10</v>
      </c>
      <c r="L17" s="7"/>
      <c r="M17" s="7">
        <f t="shared" si="0"/>
        <v>10000</v>
      </c>
      <c r="N17" s="7"/>
    </row>
    <row r="18" spans="1:14" customFormat="1" x14ac:dyDescent="0.25">
      <c r="A18" s="7">
        <v>20286200</v>
      </c>
      <c r="B18" s="7" t="s">
        <v>164</v>
      </c>
      <c r="C18" s="7">
        <v>62</v>
      </c>
      <c r="D18" s="7">
        <v>60</v>
      </c>
      <c r="E18" s="7">
        <v>49</v>
      </c>
      <c r="F18" s="7">
        <v>57</v>
      </c>
      <c r="G18" s="7">
        <v>22</v>
      </c>
      <c r="H18" s="7">
        <v>7</v>
      </c>
      <c r="I18" s="7">
        <v>5250</v>
      </c>
      <c r="J18" s="7">
        <v>6450</v>
      </c>
      <c r="K18" s="7">
        <v>10</v>
      </c>
      <c r="L18" s="7">
        <v>0</v>
      </c>
      <c r="M18" s="7">
        <f t="shared" si="0"/>
        <v>6450</v>
      </c>
      <c r="N18" s="7"/>
    </row>
    <row r="19" spans="1:14" customFormat="1" x14ac:dyDescent="0.25">
      <c r="A19" s="7">
        <v>20288100</v>
      </c>
      <c r="B19" s="7" t="s">
        <v>51</v>
      </c>
      <c r="C19" s="7">
        <v>12</v>
      </c>
      <c r="D19" s="7">
        <v>26</v>
      </c>
      <c r="E19" s="7">
        <v>14</v>
      </c>
      <c r="F19" s="7">
        <v>11</v>
      </c>
      <c r="G19" s="7">
        <v>25</v>
      </c>
      <c r="H19" s="7">
        <v>6</v>
      </c>
      <c r="I19" s="7">
        <v>6500</v>
      </c>
      <c r="J19" s="7">
        <v>6500</v>
      </c>
      <c r="K19" s="7">
        <v>10</v>
      </c>
      <c r="L19" s="7"/>
      <c r="M19" s="7">
        <f t="shared" si="0"/>
        <v>6500</v>
      </c>
      <c r="N19" s="7"/>
    </row>
    <row r="20" spans="1:14" customFormat="1" x14ac:dyDescent="0.25">
      <c r="A20" s="7">
        <v>20299400</v>
      </c>
      <c r="B20" s="7" t="s">
        <v>263</v>
      </c>
      <c r="C20" s="7">
        <v>57</v>
      </c>
      <c r="D20" s="7">
        <v>48</v>
      </c>
      <c r="E20" s="7">
        <v>19</v>
      </c>
      <c r="F20" s="7">
        <v>15</v>
      </c>
      <c r="G20" s="7">
        <v>11</v>
      </c>
      <c r="H20" s="7">
        <v>5</v>
      </c>
      <c r="I20" s="7">
        <v>5500</v>
      </c>
      <c r="J20" s="7">
        <v>6800</v>
      </c>
      <c r="K20" s="7">
        <v>10</v>
      </c>
      <c r="L20" s="7">
        <v>0</v>
      </c>
      <c r="M20" s="7">
        <f t="shared" si="0"/>
        <v>6800</v>
      </c>
      <c r="N20" s="7"/>
    </row>
    <row r="21" spans="1:14" customFormat="1" x14ac:dyDescent="0.25">
      <c r="A21" s="7">
        <v>20304900</v>
      </c>
      <c r="B21" s="7" t="s">
        <v>202</v>
      </c>
      <c r="C21" s="7">
        <v>136</v>
      </c>
      <c r="D21" s="7">
        <v>23</v>
      </c>
      <c r="E21" s="7">
        <v>78</v>
      </c>
      <c r="F21" s="7">
        <v>5</v>
      </c>
      <c r="G21" s="7">
        <v>19</v>
      </c>
      <c r="H21" s="7">
        <v>13</v>
      </c>
      <c r="I21" s="7">
        <v>8500</v>
      </c>
      <c r="J21" s="7">
        <v>8500</v>
      </c>
      <c r="K21" s="7">
        <v>10</v>
      </c>
      <c r="L21" s="7">
        <v>0</v>
      </c>
      <c r="M21" s="7">
        <f t="shared" si="0"/>
        <v>8500</v>
      </c>
      <c r="N21" s="7"/>
    </row>
    <row r="22" spans="1:14" customFormat="1" x14ac:dyDescent="0.25">
      <c r="A22" s="7">
        <v>20314900</v>
      </c>
      <c r="B22" s="7" t="s">
        <v>165</v>
      </c>
      <c r="C22" s="7">
        <v>46</v>
      </c>
      <c r="D22" s="7">
        <v>31</v>
      </c>
      <c r="E22" s="7">
        <v>30</v>
      </c>
      <c r="F22" s="7">
        <v>0</v>
      </c>
      <c r="G22" s="7">
        <v>18</v>
      </c>
      <c r="H22" s="7">
        <v>8</v>
      </c>
      <c r="I22" s="7">
        <v>0</v>
      </c>
      <c r="J22" s="7">
        <v>0</v>
      </c>
      <c r="K22" s="7">
        <v>0</v>
      </c>
      <c r="L22" s="7">
        <v>0</v>
      </c>
      <c r="M22" s="7">
        <f t="shared" si="0"/>
        <v>0</v>
      </c>
      <c r="N22" s="7"/>
    </row>
    <row r="23" spans="1:14" customFormat="1" x14ac:dyDescent="0.25">
      <c r="A23" s="7">
        <v>60008000</v>
      </c>
      <c r="B23" s="7" t="s">
        <v>204</v>
      </c>
      <c r="C23" s="7">
        <v>21</v>
      </c>
      <c r="D23" s="7">
        <v>33</v>
      </c>
      <c r="E23" s="7">
        <v>0</v>
      </c>
      <c r="F23" s="7">
        <v>0</v>
      </c>
      <c r="G23" s="7">
        <v>17</v>
      </c>
      <c r="H23" s="7">
        <v>0</v>
      </c>
      <c r="I23" s="7">
        <v>0</v>
      </c>
      <c r="J23" s="7">
        <v>0</v>
      </c>
      <c r="K23" s="7">
        <v>0</v>
      </c>
      <c r="L23" s="7"/>
      <c r="M23" s="7">
        <f t="shared" si="0"/>
        <v>0</v>
      </c>
      <c r="N23" s="7"/>
    </row>
    <row r="24" spans="1:14" customFormat="1" x14ac:dyDescent="0.25">
      <c r="A24" s="7">
        <v>60011700</v>
      </c>
      <c r="B24" s="7" t="s">
        <v>52</v>
      </c>
      <c r="C24" s="7">
        <v>37</v>
      </c>
      <c r="D24" s="7">
        <v>44</v>
      </c>
      <c r="E24" s="7">
        <v>44</v>
      </c>
      <c r="F24" s="7">
        <v>21</v>
      </c>
      <c r="G24" s="7">
        <v>14</v>
      </c>
      <c r="H24" s="7">
        <v>5</v>
      </c>
      <c r="I24" s="7">
        <v>8000</v>
      </c>
      <c r="J24" s="7">
        <v>10000</v>
      </c>
      <c r="K24" s="7">
        <v>10</v>
      </c>
      <c r="L24" s="7"/>
      <c r="M24" s="7">
        <f t="shared" si="0"/>
        <v>10000</v>
      </c>
      <c r="N24" s="7"/>
    </row>
    <row r="25" spans="1:14" customFormat="1" x14ac:dyDescent="0.25">
      <c r="A25" s="7">
        <v>60021000</v>
      </c>
      <c r="B25" s="7" t="s">
        <v>206</v>
      </c>
      <c r="C25" s="7">
        <v>33</v>
      </c>
      <c r="D25" s="7">
        <v>48</v>
      </c>
      <c r="E25" s="7">
        <v>44</v>
      </c>
      <c r="F25" s="7">
        <v>13</v>
      </c>
      <c r="G25" s="7">
        <v>17</v>
      </c>
      <c r="H25" s="7">
        <v>4</v>
      </c>
      <c r="I25" s="7">
        <v>0</v>
      </c>
      <c r="J25" s="7">
        <v>0</v>
      </c>
      <c r="K25" s="7">
        <v>0</v>
      </c>
      <c r="L25" s="7">
        <v>0</v>
      </c>
      <c r="M25" s="7">
        <f t="shared" si="0"/>
        <v>0</v>
      </c>
      <c r="N25" s="7"/>
    </row>
    <row r="26" spans="1:14" customFormat="1" x14ac:dyDescent="0.25">
      <c r="A26" s="7">
        <v>60021900</v>
      </c>
      <c r="B26" s="7" t="s">
        <v>264</v>
      </c>
      <c r="C26" s="7">
        <v>19</v>
      </c>
      <c r="D26" s="7">
        <v>18</v>
      </c>
      <c r="E26" s="7">
        <v>9</v>
      </c>
      <c r="F26" s="7">
        <v>12</v>
      </c>
      <c r="G26" s="7">
        <v>12</v>
      </c>
      <c r="H26" s="7">
        <v>2</v>
      </c>
      <c r="I26" s="7">
        <v>0</v>
      </c>
      <c r="J26" s="7">
        <v>0</v>
      </c>
      <c r="K26" s="7">
        <v>0</v>
      </c>
      <c r="L26" s="7"/>
      <c r="M26" s="7">
        <f t="shared" si="0"/>
        <v>0</v>
      </c>
      <c r="N26" s="7"/>
    </row>
    <row r="27" spans="1:14" customFormat="1" x14ac:dyDescent="0.25">
      <c r="A27" s="7">
        <v>60067400</v>
      </c>
      <c r="B27" s="7" t="s">
        <v>55</v>
      </c>
      <c r="C27" s="7">
        <v>17</v>
      </c>
      <c r="D27" s="7">
        <v>16</v>
      </c>
      <c r="E27" s="7">
        <v>10</v>
      </c>
      <c r="F27" s="7">
        <v>6</v>
      </c>
      <c r="G27" s="7">
        <v>14</v>
      </c>
      <c r="H27" s="7">
        <v>2</v>
      </c>
      <c r="I27" s="7">
        <v>0</v>
      </c>
      <c r="J27" s="7">
        <v>0</v>
      </c>
      <c r="K27" s="7">
        <v>0</v>
      </c>
      <c r="L27" s="7">
        <v>0</v>
      </c>
      <c r="M27" s="7">
        <f t="shared" si="0"/>
        <v>0</v>
      </c>
      <c r="N27" s="7"/>
    </row>
    <row r="28" spans="1:14" customFormat="1" x14ac:dyDescent="0.25">
      <c r="A28" s="7">
        <v>60128300</v>
      </c>
      <c r="B28" s="7" t="s">
        <v>265</v>
      </c>
      <c r="C28" s="7">
        <v>51</v>
      </c>
      <c r="D28" s="7">
        <v>50</v>
      </c>
      <c r="E28" s="7">
        <v>29</v>
      </c>
      <c r="F28" s="7">
        <v>20</v>
      </c>
      <c r="G28" s="7">
        <v>17</v>
      </c>
      <c r="H28" s="7">
        <v>3</v>
      </c>
      <c r="I28" s="7">
        <v>0</v>
      </c>
      <c r="J28" s="7">
        <v>0</v>
      </c>
      <c r="K28" s="7">
        <v>0</v>
      </c>
      <c r="L28" s="7">
        <v>0</v>
      </c>
      <c r="M28" s="7">
        <f t="shared" si="0"/>
        <v>0</v>
      </c>
      <c r="N28" s="7"/>
    </row>
    <row r="29" spans="1:14" customFormat="1" x14ac:dyDescent="0.25">
      <c r="A29" s="7">
        <v>60167400</v>
      </c>
      <c r="B29" s="7" t="s">
        <v>266</v>
      </c>
      <c r="C29" s="7">
        <v>43</v>
      </c>
      <c r="D29" s="7">
        <v>26</v>
      </c>
      <c r="E29" s="7">
        <v>37</v>
      </c>
      <c r="F29" s="7">
        <v>33</v>
      </c>
      <c r="G29" s="7">
        <v>13</v>
      </c>
      <c r="H29" s="7">
        <v>6</v>
      </c>
      <c r="I29" s="7">
        <v>23000</v>
      </c>
      <c r="J29" s="7">
        <v>19800</v>
      </c>
      <c r="K29" s="7">
        <v>10</v>
      </c>
      <c r="L29" s="7"/>
      <c r="M29" s="7">
        <f t="shared" si="0"/>
        <v>19800</v>
      </c>
      <c r="N29" s="7"/>
    </row>
    <row r="30" spans="1:14" customFormat="1" x14ac:dyDescent="0.25">
      <c r="A30" s="7">
        <v>60233900</v>
      </c>
      <c r="B30" s="7" t="s">
        <v>267</v>
      </c>
      <c r="C30" s="7">
        <v>42</v>
      </c>
      <c r="D30" s="7">
        <v>20</v>
      </c>
      <c r="E30" s="7">
        <v>18</v>
      </c>
      <c r="F30" s="7">
        <v>11</v>
      </c>
      <c r="G30" s="7">
        <v>10</v>
      </c>
      <c r="H30" s="7">
        <v>1</v>
      </c>
      <c r="I30" s="7">
        <v>0</v>
      </c>
      <c r="J30" s="7">
        <v>0</v>
      </c>
      <c r="K30" s="7">
        <v>0</v>
      </c>
      <c r="L30" s="7"/>
      <c r="M30" s="7">
        <f t="shared" si="0"/>
        <v>0</v>
      </c>
      <c r="N30" s="7"/>
    </row>
    <row r="31" spans="1:14" customFormat="1" x14ac:dyDescent="0.25">
      <c r="A31" s="7">
        <v>60270200</v>
      </c>
      <c r="B31" s="7" t="s">
        <v>58</v>
      </c>
      <c r="C31" s="7">
        <v>107</v>
      </c>
      <c r="D31" s="7">
        <v>48</v>
      </c>
      <c r="E31" s="7">
        <v>23</v>
      </c>
      <c r="F31" s="7">
        <v>11</v>
      </c>
      <c r="G31" s="7">
        <v>18</v>
      </c>
      <c r="H31" s="7">
        <v>7</v>
      </c>
      <c r="I31" s="7">
        <v>0</v>
      </c>
      <c r="J31" s="7">
        <v>0</v>
      </c>
      <c r="K31" s="7">
        <v>0</v>
      </c>
      <c r="L31" s="7"/>
      <c r="M31" s="7">
        <f t="shared" si="0"/>
        <v>0</v>
      </c>
      <c r="N31" s="7"/>
    </row>
    <row r="32" spans="1:14" customFormat="1" x14ac:dyDescent="0.25">
      <c r="A32" s="7">
        <v>60339300</v>
      </c>
      <c r="B32" s="7" t="s">
        <v>59</v>
      </c>
      <c r="C32" s="7">
        <v>32</v>
      </c>
      <c r="D32" s="7">
        <v>26</v>
      </c>
      <c r="E32" s="7">
        <v>15</v>
      </c>
      <c r="F32" s="7">
        <v>20</v>
      </c>
      <c r="G32" s="7">
        <v>15</v>
      </c>
      <c r="H32" s="7">
        <v>1</v>
      </c>
      <c r="I32" s="7">
        <v>0</v>
      </c>
      <c r="J32" s="7">
        <v>0</v>
      </c>
      <c r="K32" s="7">
        <v>0</v>
      </c>
      <c r="L32" s="7"/>
      <c r="M32" s="7">
        <f t="shared" si="0"/>
        <v>0</v>
      </c>
      <c r="N32" s="7"/>
    </row>
    <row r="33" spans="1:14" customFormat="1" x14ac:dyDescent="0.25">
      <c r="A33" s="7">
        <v>60433000</v>
      </c>
      <c r="B33" s="7" t="s">
        <v>160</v>
      </c>
      <c r="C33" s="7">
        <v>50</v>
      </c>
      <c r="D33" s="7">
        <v>32</v>
      </c>
      <c r="E33" s="7">
        <v>0</v>
      </c>
      <c r="F33" s="7">
        <v>0</v>
      </c>
      <c r="G33" s="7">
        <v>8</v>
      </c>
      <c r="H33" s="7">
        <v>1</v>
      </c>
      <c r="I33" s="7">
        <v>0</v>
      </c>
      <c r="J33" s="7">
        <v>0</v>
      </c>
      <c r="K33" s="7">
        <v>0</v>
      </c>
      <c r="L33" s="7">
        <v>0</v>
      </c>
      <c r="M33" s="7">
        <f t="shared" si="0"/>
        <v>0</v>
      </c>
      <c r="N33" s="7"/>
    </row>
    <row r="34" spans="1:14" customFormat="1" x14ac:dyDescent="0.25">
      <c r="A34" s="7">
        <v>60442300</v>
      </c>
      <c r="B34" s="7" t="s">
        <v>268</v>
      </c>
      <c r="C34" s="7">
        <v>38</v>
      </c>
      <c r="D34" s="7">
        <v>29</v>
      </c>
      <c r="E34" s="7">
        <v>17</v>
      </c>
      <c r="F34" s="7">
        <v>11</v>
      </c>
      <c r="G34" s="7">
        <v>11</v>
      </c>
      <c r="H34" s="7">
        <v>1</v>
      </c>
      <c r="I34" s="7">
        <v>0</v>
      </c>
      <c r="J34" s="7">
        <v>0</v>
      </c>
      <c r="K34" s="7">
        <v>0</v>
      </c>
      <c r="L34" s="7">
        <v>0</v>
      </c>
      <c r="M34" s="7">
        <f t="shared" ref="M34:M65" si="1">+L34+J34</f>
        <v>0</v>
      </c>
      <c r="N34" s="7"/>
    </row>
    <row r="35" spans="1:14" customFormat="1" x14ac:dyDescent="0.25">
      <c r="A35" s="7">
        <v>60563100</v>
      </c>
      <c r="B35" s="7" t="s">
        <v>60</v>
      </c>
      <c r="C35" s="7">
        <v>150</v>
      </c>
      <c r="D35" s="7">
        <v>80</v>
      </c>
      <c r="E35" s="7">
        <v>50</v>
      </c>
      <c r="F35" s="7">
        <v>45</v>
      </c>
      <c r="G35" s="7">
        <v>40</v>
      </c>
      <c r="H35" s="7">
        <v>19</v>
      </c>
      <c r="I35" s="7">
        <v>0</v>
      </c>
      <c r="J35" s="7">
        <v>0</v>
      </c>
      <c r="K35" s="7">
        <v>0</v>
      </c>
      <c r="L35" s="7"/>
      <c r="M35" s="7">
        <f t="shared" si="1"/>
        <v>0</v>
      </c>
      <c r="N35" s="7"/>
    </row>
    <row r="36" spans="1:14" customFormat="1" x14ac:dyDescent="0.25">
      <c r="A36" s="7">
        <v>60574400</v>
      </c>
      <c r="B36" s="7" t="s">
        <v>61</v>
      </c>
      <c r="C36" s="7">
        <v>94</v>
      </c>
      <c r="D36" s="7">
        <v>24</v>
      </c>
      <c r="E36" s="7">
        <v>25</v>
      </c>
      <c r="F36" s="7">
        <v>9</v>
      </c>
      <c r="G36" s="7">
        <v>15</v>
      </c>
      <c r="H36" s="7">
        <v>3</v>
      </c>
      <c r="I36" s="7">
        <v>0</v>
      </c>
      <c r="J36" s="7">
        <v>0</v>
      </c>
      <c r="K36" s="7">
        <v>0</v>
      </c>
      <c r="L36" s="7"/>
      <c r="M36" s="7">
        <f t="shared" si="1"/>
        <v>0</v>
      </c>
      <c r="N36" s="7"/>
    </row>
    <row r="37" spans="1:14" customFormat="1" x14ac:dyDescent="0.25">
      <c r="A37" s="7">
        <v>60595200</v>
      </c>
      <c r="B37" s="7" t="s">
        <v>166</v>
      </c>
      <c r="C37" s="7">
        <v>120</v>
      </c>
      <c r="D37" s="7">
        <v>82</v>
      </c>
      <c r="E37" s="7">
        <v>0</v>
      </c>
      <c r="F37" s="7">
        <v>0</v>
      </c>
      <c r="G37" s="7">
        <v>15</v>
      </c>
      <c r="H37" s="7">
        <v>4</v>
      </c>
      <c r="I37" s="7">
        <v>0</v>
      </c>
      <c r="J37" s="7">
        <v>0</v>
      </c>
      <c r="K37" s="7">
        <v>0</v>
      </c>
      <c r="L37" s="7"/>
      <c r="M37" s="7">
        <f t="shared" si="1"/>
        <v>0</v>
      </c>
      <c r="N37" s="7"/>
    </row>
    <row r="38" spans="1:14" customFormat="1" x14ac:dyDescent="0.25">
      <c r="A38" s="7">
        <v>60595600</v>
      </c>
      <c r="B38" s="7" t="s">
        <v>167</v>
      </c>
      <c r="C38" s="7">
        <v>40</v>
      </c>
      <c r="D38" s="7">
        <v>32</v>
      </c>
      <c r="E38" s="7">
        <v>17</v>
      </c>
      <c r="F38" s="7">
        <v>0</v>
      </c>
      <c r="G38" s="7">
        <v>19</v>
      </c>
      <c r="H38" s="7">
        <v>3</v>
      </c>
      <c r="I38" s="7">
        <v>0</v>
      </c>
      <c r="J38" s="7">
        <v>0</v>
      </c>
      <c r="K38" s="7">
        <v>0</v>
      </c>
      <c r="L38" s="7"/>
      <c r="M38" s="7">
        <f t="shared" si="1"/>
        <v>0</v>
      </c>
      <c r="N38" s="7"/>
    </row>
    <row r="39" spans="1:14" customFormat="1" x14ac:dyDescent="0.25">
      <c r="A39" s="7">
        <v>60596500</v>
      </c>
      <c r="B39" s="7" t="s">
        <v>62</v>
      </c>
      <c r="C39" s="7">
        <v>55</v>
      </c>
      <c r="D39" s="7">
        <v>23</v>
      </c>
      <c r="E39" s="7">
        <v>17</v>
      </c>
      <c r="F39" s="7">
        <v>7</v>
      </c>
      <c r="G39" s="7">
        <v>14</v>
      </c>
      <c r="H39" s="7">
        <v>2</v>
      </c>
      <c r="I39" s="7">
        <v>0</v>
      </c>
      <c r="J39" s="7">
        <v>0</v>
      </c>
      <c r="K39" s="7">
        <v>0</v>
      </c>
      <c r="L39" s="7"/>
      <c r="M39" s="7">
        <f t="shared" si="1"/>
        <v>0</v>
      </c>
      <c r="N39" s="7"/>
    </row>
    <row r="40" spans="1:14" customFormat="1" x14ac:dyDescent="0.25">
      <c r="A40" s="7">
        <v>60596501</v>
      </c>
      <c r="B40" s="7" t="s">
        <v>534</v>
      </c>
      <c r="C40" s="7">
        <v>0</v>
      </c>
      <c r="D40" s="7">
        <v>0</v>
      </c>
      <c r="E40" s="7">
        <v>16</v>
      </c>
      <c r="F40" s="7">
        <v>0</v>
      </c>
      <c r="G40" s="7">
        <v>4</v>
      </c>
      <c r="H40" s="7">
        <v>1</v>
      </c>
      <c r="I40" s="7">
        <v>0</v>
      </c>
      <c r="J40" s="7">
        <v>0</v>
      </c>
      <c r="K40" s="7">
        <v>0</v>
      </c>
      <c r="L40" s="7">
        <v>0</v>
      </c>
      <c r="M40" s="7">
        <f t="shared" si="1"/>
        <v>0</v>
      </c>
      <c r="N40" s="7"/>
    </row>
    <row r="41" spans="1:14" customFormat="1" x14ac:dyDescent="0.25">
      <c r="A41" s="7">
        <v>60610300</v>
      </c>
      <c r="B41" s="7" t="s">
        <v>63</v>
      </c>
      <c r="C41" s="7">
        <v>64</v>
      </c>
      <c r="D41" s="7">
        <v>49</v>
      </c>
      <c r="E41" s="7">
        <v>36</v>
      </c>
      <c r="F41" s="7">
        <v>24</v>
      </c>
      <c r="G41" s="7">
        <v>12</v>
      </c>
      <c r="H41" s="7">
        <v>3</v>
      </c>
      <c r="I41" s="7">
        <v>0</v>
      </c>
      <c r="J41" s="7">
        <v>0</v>
      </c>
      <c r="K41" s="7">
        <v>0</v>
      </c>
      <c r="L41" s="7"/>
      <c r="M41" s="7">
        <f t="shared" si="1"/>
        <v>0</v>
      </c>
      <c r="N41" s="7"/>
    </row>
    <row r="42" spans="1:14" customFormat="1" x14ac:dyDescent="0.25">
      <c r="A42" s="7">
        <v>60611700</v>
      </c>
      <c r="B42" s="7" t="s">
        <v>64</v>
      </c>
      <c r="C42" s="7">
        <v>87</v>
      </c>
      <c r="D42" s="7">
        <v>57</v>
      </c>
      <c r="E42" s="7">
        <v>85</v>
      </c>
      <c r="F42" s="7">
        <v>31</v>
      </c>
      <c r="G42" s="7">
        <v>30</v>
      </c>
      <c r="H42" s="7">
        <v>0</v>
      </c>
      <c r="I42" s="7">
        <v>19265.849999999999</v>
      </c>
      <c r="J42" s="7">
        <v>12843.9</v>
      </c>
      <c r="K42" s="7">
        <v>10</v>
      </c>
      <c r="L42" s="7"/>
      <c r="M42" s="7">
        <f t="shared" si="1"/>
        <v>12843.9</v>
      </c>
      <c r="N42" s="7"/>
    </row>
    <row r="43" spans="1:14" customFormat="1" x14ac:dyDescent="0.25">
      <c r="A43" s="7">
        <v>60643100</v>
      </c>
      <c r="B43" s="7" t="s">
        <v>269</v>
      </c>
      <c r="C43" s="7">
        <v>49</v>
      </c>
      <c r="D43" s="7">
        <v>32</v>
      </c>
      <c r="E43" s="7">
        <v>44</v>
      </c>
      <c r="F43" s="7">
        <v>44</v>
      </c>
      <c r="G43" s="7">
        <v>12</v>
      </c>
      <c r="H43" s="7">
        <v>12</v>
      </c>
      <c r="I43" s="7">
        <v>17136</v>
      </c>
      <c r="J43" s="7">
        <v>17136</v>
      </c>
      <c r="K43" s="7">
        <v>10</v>
      </c>
      <c r="L43" s="7"/>
      <c r="M43" s="7">
        <f t="shared" si="1"/>
        <v>17136</v>
      </c>
      <c r="N43" s="7"/>
    </row>
    <row r="44" spans="1:14" customFormat="1" x14ac:dyDescent="0.25">
      <c r="A44" s="7">
        <v>60652600</v>
      </c>
      <c r="B44" s="7" t="s">
        <v>65</v>
      </c>
      <c r="C44" s="7">
        <v>90</v>
      </c>
      <c r="D44" s="7">
        <v>86</v>
      </c>
      <c r="E44" s="7">
        <v>60</v>
      </c>
      <c r="F44" s="7">
        <v>45</v>
      </c>
      <c r="G44" s="7">
        <v>18</v>
      </c>
      <c r="H44" s="7">
        <v>13</v>
      </c>
      <c r="I44" s="7">
        <v>13500</v>
      </c>
      <c r="J44" s="7">
        <v>7500</v>
      </c>
      <c r="K44" s="7">
        <v>10</v>
      </c>
      <c r="L44" s="7"/>
      <c r="M44" s="7">
        <f t="shared" si="1"/>
        <v>7500</v>
      </c>
      <c r="N44" s="7"/>
    </row>
    <row r="45" spans="1:14" customFormat="1" x14ac:dyDescent="0.25">
      <c r="A45" s="7">
        <v>60661000</v>
      </c>
      <c r="B45" s="7" t="s">
        <v>66</v>
      </c>
      <c r="C45" s="7">
        <v>42</v>
      </c>
      <c r="D45" s="7">
        <v>0</v>
      </c>
      <c r="E45" s="7">
        <v>30</v>
      </c>
      <c r="F45" s="7">
        <v>1</v>
      </c>
      <c r="G45" s="7">
        <v>0</v>
      </c>
      <c r="H45" s="7">
        <v>2</v>
      </c>
      <c r="I45" s="7">
        <v>0</v>
      </c>
      <c r="J45" s="7">
        <v>0</v>
      </c>
      <c r="K45" s="7">
        <v>0</v>
      </c>
      <c r="L45" s="7"/>
      <c r="M45" s="7">
        <f t="shared" si="1"/>
        <v>0</v>
      </c>
      <c r="N45" s="7"/>
    </row>
    <row r="46" spans="1:14" customFormat="1" x14ac:dyDescent="0.25">
      <c r="A46" s="7">
        <v>60670900</v>
      </c>
      <c r="B46" s="7" t="s">
        <v>67</v>
      </c>
      <c r="C46" s="7">
        <v>23</v>
      </c>
      <c r="D46" s="7">
        <v>18</v>
      </c>
      <c r="E46" s="7">
        <v>11</v>
      </c>
      <c r="F46" s="7">
        <v>4</v>
      </c>
      <c r="G46" s="7">
        <v>16</v>
      </c>
      <c r="H46" s="7">
        <v>4</v>
      </c>
      <c r="I46" s="7">
        <v>0</v>
      </c>
      <c r="J46" s="7">
        <v>0</v>
      </c>
      <c r="K46" s="7">
        <v>0</v>
      </c>
      <c r="L46" s="7"/>
      <c r="M46" s="7">
        <f t="shared" si="1"/>
        <v>0</v>
      </c>
      <c r="N46" s="7"/>
    </row>
    <row r="47" spans="1:14" customFormat="1" x14ac:dyDescent="0.25">
      <c r="A47" s="7">
        <v>60691500</v>
      </c>
      <c r="B47" s="7" t="s">
        <v>270</v>
      </c>
      <c r="C47" s="7">
        <v>9</v>
      </c>
      <c r="D47" s="7">
        <v>10</v>
      </c>
      <c r="E47" s="7">
        <v>14</v>
      </c>
      <c r="F47" s="7">
        <v>1</v>
      </c>
      <c r="G47" s="7">
        <v>13</v>
      </c>
      <c r="H47" s="7">
        <v>2</v>
      </c>
      <c r="I47" s="7">
        <v>0</v>
      </c>
      <c r="J47" s="7">
        <v>0</v>
      </c>
      <c r="K47" s="7">
        <v>0</v>
      </c>
      <c r="L47" s="7"/>
      <c r="M47" s="7">
        <f t="shared" si="1"/>
        <v>0</v>
      </c>
      <c r="N47" s="7"/>
    </row>
    <row r="48" spans="1:14" customFormat="1" x14ac:dyDescent="0.25">
      <c r="A48" s="7">
        <v>60702400</v>
      </c>
      <c r="B48" s="7" t="s">
        <v>271</v>
      </c>
      <c r="C48" s="7">
        <v>34</v>
      </c>
      <c r="D48" s="7">
        <v>23</v>
      </c>
      <c r="E48" s="7">
        <v>21</v>
      </c>
      <c r="F48" s="7">
        <v>17</v>
      </c>
      <c r="G48" s="7">
        <v>12</v>
      </c>
      <c r="H48" s="7">
        <v>1</v>
      </c>
      <c r="I48" s="7">
        <v>0</v>
      </c>
      <c r="J48" s="7">
        <v>0</v>
      </c>
      <c r="K48" s="7">
        <v>0</v>
      </c>
      <c r="L48" s="7"/>
      <c r="M48" s="7">
        <f t="shared" si="1"/>
        <v>0</v>
      </c>
      <c r="N48" s="7"/>
    </row>
    <row r="49" spans="1:14" customFormat="1" x14ac:dyDescent="0.25">
      <c r="A49" s="7">
        <v>60738300</v>
      </c>
      <c r="B49" s="7" t="s">
        <v>68</v>
      </c>
      <c r="C49" s="7">
        <v>32</v>
      </c>
      <c r="D49" s="7">
        <v>19</v>
      </c>
      <c r="E49" s="7">
        <v>0</v>
      </c>
      <c r="F49" s="7">
        <v>3</v>
      </c>
      <c r="G49" s="7">
        <v>13</v>
      </c>
      <c r="H49" s="7">
        <v>2</v>
      </c>
      <c r="I49" s="7">
        <v>0</v>
      </c>
      <c r="J49" s="7">
        <v>0</v>
      </c>
      <c r="K49" s="7">
        <v>0</v>
      </c>
      <c r="L49" s="7"/>
      <c r="M49" s="7">
        <f t="shared" si="1"/>
        <v>0</v>
      </c>
      <c r="N49" s="7"/>
    </row>
    <row r="50" spans="1:14" customFormat="1" x14ac:dyDescent="0.25">
      <c r="A50" s="7">
        <v>60767300</v>
      </c>
      <c r="B50" s="7" t="s">
        <v>272</v>
      </c>
      <c r="C50" s="7">
        <v>100</v>
      </c>
      <c r="D50" s="7">
        <v>53</v>
      </c>
      <c r="E50" s="7">
        <v>54</v>
      </c>
      <c r="F50" s="7">
        <v>9</v>
      </c>
      <c r="G50" s="7">
        <v>30</v>
      </c>
      <c r="H50" s="7">
        <v>8</v>
      </c>
      <c r="I50" s="7">
        <v>0</v>
      </c>
      <c r="J50" s="7">
        <v>0</v>
      </c>
      <c r="K50" s="7">
        <v>0</v>
      </c>
      <c r="L50" s="7"/>
      <c r="M50" s="7">
        <f t="shared" si="1"/>
        <v>0</v>
      </c>
      <c r="N50" s="7"/>
    </row>
    <row r="51" spans="1:14" customFormat="1" x14ac:dyDescent="0.25">
      <c r="A51" s="7">
        <v>60770900</v>
      </c>
      <c r="B51" s="7" t="s">
        <v>273</v>
      </c>
      <c r="C51" s="7">
        <v>41</v>
      </c>
      <c r="D51" s="7">
        <v>17</v>
      </c>
      <c r="E51" s="7">
        <v>10</v>
      </c>
      <c r="F51" s="7">
        <v>5</v>
      </c>
      <c r="G51" s="7">
        <v>0</v>
      </c>
      <c r="H51" s="7">
        <v>0</v>
      </c>
      <c r="I51" s="7">
        <v>0</v>
      </c>
      <c r="J51" s="7">
        <v>0</v>
      </c>
      <c r="K51" s="7">
        <v>0</v>
      </c>
      <c r="L51" s="7">
        <v>0</v>
      </c>
      <c r="M51" s="7">
        <f t="shared" si="1"/>
        <v>0</v>
      </c>
      <c r="N51" s="7"/>
    </row>
    <row r="52" spans="1:14" customFormat="1" x14ac:dyDescent="0.25">
      <c r="A52" s="7">
        <v>60778000</v>
      </c>
      <c r="B52" s="7" t="s">
        <v>69</v>
      </c>
      <c r="C52" s="7">
        <v>57</v>
      </c>
      <c r="D52" s="7">
        <v>31</v>
      </c>
      <c r="E52" s="7">
        <v>19</v>
      </c>
      <c r="F52" s="7">
        <v>18</v>
      </c>
      <c r="G52" s="7">
        <v>0</v>
      </c>
      <c r="H52" s="7">
        <v>3</v>
      </c>
      <c r="I52" s="7">
        <v>0</v>
      </c>
      <c r="J52" s="7">
        <v>0</v>
      </c>
      <c r="K52" s="7">
        <v>0</v>
      </c>
      <c r="L52" s="7">
        <v>0</v>
      </c>
      <c r="M52" s="7">
        <f t="shared" si="1"/>
        <v>0</v>
      </c>
      <c r="N52" s="7"/>
    </row>
    <row r="53" spans="1:14" customFormat="1" x14ac:dyDescent="0.25">
      <c r="A53" s="7">
        <v>60786800</v>
      </c>
      <c r="B53" s="7" t="s">
        <v>70</v>
      </c>
      <c r="C53" s="7">
        <v>44</v>
      </c>
      <c r="D53" s="7">
        <v>22</v>
      </c>
      <c r="E53" s="7">
        <v>30</v>
      </c>
      <c r="F53" s="7">
        <v>17</v>
      </c>
      <c r="G53" s="7">
        <v>18</v>
      </c>
      <c r="H53" s="7">
        <v>3</v>
      </c>
      <c r="I53" s="7">
        <v>0</v>
      </c>
      <c r="J53" s="7">
        <v>0</v>
      </c>
      <c r="K53" s="7">
        <v>0</v>
      </c>
      <c r="L53" s="7"/>
      <c r="M53" s="7">
        <f t="shared" si="1"/>
        <v>0</v>
      </c>
      <c r="N53" s="7"/>
    </row>
    <row r="54" spans="1:14" customFormat="1" x14ac:dyDescent="0.25">
      <c r="A54" s="7">
        <v>60791000</v>
      </c>
      <c r="B54" s="7" t="s">
        <v>168</v>
      </c>
      <c r="C54" s="7">
        <v>0</v>
      </c>
      <c r="D54" s="7">
        <v>0</v>
      </c>
      <c r="E54" s="7">
        <v>31</v>
      </c>
      <c r="F54" s="7">
        <v>2</v>
      </c>
      <c r="G54" s="7">
        <v>6</v>
      </c>
      <c r="H54" s="7">
        <v>0</v>
      </c>
      <c r="I54" s="7">
        <v>0</v>
      </c>
      <c r="J54" s="7">
        <v>0</v>
      </c>
      <c r="K54" s="7">
        <v>0</v>
      </c>
      <c r="L54" s="7"/>
      <c r="M54" s="7">
        <f t="shared" si="1"/>
        <v>0</v>
      </c>
      <c r="N54" s="7"/>
    </row>
    <row r="55" spans="1:14" customFormat="1" x14ac:dyDescent="0.25">
      <c r="A55" s="7">
        <v>60797800</v>
      </c>
      <c r="B55" s="7" t="s">
        <v>71</v>
      </c>
      <c r="C55" s="7">
        <v>31</v>
      </c>
      <c r="D55" s="7">
        <v>0</v>
      </c>
      <c r="E55" s="7">
        <v>15</v>
      </c>
      <c r="F55" s="7">
        <v>2</v>
      </c>
      <c r="G55" s="7">
        <v>7</v>
      </c>
      <c r="H55" s="7">
        <v>1</v>
      </c>
      <c r="I55" s="7">
        <v>0</v>
      </c>
      <c r="J55" s="7">
        <v>0</v>
      </c>
      <c r="K55" s="7">
        <v>0</v>
      </c>
      <c r="L55" s="7"/>
      <c r="M55" s="7">
        <f t="shared" si="1"/>
        <v>0</v>
      </c>
      <c r="N55" s="7"/>
    </row>
    <row r="56" spans="1:14" customFormat="1" x14ac:dyDescent="0.25">
      <c r="A56" s="7">
        <v>60798600</v>
      </c>
      <c r="B56" s="7" t="s">
        <v>161</v>
      </c>
      <c r="C56" s="7">
        <v>36</v>
      </c>
      <c r="D56" s="7">
        <v>43</v>
      </c>
      <c r="E56" s="7">
        <v>0</v>
      </c>
      <c r="F56" s="7">
        <v>0</v>
      </c>
      <c r="G56" s="7">
        <v>14</v>
      </c>
      <c r="H56" s="7">
        <v>14</v>
      </c>
      <c r="I56" s="7">
        <v>0</v>
      </c>
      <c r="J56" s="7">
        <v>0</v>
      </c>
      <c r="K56" s="7">
        <v>0</v>
      </c>
      <c r="L56" s="7"/>
      <c r="M56" s="7">
        <f t="shared" si="1"/>
        <v>0</v>
      </c>
      <c r="N56" s="7"/>
    </row>
    <row r="57" spans="1:14" customFormat="1" x14ac:dyDescent="0.25">
      <c r="A57" s="7">
        <v>60799700</v>
      </c>
      <c r="B57" s="7" t="s">
        <v>274</v>
      </c>
      <c r="C57" s="7">
        <v>41</v>
      </c>
      <c r="D57" s="7">
        <v>25</v>
      </c>
      <c r="E57" s="7">
        <v>49</v>
      </c>
      <c r="F57" s="7">
        <v>27</v>
      </c>
      <c r="G57" s="7">
        <v>18</v>
      </c>
      <c r="H57" s="7">
        <v>18</v>
      </c>
      <c r="I57" s="7">
        <v>0</v>
      </c>
      <c r="J57" s="7">
        <v>0</v>
      </c>
      <c r="K57" s="7">
        <v>0</v>
      </c>
      <c r="L57" s="7">
        <v>0</v>
      </c>
      <c r="M57" s="7">
        <f t="shared" si="1"/>
        <v>0</v>
      </c>
      <c r="N57" s="7"/>
    </row>
    <row r="58" spans="1:14" customFormat="1" x14ac:dyDescent="0.25">
      <c r="A58" s="7">
        <v>60807100</v>
      </c>
      <c r="B58" s="7" t="s">
        <v>72</v>
      </c>
      <c r="C58" s="7">
        <v>146</v>
      </c>
      <c r="D58" s="7">
        <v>139</v>
      </c>
      <c r="E58" s="7">
        <v>150</v>
      </c>
      <c r="F58" s="7">
        <v>52</v>
      </c>
      <c r="G58" s="7">
        <v>25</v>
      </c>
      <c r="H58" s="7">
        <v>14</v>
      </c>
      <c r="I58" s="7">
        <v>0</v>
      </c>
      <c r="J58" s="7">
        <v>0</v>
      </c>
      <c r="K58" s="7">
        <v>0</v>
      </c>
      <c r="L58" s="7"/>
      <c r="M58" s="7">
        <f t="shared" si="1"/>
        <v>0</v>
      </c>
      <c r="N58" s="7"/>
    </row>
    <row r="59" spans="1:14" customFormat="1" x14ac:dyDescent="0.25">
      <c r="A59" s="7">
        <v>60831300</v>
      </c>
      <c r="B59" s="7" t="s">
        <v>275</v>
      </c>
      <c r="C59" s="7">
        <v>92</v>
      </c>
      <c r="D59" s="7">
        <v>77</v>
      </c>
      <c r="E59" s="7">
        <v>55</v>
      </c>
      <c r="F59" s="7">
        <v>22</v>
      </c>
      <c r="G59" s="7">
        <v>17</v>
      </c>
      <c r="H59" s="7">
        <v>9</v>
      </c>
      <c r="I59" s="7">
        <v>20000</v>
      </c>
      <c r="J59" s="7">
        <v>17000</v>
      </c>
      <c r="K59" s="7">
        <v>12</v>
      </c>
      <c r="L59" s="7"/>
      <c r="M59" s="7">
        <f t="shared" si="1"/>
        <v>17000</v>
      </c>
      <c r="N59" s="7"/>
    </row>
    <row r="60" spans="1:14" customFormat="1" x14ac:dyDescent="0.25">
      <c r="A60" s="7">
        <v>60845900</v>
      </c>
      <c r="B60" s="7" t="s">
        <v>276</v>
      </c>
      <c r="C60" s="7">
        <v>21</v>
      </c>
      <c r="D60" s="7">
        <v>20</v>
      </c>
      <c r="E60" s="7">
        <v>10</v>
      </c>
      <c r="F60" s="7">
        <v>8</v>
      </c>
      <c r="G60" s="7">
        <v>16</v>
      </c>
      <c r="H60" s="7">
        <v>2</v>
      </c>
      <c r="I60" s="7">
        <v>0</v>
      </c>
      <c r="J60" s="7">
        <v>0</v>
      </c>
      <c r="K60" s="7">
        <v>0</v>
      </c>
      <c r="L60" s="7"/>
      <c r="M60" s="7">
        <f t="shared" si="1"/>
        <v>0</v>
      </c>
      <c r="N60" s="7"/>
    </row>
    <row r="61" spans="1:14" customFormat="1" x14ac:dyDescent="0.25">
      <c r="A61" s="7">
        <v>60863000</v>
      </c>
      <c r="B61" s="7" t="s">
        <v>73</v>
      </c>
      <c r="C61" s="7">
        <v>88</v>
      </c>
      <c r="D61" s="7">
        <v>71</v>
      </c>
      <c r="E61" s="7">
        <v>63</v>
      </c>
      <c r="F61" s="7">
        <v>28</v>
      </c>
      <c r="G61" s="7">
        <v>20</v>
      </c>
      <c r="H61" s="7">
        <v>14</v>
      </c>
      <c r="I61" s="7">
        <v>16926</v>
      </c>
      <c r="J61" s="7">
        <v>8060</v>
      </c>
      <c r="K61" s="7">
        <v>10</v>
      </c>
      <c r="L61" s="7">
        <v>3224</v>
      </c>
      <c r="M61" s="7">
        <f t="shared" si="1"/>
        <v>11284</v>
      </c>
      <c r="N61" s="7"/>
    </row>
    <row r="62" spans="1:14" customFormat="1" x14ac:dyDescent="0.25">
      <c r="A62" s="7">
        <v>60877900</v>
      </c>
      <c r="B62" s="7" t="s">
        <v>155</v>
      </c>
      <c r="C62" s="7">
        <v>33</v>
      </c>
      <c r="D62" s="7">
        <v>23</v>
      </c>
      <c r="E62" s="7">
        <v>18</v>
      </c>
      <c r="F62" s="7">
        <v>13</v>
      </c>
      <c r="G62" s="7">
        <v>8</v>
      </c>
      <c r="H62" s="7">
        <v>3</v>
      </c>
      <c r="I62" s="7">
        <v>19000</v>
      </c>
      <c r="J62" s="7">
        <v>9364.7999999999993</v>
      </c>
      <c r="K62" s="7">
        <v>10</v>
      </c>
      <c r="L62" s="7"/>
      <c r="M62" s="7">
        <f t="shared" si="1"/>
        <v>9364.7999999999993</v>
      </c>
      <c r="N62" s="7"/>
    </row>
    <row r="63" spans="1:14" customFormat="1" x14ac:dyDescent="0.25">
      <c r="A63" s="7">
        <v>60909700</v>
      </c>
      <c r="B63" s="7" t="s">
        <v>74</v>
      </c>
      <c r="C63" s="7">
        <v>0</v>
      </c>
      <c r="D63" s="7">
        <v>28</v>
      </c>
      <c r="E63" s="7">
        <v>0</v>
      </c>
      <c r="F63" s="7">
        <v>0</v>
      </c>
      <c r="G63" s="7">
        <v>5</v>
      </c>
      <c r="H63" s="7">
        <v>0</v>
      </c>
      <c r="I63" s="7">
        <v>0</v>
      </c>
      <c r="J63" s="7">
        <v>0</v>
      </c>
      <c r="K63" s="7">
        <v>0</v>
      </c>
      <c r="L63" s="7"/>
      <c r="M63" s="7">
        <f t="shared" si="1"/>
        <v>0</v>
      </c>
      <c r="N63" s="7"/>
    </row>
    <row r="64" spans="1:14" customFormat="1" x14ac:dyDescent="0.25">
      <c r="A64" s="7">
        <v>60932500</v>
      </c>
      <c r="B64" s="7" t="s">
        <v>75</v>
      </c>
      <c r="C64" s="7">
        <v>70</v>
      </c>
      <c r="D64" s="7">
        <v>50</v>
      </c>
      <c r="E64" s="7">
        <v>40</v>
      </c>
      <c r="F64" s="7">
        <v>45</v>
      </c>
      <c r="G64" s="7">
        <v>17</v>
      </c>
      <c r="H64" s="7">
        <v>5</v>
      </c>
      <c r="I64" s="7">
        <v>0</v>
      </c>
      <c r="J64" s="7">
        <v>0</v>
      </c>
      <c r="K64" s="7">
        <v>0</v>
      </c>
      <c r="L64" s="7">
        <v>0</v>
      </c>
      <c r="M64" s="7">
        <f t="shared" si="1"/>
        <v>0</v>
      </c>
      <c r="N64" s="7"/>
    </row>
    <row r="65" spans="1:14" customFormat="1" x14ac:dyDescent="0.25">
      <c r="A65" s="7">
        <v>60950000</v>
      </c>
      <c r="B65" s="7" t="s">
        <v>277</v>
      </c>
      <c r="C65" s="7">
        <v>0</v>
      </c>
      <c r="D65" s="7">
        <v>0</v>
      </c>
      <c r="E65" s="7">
        <v>19</v>
      </c>
      <c r="F65" s="7">
        <v>12</v>
      </c>
      <c r="G65" s="7">
        <v>7</v>
      </c>
      <c r="H65" s="7">
        <v>2</v>
      </c>
      <c r="I65" s="7">
        <v>0</v>
      </c>
      <c r="J65" s="7">
        <v>0</v>
      </c>
      <c r="K65" s="7">
        <v>0</v>
      </c>
      <c r="L65" s="7"/>
      <c r="M65" s="7">
        <f t="shared" si="1"/>
        <v>0</v>
      </c>
      <c r="N65" s="7"/>
    </row>
    <row r="66" spans="1:14" customFormat="1" x14ac:dyDescent="0.25">
      <c r="A66" s="7">
        <v>60956100</v>
      </c>
      <c r="B66" s="7" t="s">
        <v>278</v>
      </c>
      <c r="C66" s="7">
        <v>41</v>
      </c>
      <c r="D66" s="7">
        <v>23</v>
      </c>
      <c r="E66" s="7">
        <v>23</v>
      </c>
      <c r="F66" s="7">
        <v>14</v>
      </c>
      <c r="G66" s="7">
        <v>12</v>
      </c>
      <c r="H66" s="7">
        <v>2</v>
      </c>
      <c r="I66" s="7">
        <v>0</v>
      </c>
      <c r="J66" s="7">
        <v>0</v>
      </c>
      <c r="K66" s="7">
        <v>0</v>
      </c>
      <c r="L66" s="7"/>
      <c r="M66" s="7">
        <f t="shared" ref="M66:M97" si="2">+L66+J66</f>
        <v>0</v>
      </c>
      <c r="N66" s="7"/>
    </row>
    <row r="67" spans="1:14" customFormat="1" x14ac:dyDescent="0.25">
      <c r="A67" s="7">
        <v>60982700</v>
      </c>
      <c r="B67" s="7" t="s">
        <v>76</v>
      </c>
      <c r="C67" s="7">
        <v>40</v>
      </c>
      <c r="D67" s="7">
        <v>30</v>
      </c>
      <c r="E67" s="7">
        <v>23</v>
      </c>
      <c r="F67" s="7">
        <v>8</v>
      </c>
      <c r="G67" s="7">
        <v>12</v>
      </c>
      <c r="H67" s="7">
        <v>3</v>
      </c>
      <c r="I67" s="7">
        <v>0</v>
      </c>
      <c r="J67" s="7">
        <v>0</v>
      </c>
      <c r="K67" s="7">
        <v>0</v>
      </c>
      <c r="L67" s="7"/>
      <c r="M67" s="7">
        <f t="shared" si="2"/>
        <v>0</v>
      </c>
      <c r="N67" s="7"/>
    </row>
    <row r="68" spans="1:14" customFormat="1" x14ac:dyDescent="0.25">
      <c r="A68" s="7">
        <v>61045600</v>
      </c>
      <c r="B68" s="7" t="s">
        <v>77</v>
      </c>
      <c r="C68" s="7">
        <v>74</v>
      </c>
      <c r="D68" s="7">
        <v>64</v>
      </c>
      <c r="E68" s="7">
        <v>70</v>
      </c>
      <c r="F68" s="7">
        <v>47</v>
      </c>
      <c r="G68" s="7">
        <v>15</v>
      </c>
      <c r="H68" s="7">
        <v>3</v>
      </c>
      <c r="I68" s="7">
        <v>0</v>
      </c>
      <c r="J68" s="7">
        <v>0</v>
      </c>
      <c r="K68" s="7">
        <v>0</v>
      </c>
      <c r="L68" s="7">
        <v>0</v>
      </c>
      <c r="M68" s="7">
        <f t="shared" si="2"/>
        <v>0</v>
      </c>
      <c r="N68" s="7"/>
    </row>
    <row r="69" spans="1:14" customFormat="1" x14ac:dyDescent="0.25">
      <c r="A69" s="7">
        <v>61128600</v>
      </c>
      <c r="B69" s="7" t="s">
        <v>279</v>
      </c>
      <c r="C69" s="7">
        <v>0</v>
      </c>
      <c r="D69" s="7">
        <v>19</v>
      </c>
      <c r="E69" s="7">
        <v>0</v>
      </c>
      <c r="F69" s="7">
        <v>8</v>
      </c>
      <c r="G69" s="7">
        <v>8</v>
      </c>
      <c r="H69" s="7">
        <v>1</v>
      </c>
      <c r="I69" s="7">
        <v>0</v>
      </c>
      <c r="J69" s="7">
        <v>0</v>
      </c>
      <c r="K69" s="7">
        <v>0</v>
      </c>
      <c r="L69" s="7"/>
      <c r="M69" s="7">
        <f t="shared" si="2"/>
        <v>0</v>
      </c>
      <c r="N69" s="7"/>
    </row>
    <row r="70" spans="1:14" customFormat="1" x14ac:dyDescent="0.25">
      <c r="A70" s="7">
        <v>61172600</v>
      </c>
      <c r="B70" s="7" t="s">
        <v>280</v>
      </c>
      <c r="C70" s="7">
        <v>37</v>
      </c>
      <c r="D70" s="7">
        <v>23</v>
      </c>
      <c r="E70" s="7">
        <v>32</v>
      </c>
      <c r="F70" s="7">
        <v>10</v>
      </c>
      <c r="G70" s="7">
        <v>11</v>
      </c>
      <c r="H70" s="7">
        <v>2</v>
      </c>
      <c r="I70" s="7">
        <v>0</v>
      </c>
      <c r="J70" s="7">
        <v>0</v>
      </c>
      <c r="K70" s="7">
        <v>0</v>
      </c>
      <c r="L70" s="7">
        <v>0</v>
      </c>
      <c r="M70" s="7">
        <f t="shared" si="2"/>
        <v>0</v>
      </c>
      <c r="N70" s="7"/>
    </row>
    <row r="71" spans="1:14" customFormat="1" x14ac:dyDescent="0.25">
      <c r="A71" s="7">
        <v>61185300</v>
      </c>
      <c r="B71" s="7" t="s">
        <v>281</v>
      </c>
      <c r="C71" s="7">
        <v>88</v>
      </c>
      <c r="D71" s="7">
        <v>50</v>
      </c>
      <c r="E71" s="7">
        <v>63</v>
      </c>
      <c r="F71" s="7">
        <v>55</v>
      </c>
      <c r="G71" s="7">
        <v>29</v>
      </c>
      <c r="H71" s="7">
        <v>15</v>
      </c>
      <c r="I71" s="9">
        <v>9388.5</v>
      </c>
      <c r="J71" s="7">
        <v>9101</v>
      </c>
      <c r="K71" s="7">
        <v>10</v>
      </c>
      <c r="L71" s="7"/>
      <c r="M71" s="7">
        <f t="shared" si="2"/>
        <v>9101</v>
      </c>
      <c r="N71" s="7"/>
    </row>
    <row r="72" spans="1:14" customFormat="1" x14ac:dyDescent="0.25">
      <c r="A72" s="7">
        <v>61190300</v>
      </c>
      <c r="B72" s="7" t="s">
        <v>78</v>
      </c>
      <c r="C72" s="7">
        <v>56</v>
      </c>
      <c r="D72" s="7">
        <v>0</v>
      </c>
      <c r="E72" s="7">
        <v>0</v>
      </c>
      <c r="F72" s="7">
        <v>22</v>
      </c>
      <c r="G72" s="7">
        <v>7</v>
      </c>
      <c r="H72" s="7">
        <v>2</v>
      </c>
      <c r="I72" s="7">
        <v>0</v>
      </c>
      <c r="J72" s="7">
        <v>0</v>
      </c>
      <c r="K72" s="7">
        <v>0</v>
      </c>
      <c r="L72" s="7"/>
      <c r="M72" s="7">
        <f t="shared" si="2"/>
        <v>0</v>
      </c>
      <c r="N72" s="7"/>
    </row>
    <row r="73" spans="1:14" customFormat="1" x14ac:dyDescent="0.25">
      <c r="A73" s="7">
        <v>61190700</v>
      </c>
      <c r="B73" s="7" t="s">
        <v>79</v>
      </c>
      <c r="C73" s="7">
        <v>0</v>
      </c>
      <c r="D73" s="7">
        <v>38</v>
      </c>
      <c r="E73" s="7">
        <v>0</v>
      </c>
      <c r="F73" s="7">
        <v>0</v>
      </c>
      <c r="G73" s="7">
        <v>7</v>
      </c>
      <c r="H73" s="7">
        <v>1</v>
      </c>
      <c r="I73" s="7">
        <v>0</v>
      </c>
      <c r="J73" s="7">
        <v>0</v>
      </c>
      <c r="K73" s="7">
        <v>0</v>
      </c>
      <c r="L73" s="7">
        <v>0</v>
      </c>
      <c r="M73" s="7">
        <f t="shared" si="2"/>
        <v>0</v>
      </c>
      <c r="N73" s="7"/>
    </row>
    <row r="74" spans="1:14" customFormat="1" x14ac:dyDescent="0.25">
      <c r="A74" s="7">
        <v>61233400</v>
      </c>
      <c r="B74" s="7" t="s">
        <v>80</v>
      </c>
      <c r="C74" s="7">
        <v>80</v>
      </c>
      <c r="D74" s="7">
        <v>79</v>
      </c>
      <c r="E74" s="7">
        <v>52</v>
      </c>
      <c r="F74" s="7">
        <v>41</v>
      </c>
      <c r="G74" s="7">
        <v>21</v>
      </c>
      <c r="H74" s="7">
        <v>14</v>
      </c>
      <c r="I74" s="7">
        <v>15000</v>
      </c>
      <c r="J74" s="7">
        <v>18300</v>
      </c>
      <c r="K74" s="7">
        <v>10</v>
      </c>
      <c r="L74" s="7">
        <v>2812</v>
      </c>
      <c r="M74" s="7">
        <f t="shared" si="2"/>
        <v>21112</v>
      </c>
      <c r="N74" s="7"/>
    </row>
    <row r="75" spans="1:14" customFormat="1" x14ac:dyDescent="0.25">
      <c r="A75" s="7">
        <v>61288800</v>
      </c>
      <c r="B75" s="7" t="s">
        <v>282</v>
      </c>
      <c r="C75" s="7">
        <v>130</v>
      </c>
      <c r="D75" s="7">
        <v>121</v>
      </c>
      <c r="E75" s="7">
        <v>90</v>
      </c>
      <c r="F75" s="7">
        <v>27</v>
      </c>
      <c r="G75" s="7">
        <v>25</v>
      </c>
      <c r="H75" s="7">
        <v>6</v>
      </c>
      <c r="I75" s="7">
        <v>0</v>
      </c>
      <c r="J75" s="7">
        <v>0</v>
      </c>
      <c r="K75" s="7">
        <v>0</v>
      </c>
      <c r="L75" s="7"/>
      <c r="M75" s="7">
        <f t="shared" si="2"/>
        <v>0</v>
      </c>
      <c r="N75" s="7"/>
    </row>
    <row r="76" spans="1:14" customFormat="1" x14ac:dyDescent="0.25">
      <c r="A76" s="7">
        <v>61302600</v>
      </c>
      <c r="B76" s="7" t="s">
        <v>81</v>
      </c>
      <c r="C76" s="7">
        <v>55</v>
      </c>
      <c r="D76" s="7">
        <v>31</v>
      </c>
      <c r="E76" s="7">
        <v>38</v>
      </c>
      <c r="F76" s="7">
        <v>11</v>
      </c>
      <c r="G76" s="7">
        <v>15</v>
      </c>
      <c r="H76" s="7">
        <v>2</v>
      </c>
      <c r="I76" s="7">
        <v>0</v>
      </c>
      <c r="J76" s="7">
        <v>0</v>
      </c>
      <c r="K76" s="7">
        <v>0</v>
      </c>
      <c r="L76" s="7"/>
      <c r="M76" s="7">
        <f t="shared" si="2"/>
        <v>0</v>
      </c>
      <c r="N76" s="7"/>
    </row>
    <row r="77" spans="1:14" customFormat="1" x14ac:dyDescent="0.25">
      <c r="A77" s="7">
        <v>61337200</v>
      </c>
      <c r="B77" s="7" t="s">
        <v>283</v>
      </c>
      <c r="C77" s="7">
        <v>20</v>
      </c>
      <c r="D77" s="7">
        <v>24</v>
      </c>
      <c r="E77" s="7">
        <v>18</v>
      </c>
      <c r="F77" s="7">
        <v>8</v>
      </c>
      <c r="G77" s="7">
        <v>11</v>
      </c>
      <c r="H77" s="7">
        <v>5</v>
      </c>
      <c r="I77" s="7">
        <v>9936</v>
      </c>
      <c r="J77" s="7">
        <v>9936</v>
      </c>
      <c r="K77" s="7">
        <v>10</v>
      </c>
      <c r="L77" s="7"/>
      <c r="M77" s="7">
        <f t="shared" si="2"/>
        <v>9936</v>
      </c>
      <c r="N77" s="7"/>
    </row>
    <row r="78" spans="1:14" customFormat="1" x14ac:dyDescent="0.25">
      <c r="A78" s="7">
        <v>61375800</v>
      </c>
      <c r="B78" s="7" t="s">
        <v>82</v>
      </c>
      <c r="C78" s="7">
        <v>29</v>
      </c>
      <c r="D78" s="7">
        <v>0</v>
      </c>
      <c r="E78" s="7">
        <v>0</v>
      </c>
      <c r="F78" s="7">
        <v>8</v>
      </c>
      <c r="G78" s="7">
        <v>6</v>
      </c>
      <c r="H78" s="7">
        <v>1</v>
      </c>
      <c r="I78" s="7">
        <v>0</v>
      </c>
      <c r="J78" s="7">
        <v>0</v>
      </c>
      <c r="K78" s="7">
        <v>0</v>
      </c>
      <c r="L78" s="7"/>
      <c r="M78" s="7">
        <f t="shared" si="2"/>
        <v>0</v>
      </c>
      <c r="N78" s="7"/>
    </row>
    <row r="79" spans="1:14" customFormat="1" x14ac:dyDescent="0.25">
      <c r="A79" s="7">
        <v>61377800</v>
      </c>
      <c r="B79" s="7" t="s">
        <v>83</v>
      </c>
      <c r="C79" s="7">
        <v>48</v>
      </c>
      <c r="D79" s="7">
        <v>0</v>
      </c>
      <c r="E79" s="7">
        <v>0</v>
      </c>
      <c r="F79" s="7">
        <v>6</v>
      </c>
      <c r="G79" s="7">
        <v>6</v>
      </c>
      <c r="H79" s="7">
        <v>2</v>
      </c>
      <c r="I79" s="7">
        <v>0</v>
      </c>
      <c r="J79" s="7">
        <v>0</v>
      </c>
      <c r="K79" s="7">
        <v>0</v>
      </c>
      <c r="L79" s="7"/>
      <c r="M79" s="7">
        <f t="shared" si="2"/>
        <v>0</v>
      </c>
      <c r="N79" s="7"/>
    </row>
    <row r="80" spans="1:14" customFormat="1" x14ac:dyDescent="0.25">
      <c r="A80" s="7">
        <v>61578100</v>
      </c>
      <c r="B80" s="7" t="s">
        <v>284</v>
      </c>
      <c r="C80" s="7">
        <v>71</v>
      </c>
      <c r="D80" s="7">
        <v>75</v>
      </c>
      <c r="E80" s="7">
        <v>41</v>
      </c>
      <c r="F80" s="7">
        <v>43</v>
      </c>
      <c r="G80" s="7">
        <v>24</v>
      </c>
      <c r="H80" s="7">
        <v>11</v>
      </c>
      <c r="I80" s="7">
        <v>18000</v>
      </c>
      <c r="J80" s="7">
        <v>27500</v>
      </c>
      <c r="K80" s="7">
        <v>10</v>
      </c>
      <c r="L80" s="7">
        <v>0</v>
      </c>
      <c r="M80" s="7">
        <f t="shared" si="2"/>
        <v>27500</v>
      </c>
      <c r="N80" s="7"/>
    </row>
    <row r="81" spans="1:14" customFormat="1" x14ac:dyDescent="0.25">
      <c r="A81" s="7">
        <v>61613900</v>
      </c>
      <c r="B81" s="7" t="s">
        <v>84</v>
      </c>
      <c r="C81" s="7">
        <v>65</v>
      </c>
      <c r="D81" s="7">
        <v>44</v>
      </c>
      <c r="E81" s="7">
        <v>31</v>
      </c>
      <c r="F81" s="7">
        <v>10</v>
      </c>
      <c r="G81" s="7">
        <v>21</v>
      </c>
      <c r="H81" s="7">
        <v>6</v>
      </c>
      <c r="I81" s="7">
        <v>0</v>
      </c>
      <c r="J81" s="7">
        <v>0</v>
      </c>
      <c r="K81" s="7">
        <v>0</v>
      </c>
      <c r="L81" s="7">
        <v>0</v>
      </c>
      <c r="M81" s="7">
        <f t="shared" si="2"/>
        <v>0</v>
      </c>
      <c r="N81" s="7"/>
    </row>
    <row r="82" spans="1:14" customFormat="1" x14ac:dyDescent="0.25">
      <c r="A82" s="7">
        <v>62056100</v>
      </c>
      <c r="B82" s="7" t="s">
        <v>85</v>
      </c>
      <c r="C82" s="7">
        <v>72</v>
      </c>
      <c r="D82" s="7">
        <v>51</v>
      </c>
      <c r="E82" s="7">
        <v>42</v>
      </c>
      <c r="F82" s="7">
        <v>17</v>
      </c>
      <c r="G82" s="7">
        <v>16</v>
      </c>
      <c r="H82" s="7">
        <v>8</v>
      </c>
      <c r="I82" s="7">
        <v>0</v>
      </c>
      <c r="J82" s="7">
        <v>0</v>
      </c>
      <c r="K82" s="7">
        <v>0</v>
      </c>
      <c r="L82" s="7">
        <v>0</v>
      </c>
      <c r="M82" s="7">
        <f t="shared" si="2"/>
        <v>0</v>
      </c>
      <c r="N82" s="7"/>
    </row>
    <row r="83" spans="1:14" customFormat="1" x14ac:dyDescent="0.25">
      <c r="A83" s="7">
        <v>62111300</v>
      </c>
      <c r="B83" s="7" t="s">
        <v>86</v>
      </c>
      <c r="C83" s="7">
        <v>44</v>
      </c>
      <c r="D83" s="7">
        <v>34</v>
      </c>
      <c r="E83" s="7">
        <v>34</v>
      </c>
      <c r="F83" s="7">
        <v>11</v>
      </c>
      <c r="G83" s="7">
        <v>21</v>
      </c>
      <c r="H83" s="7">
        <v>10</v>
      </c>
      <c r="I83" s="7">
        <v>0</v>
      </c>
      <c r="J83" s="7">
        <v>0</v>
      </c>
      <c r="K83" s="7">
        <v>0</v>
      </c>
      <c r="L83" s="7"/>
      <c r="M83" s="7">
        <f t="shared" si="2"/>
        <v>0</v>
      </c>
      <c r="N83" s="7"/>
    </row>
    <row r="84" spans="1:14" customFormat="1" x14ac:dyDescent="0.25">
      <c r="A84" s="7">
        <v>62210300</v>
      </c>
      <c r="B84" s="7" t="s">
        <v>285</v>
      </c>
      <c r="C84" s="7">
        <v>2651</v>
      </c>
      <c r="D84" s="7">
        <v>1971</v>
      </c>
      <c r="E84" s="7">
        <v>1992</v>
      </c>
      <c r="F84" s="7">
        <v>0</v>
      </c>
      <c r="G84" s="7">
        <v>3618</v>
      </c>
      <c r="H84" s="7">
        <v>670</v>
      </c>
      <c r="I84" s="7">
        <v>0</v>
      </c>
      <c r="J84" s="7">
        <v>0</v>
      </c>
      <c r="K84" s="7">
        <v>0</v>
      </c>
      <c r="L84" s="7">
        <v>0</v>
      </c>
      <c r="M84" s="7">
        <f t="shared" si="2"/>
        <v>0</v>
      </c>
      <c r="N84" s="7"/>
    </row>
    <row r="85" spans="1:14" customFormat="1" x14ac:dyDescent="0.25">
      <c r="A85" s="7">
        <v>62210301</v>
      </c>
      <c r="B85" s="7" t="s">
        <v>286</v>
      </c>
      <c r="C85" s="7">
        <v>0</v>
      </c>
      <c r="D85" s="7">
        <v>35</v>
      </c>
      <c r="E85" s="7">
        <v>10</v>
      </c>
      <c r="F85" s="7">
        <v>0</v>
      </c>
      <c r="G85" s="7">
        <v>18</v>
      </c>
      <c r="H85" s="7">
        <v>3</v>
      </c>
      <c r="I85" s="7">
        <v>0</v>
      </c>
      <c r="J85" s="7">
        <v>0</v>
      </c>
      <c r="K85" s="7">
        <v>0</v>
      </c>
      <c r="L85" s="7">
        <v>0</v>
      </c>
      <c r="M85" s="7">
        <f t="shared" si="2"/>
        <v>0</v>
      </c>
      <c r="N85" s="7"/>
    </row>
    <row r="86" spans="1:14" customFormat="1" x14ac:dyDescent="0.25">
      <c r="A86" s="7">
        <v>62210302</v>
      </c>
      <c r="B86" s="7" t="s">
        <v>287</v>
      </c>
      <c r="C86" s="7">
        <v>195</v>
      </c>
      <c r="D86" s="7">
        <v>51</v>
      </c>
      <c r="E86" s="7">
        <v>33</v>
      </c>
      <c r="F86" s="7">
        <v>0</v>
      </c>
      <c r="G86" s="7">
        <v>27</v>
      </c>
      <c r="H86" s="7">
        <v>7</v>
      </c>
      <c r="I86" s="7">
        <v>0</v>
      </c>
      <c r="J86" s="7">
        <v>0</v>
      </c>
      <c r="K86" s="7">
        <v>0</v>
      </c>
      <c r="L86" s="7">
        <v>0</v>
      </c>
      <c r="M86" s="7">
        <f t="shared" si="2"/>
        <v>0</v>
      </c>
      <c r="N86" s="7"/>
    </row>
    <row r="87" spans="1:14" customFormat="1" x14ac:dyDescent="0.25">
      <c r="A87" s="7">
        <v>62210303</v>
      </c>
      <c r="B87" s="7" t="s">
        <v>288</v>
      </c>
      <c r="C87" s="7">
        <v>0</v>
      </c>
      <c r="D87" s="7">
        <v>0</v>
      </c>
      <c r="E87" s="7">
        <v>73</v>
      </c>
      <c r="F87" s="7">
        <v>0</v>
      </c>
      <c r="G87" s="7">
        <v>8</v>
      </c>
      <c r="H87" s="7">
        <v>2</v>
      </c>
      <c r="I87" s="7">
        <v>0</v>
      </c>
      <c r="J87" s="7">
        <v>0</v>
      </c>
      <c r="K87" s="7">
        <v>0</v>
      </c>
      <c r="L87" s="7">
        <v>0</v>
      </c>
      <c r="M87" s="7">
        <f t="shared" si="2"/>
        <v>0</v>
      </c>
      <c r="N87" s="7"/>
    </row>
    <row r="88" spans="1:14" customFormat="1" x14ac:dyDescent="0.25">
      <c r="A88" s="7">
        <v>62210304</v>
      </c>
      <c r="B88" s="7" t="s">
        <v>289</v>
      </c>
      <c r="C88" s="7">
        <v>109</v>
      </c>
      <c r="D88" s="7">
        <v>54</v>
      </c>
      <c r="E88" s="7">
        <v>56</v>
      </c>
      <c r="F88" s="7">
        <v>0</v>
      </c>
      <c r="G88" s="7">
        <v>27</v>
      </c>
      <c r="H88" s="7">
        <v>8</v>
      </c>
      <c r="I88" s="7">
        <v>0</v>
      </c>
      <c r="J88" s="7">
        <v>0</v>
      </c>
      <c r="K88" s="7">
        <v>0</v>
      </c>
      <c r="L88" s="7">
        <v>0</v>
      </c>
      <c r="M88" s="7">
        <f t="shared" si="2"/>
        <v>0</v>
      </c>
      <c r="N88" s="7"/>
    </row>
    <row r="89" spans="1:14" customFormat="1" x14ac:dyDescent="0.25">
      <c r="A89" s="7">
        <v>62210305</v>
      </c>
      <c r="B89" s="7" t="s">
        <v>290</v>
      </c>
      <c r="C89" s="7">
        <v>0</v>
      </c>
      <c r="D89" s="7">
        <v>61</v>
      </c>
      <c r="E89" s="7">
        <v>92</v>
      </c>
      <c r="F89" s="7">
        <v>0</v>
      </c>
      <c r="G89" s="7">
        <v>19</v>
      </c>
      <c r="H89" s="7">
        <v>4</v>
      </c>
      <c r="I89" s="7">
        <v>0</v>
      </c>
      <c r="J89" s="7">
        <v>0</v>
      </c>
      <c r="K89" s="7">
        <v>0</v>
      </c>
      <c r="L89" s="7">
        <v>0</v>
      </c>
      <c r="M89" s="7">
        <f t="shared" si="2"/>
        <v>0</v>
      </c>
      <c r="N89" s="7"/>
    </row>
    <row r="90" spans="1:14" customFormat="1" x14ac:dyDescent="0.25">
      <c r="A90" s="7">
        <v>62210306</v>
      </c>
      <c r="B90" s="7" t="s">
        <v>291</v>
      </c>
      <c r="C90" s="7">
        <v>0</v>
      </c>
      <c r="D90" s="7">
        <v>52</v>
      </c>
      <c r="E90" s="7">
        <v>47</v>
      </c>
      <c r="F90" s="7">
        <v>0</v>
      </c>
      <c r="G90" s="7">
        <v>18</v>
      </c>
      <c r="H90" s="7">
        <v>4</v>
      </c>
      <c r="I90" s="7">
        <v>0</v>
      </c>
      <c r="J90" s="7">
        <v>0</v>
      </c>
      <c r="K90" s="7">
        <v>0</v>
      </c>
      <c r="L90" s="7">
        <v>0</v>
      </c>
      <c r="M90" s="7">
        <f t="shared" si="2"/>
        <v>0</v>
      </c>
      <c r="N90" s="7"/>
    </row>
    <row r="91" spans="1:14" customFormat="1" x14ac:dyDescent="0.25">
      <c r="A91" s="7">
        <v>62210307</v>
      </c>
      <c r="B91" s="7" t="s">
        <v>292</v>
      </c>
      <c r="C91" s="7">
        <v>0</v>
      </c>
      <c r="D91" s="7">
        <v>13</v>
      </c>
      <c r="E91" s="7">
        <v>39</v>
      </c>
      <c r="F91" s="7">
        <v>0</v>
      </c>
      <c r="G91" s="7">
        <v>18</v>
      </c>
      <c r="H91" s="7">
        <v>4</v>
      </c>
      <c r="I91" s="7">
        <v>0</v>
      </c>
      <c r="J91" s="7">
        <v>0</v>
      </c>
      <c r="K91" s="7">
        <v>0</v>
      </c>
      <c r="L91" s="7">
        <v>0</v>
      </c>
      <c r="M91" s="7">
        <f t="shared" si="2"/>
        <v>0</v>
      </c>
      <c r="N91" s="7"/>
    </row>
    <row r="92" spans="1:14" customFormat="1" x14ac:dyDescent="0.25">
      <c r="A92" s="7">
        <v>62210308</v>
      </c>
      <c r="B92" s="7" t="s">
        <v>293</v>
      </c>
      <c r="C92" s="7">
        <v>111</v>
      </c>
      <c r="D92" s="7">
        <v>53</v>
      </c>
      <c r="E92" s="7">
        <v>37</v>
      </c>
      <c r="F92" s="7">
        <v>0</v>
      </c>
      <c r="G92" s="7">
        <v>28</v>
      </c>
      <c r="H92" s="7">
        <v>7</v>
      </c>
      <c r="I92" s="7">
        <v>0</v>
      </c>
      <c r="J92" s="7">
        <v>0</v>
      </c>
      <c r="K92" s="7">
        <v>0</v>
      </c>
      <c r="L92" s="7">
        <v>0</v>
      </c>
      <c r="M92" s="7">
        <f t="shared" si="2"/>
        <v>0</v>
      </c>
      <c r="N92" s="7"/>
    </row>
    <row r="93" spans="1:14" customFormat="1" x14ac:dyDescent="0.25">
      <c r="A93" s="7">
        <v>62210309</v>
      </c>
      <c r="B93" s="7" t="s">
        <v>294</v>
      </c>
      <c r="C93" s="7">
        <v>0</v>
      </c>
      <c r="D93" s="7">
        <v>46</v>
      </c>
      <c r="E93" s="7">
        <v>0</v>
      </c>
      <c r="F93" s="7">
        <v>0</v>
      </c>
      <c r="G93" s="7">
        <v>9</v>
      </c>
      <c r="H93" s="7">
        <v>2</v>
      </c>
      <c r="I93" s="7">
        <v>0</v>
      </c>
      <c r="J93" s="7">
        <v>0</v>
      </c>
      <c r="K93" s="7">
        <v>0</v>
      </c>
      <c r="L93" s="7">
        <v>0</v>
      </c>
      <c r="M93" s="7">
        <f t="shared" si="2"/>
        <v>0</v>
      </c>
      <c r="N93" s="7"/>
    </row>
    <row r="94" spans="1:14" customFormat="1" x14ac:dyDescent="0.25">
      <c r="A94" s="7">
        <v>62210310</v>
      </c>
      <c r="B94" s="7" t="s">
        <v>295</v>
      </c>
      <c r="C94" s="7">
        <v>56</v>
      </c>
      <c r="D94" s="7">
        <v>39</v>
      </c>
      <c r="E94" s="7">
        <v>40</v>
      </c>
      <c r="F94" s="7">
        <v>0</v>
      </c>
      <c r="G94" s="7">
        <v>27</v>
      </c>
      <c r="H94" s="7">
        <v>6</v>
      </c>
      <c r="I94" s="7">
        <v>0</v>
      </c>
      <c r="J94" s="7">
        <v>0</v>
      </c>
      <c r="K94" s="7">
        <v>0</v>
      </c>
      <c r="L94" s="7">
        <v>0</v>
      </c>
      <c r="M94" s="7">
        <f t="shared" si="2"/>
        <v>0</v>
      </c>
      <c r="N94" s="7"/>
    </row>
    <row r="95" spans="1:14" customFormat="1" x14ac:dyDescent="0.25">
      <c r="A95" s="7">
        <v>62210311</v>
      </c>
      <c r="B95" s="7" t="s">
        <v>296</v>
      </c>
      <c r="C95" s="7">
        <v>40</v>
      </c>
      <c r="D95" s="7">
        <v>0</v>
      </c>
      <c r="E95" s="7">
        <v>52</v>
      </c>
      <c r="F95" s="7">
        <v>0</v>
      </c>
      <c r="G95" s="7">
        <v>17</v>
      </c>
      <c r="H95" s="7">
        <v>4</v>
      </c>
      <c r="I95" s="7">
        <v>0</v>
      </c>
      <c r="J95" s="7">
        <v>0</v>
      </c>
      <c r="K95" s="7">
        <v>0</v>
      </c>
      <c r="L95" s="7">
        <v>0</v>
      </c>
      <c r="M95" s="7">
        <f t="shared" si="2"/>
        <v>0</v>
      </c>
      <c r="N95" s="7"/>
    </row>
    <row r="96" spans="1:14" customFormat="1" x14ac:dyDescent="0.25">
      <c r="A96" s="7">
        <v>62210312</v>
      </c>
      <c r="B96" s="7" t="s">
        <v>297</v>
      </c>
      <c r="C96" s="7">
        <v>0</v>
      </c>
      <c r="D96" s="7">
        <v>0</v>
      </c>
      <c r="E96" s="7">
        <v>69</v>
      </c>
      <c r="F96" s="7">
        <v>0</v>
      </c>
      <c r="G96" s="7">
        <v>8</v>
      </c>
      <c r="H96" s="7">
        <v>6</v>
      </c>
      <c r="I96" s="7">
        <v>0</v>
      </c>
      <c r="J96" s="7">
        <v>0</v>
      </c>
      <c r="K96" s="7">
        <v>0</v>
      </c>
      <c r="L96" s="7">
        <v>0</v>
      </c>
      <c r="M96" s="7">
        <f t="shared" si="2"/>
        <v>0</v>
      </c>
      <c r="N96" s="7"/>
    </row>
    <row r="97" spans="1:14" customFormat="1" x14ac:dyDescent="0.25">
      <c r="A97" s="7">
        <v>62230000</v>
      </c>
      <c r="B97" s="7" t="s">
        <v>89</v>
      </c>
      <c r="C97" s="7">
        <v>48</v>
      </c>
      <c r="D97" s="7">
        <v>30</v>
      </c>
      <c r="E97" s="7">
        <v>22</v>
      </c>
      <c r="F97" s="7">
        <v>12</v>
      </c>
      <c r="G97" s="7">
        <v>16</v>
      </c>
      <c r="H97" s="7">
        <v>3</v>
      </c>
      <c r="I97" s="7">
        <v>0</v>
      </c>
      <c r="J97" s="7">
        <v>0</v>
      </c>
      <c r="K97" s="7">
        <v>0</v>
      </c>
      <c r="L97" s="7">
        <v>0</v>
      </c>
      <c r="M97" s="7">
        <f t="shared" si="2"/>
        <v>0</v>
      </c>
      <c r="N97" s="7"/>
    </row>
    <row r="98" spans="1:14" customFormat="1" x14ac:dyDescent="0.25">
      <c r="A98" s="7">
        <v>62238400</v>
      </c>
      <c r="B98" s="7" t="s">
        <v>90</v>
      </c>
      <c r="C98" s="7">
        <v>56</v>
      </c>
      <c r="D98" s="7">
        <v>37</v>
      </c>
      <c r="E98" s="7">
        <v>41</v>
      </c>
      <c r="F98" s="7">
        <v>18</v>
      </c>
      <c r="G98" s="7">
        <v>13</v>
      </c>
      <c r="H98" s="7">
        <v>2</v>
      </c>
      <c r="I98" s="7">
        <v>0</v>
      </c>
      <c r="J98" s="7">
        <v>0</v>
      </c>
      <c r="K98" s="7">
        <v>0</v>
      </c>
      <c r="L98" s="7">
        <v>0</v>
      </c>
      <c r="M98" s="7">
        <f t="shared" ref="M98:M101" si="3">+L98+J98</f>
        <v>0</v>
      </c>
      <c r="N98" s="7"/>
    </row>
    <row r="99" spans="1:14" customFormat="1" x14ac:dyDescent="0.25">
      <c r="A99" s="7">
        <v>62242300</v>
      </c>
      <c r="B99" s="7" t="s">
        <v>91</v>
      </c>
      <c r="C99" s="7">
        <v>65</v>
      </c>
      <c r="D99" s="7">
        <v>29</v>
      </c>
      <c r="E99" s="7">
        <v>27</v>
      </c>
      <c r="F99" s="7">
        <v>0</v>
      </c>
      <c r="G99" s="7">
        <v>30</v>
      </c>
      <c r="H99" s="7">
        <v>7</v>
      </c>
      <c r="I99" s="7">
        <v>0</v>
      </c>
      <c r="J99" s="7">
        <v>0</v>
      </c>
      <c r="K99" s="7">
        <v>0</v>
      </c>
      <c r="L99" s="7"/>
      <c r="M99" s="7">
        <f t="shared" si="3"/>
        <v>0</v>
      </c>
      <c r="N99" s="7"/>
    </row>
    <row r="100" spans="1:14" customFormat="1" x14ac:dyDescent="0.25">
      <c r="A100" s="7">
        <v>62315000</v>
      </c>
      <c r="B100" s="7" t="s">
        <v>92</v>
      </c>
      <c r="C100" s="7">
        <v>22</v>
      </c>
      <c r="D100" s="7">
        <v>12</v>
      </c>
      <c r="E100" s="7">
        <v>12</v>
      </c>
      <c r="F100" s="7">
        <v>15</v>
      </c>
      <c r="G100" s="7">
        <v>11</v>
      </c>
      <c r="H100" s="7">
        <v>3</v>
      </c>
      <c r="I100" s="7">
        <v>0</v>
      </c>
      <c r="J100" s="7">
        <v>0</v>
      </c>
      <c r="K100" s="7">
        <v>0</v>
      </c>
      <c r="L100" s="7"/>
      <c r="M100" s="7">
        <f t="shared" si="3"/>
        <v>0</v>
      </c>
      <c r="N100" s="7"/>
    </row>
    <row r="101" spans="1:14" customFormat="1" x14ac:dyDescent="0.25">
      <c r="A101" s="7">
        <v>62318700</v>
      </c>
      <c r="B101" s="7" t="s">
        <v>93</v>
      </c>
      <c r="C101" s="7">
        <v>27</v>
      </c>
      <c r="D101" s="7">
        <v>18</v>
      </c>
      <c r="E101" s="7">
        <v>17</v>
      </c>
      <c r="F101" s="7">
        <v>43</v>
      </c>
      <c r="G101" s="7">
        <v>15</v>
      </c>
      <c r="H101" s="7">
        <v>3</v>
      </c>
      <c r="I101" s="7">
        <v>0</v>
      </c>
      <c r="J101" s="7">
        <v>0</v>
      </c>
      <c r="K101" s="7">
        <v>0</v>
      </c>
      <c r="L101" s="7"/>
      <c r="M101" s="7">
        <f t="shared" si="3"/>
        <v>0</v>
      </c>
      <c r="N101" s="7"/>
    </row>
    <row r="102" spans="1:14" customFormat="1" x14ac:dyDescent="0.25">
      <c r="A102" s="7">
        <v>62319200</v>
      </c>
      <c r="B102" s="7" t="s">
        <v>648</v>
      </c>
      <c r="C102" s="7">
        <v>52</v>
      </c>
      <c r="D102" s="7">
        <v>0</v>
      </c>
      <c r="E102" s="7">
        <v>0</v>
      </c>
      <c r="F102" s="7">
        <v>0</v>
      </c>
      <c r="G102" s="7">
        <v>7</v>
      </c>
      <c r="H102" s="7">
        <v>1</v>
      </c>
      <c r="I102" s="7">
        <v>0</v>
      </c>
      <c r="J102" s="7">
        <v>0</v>
      </c>
      <c r="K102" s="7">
        <v>0</v>
      </c>
      <c r="L102" s="7">
        <v>0</v>
      </c>
      <c r="M102" s="7"/>
      <c r="N102" s="7"/>
    </row>
    <row r="103" spans="1:14" customFormat="1" x14ac:dyDescent="0.25">
      <c r="A103" s="7">
        <v>62326400</v>
      </c>
      <c r="B103" s="7" t="s">
        <v>94</v>
      </c>
      <c r="C103" s="7">
        <v>0</v>
      </c>
      <c r="D103" s="7">
        <v>18</v>
      </c>
      <c r="E103" s="7">
        <v>0</v>
      </c>
      <c r="F103" s="7">
        <v>0</v>
      </c>
      <c r="G103" s="7">
        <v>6</v>
      </c>
      <c r="H103" s="7">
        <v>1</v>
      </c>
      <c r="I103" s="7">
        <v>0</v>
      </c>
      <c r="J103" s="7">
        <v>0</v>
      </c>
      <c r="K103" s="7">
        <v>0</v>
      </c>
      <c r="L103" s="7"/>
      <c r="M103" s="7">
        <f t="shared" ref="M103:M108" si="4">+L103+J103</f>
        <v>0</v>
      </c>
      <c r="N103" s="7"/>
    </row>
    <row r="104" spans="1:14" customFormat="1" x14ac:dyDescent="0.25">
      <c r="A104" s="7">
        <v>62327600</v>
      </c>
      <c r="B104" s="7" t="s">
        <v>169</v>
      </c>
      <c r="C104" s="7">
        <v>0</v>
      </c>
      <c r="D104" s="7">
        <v>0</v>
      </c>
      <c r="E104" s="7">
        <v>36</v>
      </c>
      <c r="F104" s="7">
        <v>0</v>
      </c>
      <c r="G104" s="7">
        <v>5</v>
      </c>
      <c r="H104" s="7">
        <v>1</v>
      </c>
      <c r="I104" s="7">
        <v>0</v>
      </c>
      <c r="J104" s="7">
        <v>0</v>
      </c>
      <c r="K104" s="7">
        <v>0</v>
      </c>
      <c r="L104" s="7"/>
      <c r="M104" s="7">
        <f t="shared" si="4"/>
        <v>0</v>
      </c>
      <c r="N104" s="7"/>
    </row>
    <row r="105" spans="1:14" customFormat="1" x14ac:dyDescent="0.25">
      <c r="A105" s="7">
        <v>62341500</v>
      </c>
      <c r="B105" s="7" t="s">
        <v>95</v>
      </c>
      <c r="C105" s="7">
        <v>135</v>
      </c>
      <c r="D105" s="7">
        <v>70</v>
      </c>
      <c r="E105" s="7">
        <v>54</v>
      </c>
      <c r="F105" s="7">
        <v>13</v>
      </c>
      <c r="G105" s="7">
        <v>34</v>
      </c>
      <c r="H105" s="7">
        <v>13</v>
      </c>
      <c r="I105" s="7">
        <v>0</v>
      </c>
      <c r="J105" s="7">
        <v>0</v>
      </c>
      <c r="K105" s="7">
        <v>0</v>
      </c>
      <c r="L105" s="7"/>
      <c r="M105" s="7">
        <f t="shared" si="4"/>
        <v>0</v>
      </c>
      <c r="N105" s="7"/>
    </row>
    <row r="106" spans="1:14" customFormat="1" x14ac:dyDescent="0.25">
      <c r="A106" s="7">
        <v>62385500</v>
      </c>
      <c r="B106" s="7" t="s">
        <v>199</v>
      </c>
      <c r="C106" s="7">
        <v>48</v>
      </c>
      <c r="D106" s="7">
        <v>51</v>
      </c>
      <c r="E106" s="7">
        <v>17</v>
      </c>
      <c r="F106" s="7">
        <v>0</v>
      </c>
      <c r="G106" s="7">
        <v>15</v>
      </c>
      <c r="H106" s="7">
        <v>6</v>
      </c>
      <c r="I106" s="7">
        <v>10000</v>
      </c>
      <c r="J106" s="7">
        <v>5100</v>
      </c>
      <c r="K106" s="7">
        <v>10</v>
      </c>
      <c r="L106" s="7">
        <v>11500</v>
      </c>
      <c r="M106" s="7">
        <f t="shared" si="4"/>
        <v>16600</v>
      </c>
      <c r="N106" s="7"/>
    </row>
    <row r="107" spans="1:14" customFormat="1" x14ac:dyDescent="0.25">
      <c r="A107" s="7">
        <v>62420800</v>
      </c>
      <c r="B107" s="7" t="s">
        <v>298</v>
      </c>
      <c r="C107" s="7">
        <v>75</v>
      </c>
      <c r="D107" s="7">
        <v>36</v>
      </c>
      <c r="E107" s="7">
        <v>30</v>
      </c>
      <c r="F107" s="7">
        <v>23</v>
      </c>
      <c r="G107" s="7">
        <v>13</v>
      </c>
      <c r="H107" s="7">
        <v>2</v>
      </c>
      <c r="I107" s="7">
        <v>0</v>
      </c>
      <c r="J107" s="7">
        <v>0</v>
      </c>
      <c r="K107" s="7">
        <v>0</v>
      </c>
      <c r="L107" s="7"/>
      <c r="M107" s="7">
        <f t="shared" si="4"/>
        <v>0</v>
      </c>
      <c r="N107" s="7"/>
    </row>
    <row r="108" spans="1:14" customFormat="1" x14ac:dyDescent="0.25">
      <c r="A108" s="7">
        <v>62424000</v>
      </c>
      <c r="B108" s="7" t="s">
        <v>143</v>
      </c>
      <c r="C108" s="7">
        <v>0</v>
      </c>
      <c r="D108" s="7">
        <v>25</v>
      </c>
      <c r="E108" s="7">
        <v>0</v>
      </c>
      <c r="F108" s="7">
        <v>12</v>
      </c>
      <c r="G108" s="7">
        <v>8</v>
      </c>
      <c r="H108" s="7">
        <v>1</v>
      </c>
      <c r="I108" s="7">
        <v>0</v>
      </c>
      <c r="J108" s="7">
        <v>0</v>
      </c>
      <c r="K108" s="7">
        <v>0</v>
      </c>
      <c r="L108" s="7"/>
      <c r="M108" s="7">
        <f t="shared" si="4"/>
        <v>0</v>
      </c>
      <c r="N108" s="7"/>
    </row>
    <row r="109" spans="1:14" customFormat="1" x14ac:dyDescent="0.25">
      <c r="A109" s="7">
        <v>100011800</v>
      </c>
      <c r="B109" s="7" t="s">
        <v>637</v>
      </c>
      <c r="C109" s="7">
        <v>145</v>
      </c>
      <c r="D109" s="7">
        <v>50</v>
      </c>
      <c r="E109" s="7">
        <v>55</v>
      </c>
      <c r="F109" s="7">
        <v>0</v>
      </c>
      <c r="G109" s="7">
        <v>42</v>
      </c>
      <c r="H109" s="7">
        <v>7</v>
      </c>
      <c r="I109" s="7">
        <v>0</v>
      </c>
      <c r="J109" s="7">
        <v>0</v>
      </c>
      <c r="K109" s="7">
        <v>0</v>
      </c>
      <c r="L109" s="7">
        <v>0</v>
      </c>
      <c r="M109" s="7"/>
      <c r="N109" s="7"/>
    </row>
    <row r="110" spans="1:14" customFormat="1" x14ac:dyDescent="0.25">
      <c r="A110" s="7">
        <v>100024500</v>
      </c>
      <c r="B110" s="7" t="s">
        <v>299</v>
      </c>
      <c r="C110" s="7">
        <v>44</v>
      </c>
      <c r="D110" s="7">
        <v>44</v>
      </c>
      <c r="E110" s="7">
        <v>37</v>
      </c>
      <c r="F110" s="7">
        <v>12</v>
      </c>
      <c r="G110" s="7">
        <v>30</v>
      </c>
      <c r="H110" s="7">
        <v>4</v>
      </c>
      <c r="I110" s="7">
        <v>0</v>
      </c>
      <c r="J110" s="7">
        <v>0</v>
      </c>
      <c r="K110" s="7">
        <v>0</v>
      </c>
      <c r="L110" s="7"/>
      <c r="M110" s="7">
        <f>+L110+J110</f>
        <v>0</v>
      </c>
      <c r="N110" s="7"/>
    </row>
    <row r="111" spans="1:14" customFormat="1" x14ac:dyDescent="0.25">
      <c r="A111" s="7">
        <v>100033700</v>
      </c>
      <c r="B111" s="7" t="s">
        <v>634</v>
      </c>
      <c r="C111" s="7">
        <v>687</v>
      </c>
      <c r="D111" s="7">
        <v>0</v>
      </c>
      <c r="E111" s="7">
        <v>0</v>
      </c>
      <c r="F111" s="7">
        <v>0</v>
      </c>
      <c r="G111" s="7">
        <v>29</v>
      </c>
      <c r="H111" s="7">
        <v>3</v>
      </c>
      <c r="I111" s="7">
        <v>0</v>
      </c>
      <c r="J111" s="7">
        <v>0</v>
      </c>
      <c r="K111" s="7">
        <v>0</v>
      </c>
      <c r="L111" s="7">
        <v>0</v>
      </c>
      <c r="M111" s="7"/>
      <c r="N111" s="7"/>
    </row>
    <row r="112" spans="1:14" customFormat="1" x14ac:dyDescent="0.25">
      <c r="A112" s="7">
        <v>100042200</v>
      </c>
      <c r="B112" s="7" t="s">
        <v>300</v>
      </c>
      <c r="C112" s="7">
        <v>50</v>
      </c>
      <c r="D112" s="7">
        <v>34</v>
      </c>
      <c r="E112" s="7">
        <v>26</v>
      </c>
      <c r="F112" s="7">
        <v>6</v>
      </c>
      <c r="G112" s="7">
        <v>19</v>
      </c>
      <c r="H112" s="7">
        <v>4</v>
      </c>
      <c r="I112" s="7">
        <v>0</v>
      </c>
      <c r="J112" s="7">
        <v>0</v>
      </c>
      <c r="K112" s="7">
        <v>0</v>
      </c>
      <c r="L112" s="7"/>
      <c r="M112" s="7">
        <f>+L112+J112</f>
        <v>0</v>
      </c>
      <c r="N112" s="7"/>
    </row>
    <row r="113" spans="1:14" customFormat="1" x14ac:dyDescent="0.25">
      <c r="A113" s="7">
        <v>100042201</v>
      </c>
      <c r="B113" s="7" t="s">
        <v>301</v>
      </c>
      <c r="C113" s="7">
        <v>132</v>
      </c>
      <c r="D113" s="7">
        <v>64</v>
      </c>
      <c r="E113" s="7">
        <v>43</v>
      </c>
      <c r="F113" s="7">
        <v>28</v>
      </c>
      <c r="G113" s="7">
        <v>22</v>
      </c>
      <c r="H113" s="7">
        <v>7</v>
      </c>
      <c r="I113" s="7">
        <v>0</v>
      </c>
      <c r="J113" s="7">
        <v>0</v>
      </c>
      <c r="K113" s="7">
        <v>0</v>
      </c>
      <c r="L113" s="7"/>
      <c r="M113" s="7">
        <f>+L113+J113</f>
        <v>0</v>
      </c>
      <c r="N113" s="7"/>
    </row>
    <row r="114" spans="1:14" customFormat="1" x14ac:dyDescent="0.25">
      <c r="A114" s="7">
        <v>100042202</v>
      </c>
      <c r="B114" s="7" t="s">
        <v>636</v>
      </c>
      <c r="C114" s="7">
        <v>48</v>
      </c>
      <c r="D114" s="7">
        <v>29</v>
      </c>
      <c r="E114" s="7">
        <v>20</v>
      </c>
      <c r="F114" s="7">
        <v>12</v>
      </c>
      <c r="G114" s="7">
        <v>22</v>
      </c>
      <c r="H114" s="7">
        <v>5</v>
      </c>
      <c r="I114" s="7">
        <v>0</v>
      </c>
      <c r="J114" s="7">
        <v>0</v>
      </c>
      <c r="K114" s="7">
        <v>0</v>
      </c>
      <c r="L114" s="7">
        <v>0</v>
      </c>
      <c r="M114" s="7"/>
      <c r="N114" s="7"/>
    </row>
    <row r="115" spans="1:14" customFormat="1" x14ac:dyDescent="0.25">
      <c r="A115" s="7">
        <v>100062700</v>
      </c>
      <c r="B115" s="7" t="s">
        <v>96</v>
      </c>
      <c r="C115" s="7">
        <v>77</v>
      </c>
      <c r="D115" s="7">
        <v>50</v>
      </c>
      <c r="E115" s="7">
        <v>45</v>
      </c>
      <c r="F115" s="7">
        <v>6</v>
      </c>
      <c r="G115" s="7">
        <v>23</v>
      </c>
      <c r="H115" s="7">
        <v>7</v>
      </c>
      <c r="I115" s="7">
        <v>0</v>
      </c>
      <c r="J115" s="7">
        <v>0</v>
      </c>
      <c r="K115" s="7">
        <v>0</v>
      </c>
      <c r="L115" s="7"/>
      <c r="M115" s="7">
        <f t="shared" ref="M115:M150" si="5">+L115+J115</f>
        <v>0</v>
      </c>
      <c r="N115" s="7"/>
    </row>
    <row r="116" spans="1:14" customFormat="1" x14ac:dyDescent="0.25">
      <c r="A116" s="7">
        <v>100073500</v>
      </c>
      <c r="B116" s="7" t="s">
        <v>97</v>
      </c>
      <c r="C116" s="7">
        <v>107</v>
      </c>
      <c r="D116" s="7">
        <v>129</v>
      </c>
      <c r="E116" s="7">
        <v>96</v>
      </c>
      <c r="F116" s="7">
        <v>13</v>
      </c>
      <c r="G116" s="7">
        <v>36</v>
      </c>
      <c r="H116" s="7">
        <v>8</v>
      </c>
      <c r="I116" s="7">
        <v>0</v>
      </c>
      <c r="J116" s="7">
        <v>0</v>
      </c>
      <c r="K116" s="7">
        <v>0</v>
      </c>
      <c r="L116" s="7"/>
      <c r="M116" s="7">
        <f t="shared" si="5"/>
        <v>0</v>
      </c>
      <c r="N116" s="7"/>
    </row>
    <row r="117" spans="1:14" customFormat="1" x14ac:dyDescent="0.25">
      <c r="A117" s="7">
        <v>100089900</v>
      </c>
      <c r="B117" s="7" t="s">
        <v>302</v>
      </c>
      <c r="C117" s="7">
        <v>263</v>
      </c>
      <c r="D117" s="7">
        <v>108</v>
      </c>
      <c r="E117" s="7">
        <v>60</v>
      </c>
      <c r="F117" s="7">
        <v>39</v>
      </c>
      <c r="G117" s="7">
        <v>70</v>
      </c>
      <c r="H117" s="7">
        <v>16</v>
      </c>
      <c r="I117" s="7">
        <v>0</v>
      </c>
      <c r="J117" s="7">
        <v>0</v>
      </c>
      <c r="K117" s="7">
        <v>0</v>
      </c>
      <c r="L117" s="7"/>
      <c r="M117" s="7">
        <f t="shared" si="5"/>
        <v>0</v>
      </c>
      <c r="N117" s="7"/>
    </row>
    <row r="118" spans="1:14" customFormat="1" x14ac:dyDescent="0.25">
      <c r="A118" s="7">
        <v>140068803</v>
      </c>
      <c r="B118" s="7" t="s">
        <v>31</v>
      </c>
      <c r="C118" s="7">
        <v>0</v>
      </c>
      <c r="D118" s="7">
        <v>18</v>
      </c>
      <c r="E118" s="7">
        <v>0</v>
      </c>
      <c r="F118" s="7">
        <v>3</v>
      </c>
      <c r="G118" s="7">
        <v>5</v>
      </c>
      <c r="H118" s="7">
        <v>1</v>
      </c>
      <c r="I118" s="7">
        <v>0</v>
      </c>
      <c r="J118" s="7">
        <v>0</v>
      </c>
      <c r="K118" s="7">
        <v>0</v>
      </c>
      <c r="L118" s="7">
        <v>0</v>
      </c>
      <c r="M118" s="7">
        <f t="shared" si="5"/>
        <v>0</v>
      </c>
      <c r="N118" s="7"/>
    </row>
    <row r="119" spans="1:14" customFormat="1" x14ac:dyDescent="0.25">
      <c r="A119" s="7">
        <v>140233600</v>
      </c>
      <c r="B119" s="7" t="s">
        <v>98</v>
      </c>
      <c r="C119" s="7">
        <v>17</v>
      </c>
      <c r="D119" s="7">
        <v>17</v>
      </c>
      <c r="E119" s="7">
        <v>8</v>
      </c>
      <c r="F119" s="7">
        <v>11</v>
      </c>
      <c r="G119" s="7">
        <v>21</v>
      </c>
      <c r="H119" s="7">
        <v>3</v>
      </c>
      <c r="I119" s="7">
        <v>10000</v>
      </c>
      <c r="J119" s="7">
        <v>9200</v>
      </c>
      <c r="K119" s="7">
        <v>10</v>
      </c>
      <c r="L119" s="7"/>
      <c r="M119" s="7">
        <f t="shared" si="5"/>
        <v>9200</v>
      </c>
      <c r="N119" s="7"/>
    </row>
    <row r="120" spans="1:14" customFormat="1" x14ac:dyDescent="0.25">
      <c r="A120" s="7">
        <v>140240300</v>
      </c>
      <c r="B120" s="7" t="s">
        <v>170</v>
      </c>
      <c r="C120" s="7">
        <v>49</v>
      </c>
      <c r="D120" s="7">
        <v>28</v>
      </c>
      <c r="E120" s="7">
        <v>0</v>
      </c>
      <c r="F120" s="7">
        <v>0</v>
      </c>
      <c r="G120" s="7">
        <v>8</v>
      </c>
      <c r="H120" s="7">
        <v>2</v>
      </c>
      <c r="I120" s="7">
        <v>0</v>
      </c>
      <c r="J120" s="7">
        <v>0</v>
      </c>
      <c r="K120" s="7">
        <v>0</v>
      </c>
      <c r="L120" s="7"/>
      <c r="M120" s="7">
        <f t="shared" si="5"/>
        <v>0</v>
      </c>
      <c r="N120" s="7"/>
    </row>
    <row r="121" spans="1:14" customFormat="1" x14ac:dyDescent="0.25">
      <c r="A121" s="7">
        <v>140253500</v>
      </c>
      <c r="B121" s="7" t="s">
        <v>303</v>
      </c>
      <c r="C121" s="7">
        <v>158</v>
      </c>
      <c r="D121" s="7">
        <v>104</v>
      </c>
      <c r="E121" s="7">
        <v>73</v>
      </c>
      <c r="F121" s="7">
        <v>52</v>
      </c>
      <c r="G121" s="7">
        <v>16</v>
      </c>
      <c r="H121" s="7">
        <v>7</v>
      </c>
      <c r="I121" s="7">
        <v>0</v>
      </c>
      <c r="J121" s="7">
        <v>0</v>
      </c>
      <c r="K121" s="7">
        <v>0</v>
      </c>
      <c r="L121" s="7">
        <v>0</v>
      </c>
      <c r="M121" s="7">
        <f t="shared" si="5"/>
        <v>0</v>
      </c>
      <c r="N121" s="7"/>
    </row>
    <row r="122" spans="1:14" customFormat="1" x14ac:dyDescent="0.25">
      <c r="A122" s="7">
        <v>140253504</v>
      </c>
      <c r="B122" s="7" t="s">
        <v>304</v>
      </c>
      <c r="C122" s="7">
        <v>58</v>
      </c>
      <c r="D122" s="7">
        <v>50</v>
      </c>
      <c r="E122" s="7">
        <v>31</v>
      </c>
      <c r="F122" s="7">
        <v>3</v>
      </c>
      <c r="G122" s="7">
        <v>0</v>
      </c>
      <c r="H122" s="7">
        <v>0</v>
      </c>
      <c r="I122" s="7">
        <v>0</v>
      </c>
      <c r="J122" s="7">
        <v>0</v>
      </c>
      <c r="K122" s="7">
        <v>0</v>
      </c>
      <c r="L122" s="7">
        <v>0</v>
      </c>
      <c r="M122" s="7">
        <f t="shared" si="5"/>
        <v>0</v>
      </c>
      <c r="N122" s="7"/>
    </row>
    <row r="123" spans="1:14" customFormat="1" x14ac:dyDescent="0.25">
      <c r="A123" s="7">
        <v>140261700</v>
      </c>
      <c r="B123" s="7" t="s">
        <v>305</v>
      </c>
      <c r="C123" s="7">
        <v>0</v>
      </c>
      <c r="D123" s="7">
        <v>30</v>
      </c>
      <c r="E123" s="7">
        <v>0</v>
      </c>
      <c r="F123" s="7">
        <v>2</v>
      </c>
      <c r="G123" s="7">
        <v>5</v>
      </c>
      <c r="H123" s="7">
        <v>1</v>
      </c>
      <c r="I123" s="7">
        <v>4500</v>
      </c>
      <c r="J123" s="7">
        <v>5900</v>
      </c>
      <c r="K123" s="7">
        <v>10</v>
      </c>
      <c r="L123" s="7"/>
      <c r="M123" s="7">
        <f t="shared" si="5"/>
        <v>5900</v>
      </c>
      <c r="N123" s="7"/>
    </row>
    <row r="124" spans="1:14" customFormat="1" x14ac:dyDescent="0.25">
      <c r="A124" s="7">
        <v>140278801</v>
      </c>
      <c r="B124" s="7" t="s">
        <v>306</v>
      </c>
      <c r="C124" s="7">
        <v>48</v>
      </c>
      <c r="D124" s="7">
        <v>0</v>
      </c>
      <c r="E124" s="7">
        <v>0</v>
      </c>
      <c r="F124" s="7">
        <v>18</v>
      </c>
      <c r="G124" s="7">
        <v>6</v>
      </c>
      <c r="H124" s="7">
        <v>1</v>
      </c>
      <c r="I124" s="7">
        <v>0</v>
      </c>
      <c r="J124" s="7">
        <v>0</v>
      </c>
      <c r="K124" s="7">
        <v>0</v>
      </c>
      <c r="L124" s="7"/>
      <c r="M124" s="7">
        <f t="shared" si="5"/>
        <v>0</v>
      </c>
      <c r="N124" s="7"/>
    </row>
    <row r="125" spans="1:14" customFormat="1" x14ac:dyDescent="0.25">
      <c r="A125" s="7">
        <v>140312400</v>
      </c>
      <c r="B125" s="7" t="s">
        <v>171</v>
      </c>
      <c r="C125" s="7">
        <v>0</v>
      </c>
      <c r="D125" s="7">
        <v>16</v>
      </c>
      <c r="E125" s="7">
        <v>8</v>
      </c>
      <c r="F125" s="7">
        <v>0</v>
      </c>
      <c r="G125" s="7">
        <v>7</v>
      </c>
      <c r="H125" s="7">
        <v>2</v>
      </c>
      <c r="I125" s="7">
        <v>0</v>
      </c>
      <c r="J125" s="7">
        <v>0</v>
      </c>
      <c r="K125" s="7">
        <v>0</v>
      </c>
      <c r="L125" s="7"/>
      <c r="M125" s="7">
        <f t="shared" si="5"/>
        <v>0</v>
      </c>
      <c r="N125" s="7"/>
    </row>
    <row r="126" spans="1:14" customFormat="1" x14ac:dyDescent="0.25">
      <c r="A126" s="7">
        <v>140319700</v>
      </c>
      <c r="B126" s="7" t="s">
        <v>172</v>
      </c>
      <c r="C126" s="7">
        <v>39</v>
      </c>
      <c r="D126" s="7">
        <v>38</v>
      </c>
      <c r="E126" s="7">
        <v>41</v>
      </c>
      <c r="F126" s="7">
        <v>39</v>
      </c>
      <c r="G126" s="7">
        <v>0</v>
      </c>
      <c r="H126" s="7">
        <v>0</v>
      </c>
      <c r="I126" s="8">
        <v>24500</v>
      </c>
      <c r="J126" s="8">
        <v>11400</v>
      </c>
      <c r="K126" s="7">
        <v>12</v>
      </c>
      <c r="L126" s="7">
        <v>0</v>
      </c>
      <c r="M126" s="7">
        <f t="shared" si="5"/>
        <v>11400</v>
      </c>
      <c r="N126" s="7"/>
    </row>
    <row r="127" spans="1:14" customFormat="1" x14ac:dyDescent="0.25">
      <c r="A127" s="7">
        <v>140319900</v>
      </c>
      <c r="B127" s="7" t="s">
        <v>32</v>
      </c>
      <c r="C127" s="7">
        <v>70</v>
      </c>
      <c r="D127" s="7">
        <v>0</v>
      </c>
      <c r="E127" s="7">
        <v>0</v>
      </c>
      <c r="F127" s="7">
        <v>27</v>
      </c>
      <c r="G127" s="7">
        <v>4</v>
      </c>
      <c r="H127" s="7">
        <v>1</v>
      </c>
      <c r="I127" s="7">
        <v>0</v>
      </c>
      <c r="J127" s="7">
        <v>0</v>
      </c>
      <c r="K127" s="7">
        <v>0</v>
      </c>
      <c r="L127" s="7"/>
      <c r="M127" s="7">
        <f t="shared" si="5"/>
        <v>0</v>
      </c>
      <c r="N127" s="7"/>
    </row>
    <row r="128" spans="1:14" customFormat="1" x14ac:dyDescent="0.25">
      <c r="A128" s="7">
        <v>140322200</v>
      </c>
      <c r="B128" s="7" t="s">
        <v>102</v>
      </c>
      <c r="C128" s="7">
        <v>48</v>
      </c>
      <c r="D128" s="7">
        <v>48</v>
      </c>
      <c r="E128" s="7">
        <v>30</v>
      </c>
      <c r="F128" s="7">
        <v>12</v>
      </c>
      <c r="G128" s="7">
        <v>12</v>
      </c>
      <c r="H128" s="7">
        <v>3</v>
      </c>
      <c r="I128" s="7">
        <v>5000</v>
      </c>
      <c r="J128" s="7">
        <v>8500</v>
      </c>
      <c r="K128" s="7">
        <v>10</v>
      </c>
      <c r="L128" s="7"/>
      <c r="M128" s="7">
        <f t="shared" si="5"/>
        <v>8500</v>
      </c>
      <c r="N128" s="7"/>
    </row>
    <row r="129" spans="1:14" customFormat="1" x14ac:dyDescent="0.25">
      <c r="A129" s="7">
        <v>140333900</v>
      </c>
      <c r="B129" s="7" t="s">
        <v>36</v>
      </c>
      <c r="C129" s="7">
        <v>95</v>
      </c>
      <c r="D129" s="7">
        <v>69</v>
      </c>
      <c r="E129" s="7">
        <v>79</v>
      </c>
      <c r="F129" s="7">
        <v>55</v>
      </c>
      <c r="G129" s="7">
        <v>19</v>
      </c>
      <c r="H129" s="7">
        <v>5</v>
      </c>
      <c r="I129" s="7">
        <v>17900</v>
      </c>
      <c r="J129" s="7">
        <v>6000</v>
      </c>
      <c r="K129" s="7">
        <v>10</v>
      </c>
      <c r="L129" s="7"/>
      <c r="M129" s="7">
        <f t="shared" si="5"/>
        <v>6000</v>
      </c>
      <c r="N129" s="7"/>
    </row>
    <row r="130" spans="1:14" customFormat="1" x14ac:dyDescent="0.25">
      <c r="A130" s="7">
        <v>140337300</v>
      </c>
      <c r="B130" s="7" t="s">
        <v>34</v>
      </c>
      <c r="C130" s="7">
        <v>53</v>
      </c>
      <c r="D130" s="7">
        <v>46</v>
      </c>
      <c r="E130" s="7">
        <v>45</v>
      </c>
      <c r="F130" s="7">
        <v>21</v>
      </c>
      <c r="G130" s="7">
        <v>9</v>
      </c>
      <c r="H130" s="7">
        <v>4</v>
      </c>
      <c r="I130" s="7">
        <v>0</v>
      </c>
      <c r="J130" s="7">
        <v>0</v>
      </c>
      <c r="K130" s="7">
        <v>0</v>
      </c>
      <c r="L130" s="7">
        <v>0</v>
      </c>
      <c r="M130" s="7">
        <f t="shared" si="5"/>
        <v>0</v>
      </c>
      <c r="N130" s="7"/>
    </row>
    <row r="131" spans="1:14" customFormat="1" x14ac:dyDescent="0.25">
      <c r="A131" s="7">
        <v>140359300</v>
      </c>
      <c r="B131" s="7" t="s">
        <v>307</v>
      </c>
      <c r="C131" s="7">
        <v>183</v>
      </c>
      <c r="D131" s="7">
        <v>151</v>
      </c>
      <c r="E131" s="7">
        <v>59</v>
      </c>
      <c r="F131" s="7">
        <v>31</v>
      </c>
      <c r="G131" s="7">
        <v>31</v>
      </c>
      <c r="H131" s="7">
        <v>10</v>
      </c>
      <c r="I131" s="7">
        <v>0</v>
      </c>
      <c r="J131" s="7">
        <v>0</v>
      </c>
      <c r="K131" s="7">
        <v>0</v>
      </c>
      <c r="L131" s="7"/>
      <c r="M131" s="7">
        <f t="shared" si="5"/>
        <v>0</v>
      </c>
      <c r="N131" s="7"/>
    </row>
    <row r="132" spans="1:14" customFormat="1" x14ac:dyDescent="0.25">
      <c r="A132" s="7">
        <v>140443800</v>
      </c>
      <c r="B132" s="7" t="s">
        <v>308</v>
      </c>
      <c r="C132" s="7">
        <v>103</v>
      </c>
      <c r="D132" s="7">
        <v>72</v>
      </c>
      <c r="E132" s="7">
        <v>78</v>
      </c>
      <c r="F132" s="7">
        <v>29</v>
      </c>
      <c r="G132" s="7">
        <v>13</v>
      </c>
      <c r="H132" s="7">
        <v>16</v>
      </c>
      <c r="I132" s="7">
        <v>10000</v>
      </c>
      <c r="J132" s="7">
        <v>14000</v>
      </c>
      <c r="K132" s="7">
        <v>10</v>
      </c>
      <c r="L132" s="7"/>
      <c r="M132" s="7">
        <f t="shared" si="5"/>
        <v>14000</v>
      </c>
      <c r="N132" s="7"/>
    </row>
    <row r="133" spans="1:14" customFormat="1" x14ac:dyDescent="0.25">
      <c r="A133" s="7">
        <v>140463300</v>
      </c>
      <c r="B133" s="7" t="s">
        <v>227</v>
      </c>
      <c r="C133" s="7">
        <v>60</v>
      </c>
      <c r="D133" s="7">
        <v>51</v>
      </c>
      <c r="E133" s="7">
        <v>36</v>
      </c>
      <c r="F133" s="7">
        <v>35</v>
      </c>
      <c r="G133" s="7">
        <v>18</v>
      </c>
      <c r="H133" s="7">
        <v>4</v>
      </c>
      <c r="I133" s="7">
        <v>8000</v>
      </c>
      <c r="J133" s="7">
        <v>9000</v>
      </c>
      <c r="K133" s="7">
        <v>10</v>
      </c>
      <c r="L133" s="7"/>
      <c r="M133" s="7">
        <f t="shared" si="5"/>
        <v>9000</v>
      </c>
      <c r="N133" s="7"/>
    </row>
    <row r="134" spans="1:14" customFormat="1" x14ac:dyDescent="0.25">
      <c r="A134" s="7">
        <v>140488900</v>
      </c>
      <c r="B134" s="7" t="s">
        <v>309</v>
      </c>
      <c r="C134" s="7">
        <v>35</v>
      </c>
      <c r="D134" s="7">
        <v>38</v>
      </c>
      <c r="E134" s="7">
        <v>28</v>
      </c>
      <c r="F134" s="7">
        <v>25</v>
      </c>
      <c r="G134" s="7">
        <v>14</v>
      </c>
      <c r="H134" s="7">
        <v>3</v>
      </c>
      <c r="I134" s="7">
        <v>15000</v>
      </c>
      <c r="J134" s="7">
        <v>10000</v>
      </c>
      <c r="K134" s="7">
        <v>10</v>
      </c>
      <c r="L134" s="7"/>
      <c r="M134" s="7">
        <f t="shared" si="5"/>
        <v>10000</v>
      </c>
      <c r="N134" s="7"/>
    </row>
    <row r="135" spans="1:14" customFormat="1" x14ac:dyDescent="0.25">
      <c r="A135" s="7">
        <v>140510100</v>
      </c>
      <c r="B135" s="7" t="s">
        <v>310</v>
      </c>
      <c r="C135" s="7">
        <v>142</v>
      </c>
      <c r="D135" s="7">
        <v>119</v>
      </c>
      <c r="E135" s="7">
        <v>167</v>
      </c>
      <c r="F135" s="7">
        <v>120</v>
      </c>
      <c r="G135" s="7">
        <v>16</v>
      </c>
      <c r="H135" s="7">
        <v>8</v>
      </c>
      <c r="I135" s="7">
        <v>10000</v>
      </c>
      <c r="J135" s="7">
        <v>4000</v>
      </c>
      <c r="K135" s="7">
        <v>10</v>
      </c>
      <c r="L135" s="7"/>
      <c r="M135" s="7">
        <f t="shared" si="5"/>
        <v>4000</v>
      </c>
      <c r="N135" s="7"/>
    </row>
    <row r="136" spans="1:14" customFormat="1" x14ac:dyDescent="0.25">
      <c r="A136" s="7">
        <v>140510101</v>
      </c>
      <c r="B136" s="7" t="s">
        <v>37</v>
      </c>
      <c r="C136" s="7">
        <v>53</v>
      </c>
      <c r="D136" s="7">
        <v>35</v>
      </c>
      <c r="E136" s="7">
        <v>49</v>
      </c>
      <c r="F136" s="7">
        <v>6</v>
      </c>
      <c r="G136" s="7">
        <v>8</v>
      </c>
      <c r="H136" s="7">
        <v>2</v>
      </c>
      <c r="I136" s="7">
        <v>10000</v>
      </c>
      <c r="J136" s="7">
        <v>4000</v>
      </c>
      <c r="K136" s="7">
        <v>10</v>
      </c>
      <c r="L136" s="7"/>
      <c r="M136" s="7">
        <f t="shared" si="5"/>
        <v>4000</v>
      </c>
      <c r="N136" s="7"/>
    </row>
    <row r="137" spans="1:14" customFormat="1" x14ac:dyDescent="0.25">
      <c r="A137" s="7">
        <v>140510102</v>
      </c>
      <c r="B137" s="7" t="s">
        <v>46</v>
      </c>
      <c r="C137" s="7">
        <v>52</v>
      </c>
      <c r="D137" s="7">
        <v>35</v>
      </c>
      <c r="E137" s="7">
        <v>41</v>
      </c>
      <c r="F137" s="7">
        <v>33</v>
      </c>
      <c r="G137" s="7">
        <v>9</v>
      </c>
      <c r="H137" s="7">
        <v>2</v>
      </c>
      <c r="I137" s="7">
        <v>10000</v>
      </c>
      <c r="J137" s="7">
        <v>4000</v>
      </c>
      <c r="K137" s="7">
        <v>10</v>
      </c>
      <c r="L137" s="7"/>
      <c r="M137" s="7">
        <f t="shared" si="5"/>
        <v>4000</v>
      </c>
      <c r="N137" s="7"/>
    </row>
    <row r="138" spans="1:14" customFormat="1" x14ac:dyDescent="0.25">
      <c r="A138" s="7">
        <v>140510103</v>
      </c>
      <c r="B138" s="7" t="s">
        <v>48</v>
      </c>
      <c r="C138" s="7">
        <v>20</v>
      </c>
      <c r="D138" s="7">
        <v>19</v>
      </c>
      <c r="E138" s="7">
        <v>19</v>
      </c>
      <c r="F138" s="7">
        <v>0</v>
      </c>
      <c r="G138" s="7">
        <v>10</v>
      </c>
      <c r="H138" s="7">
        <v>1</v>
      </c>
      <c r="I138" s="7">
        <v>10000</v>
      </c>
      <c r="J138" s="7">
        <v>4000</v>
      </c>
      <c r="K138" s="7">
        <v>10</v>
      </c>
      <c r="L138" s="7"/>
      <c r="M138" s="7">
        <f t="shared" si="5"/>
        <v>4000</v>
      </c>
      <c r="N138" s="7"/>
    </row>
    <row r="139" spans="1:14" customFormat="1" x14ac:dyDescent="0.25">
      <c r="A139" s="7">
        <v>140510104</v>
      </c>
      <c r="B139" s="7" t="s">
        <v>44</v>
      </c>
      <c r="C139" s="7">
        <v>51</v>
      </c>
      <c r="D139" s="7">
        <v>41</v>
      </c>
      <c r="E139" s="7">
        <v>34</v>
      </c>
      <c r="F139" s="7">
        <v>29</v>
      </c>
      <c r="G139" s="7">
        <v>14</v>
      </c>
      <c r="H139" s="7">
        <v>3</v>
      </c>
      <c r="I139" s="7">
        <v>10000</v>
      </c>
      <c r="J139" s="7">
        <v>4000</v>
      </c>
      <c r="K139" s="7" t="s">
        <v>586</v>
      </c>
      <c r="L139" s="7">
        <v>0</v>
      </c>
      <c r="M139" s="7">
        <f t="shared" si="5"/>
        <v>4000</v>
      </c>
      <c r="N139" s="7"/>
    </row>
    <row r="140" spans="1:14" customFormat="1" x14ac:dyDescent="0.25">
      <c r="A140" s="7">
        <v>140510105</v>
      </c>
      <c r="B140" s="7" t="s">
        <v>47</v>
      </c>
      <c r="C140" s="7">
        <v>21</v>
      </c>
      <c r="D140" s="7">
        <v>14</v>
      </c>
      <c r="E140" s="7">
        <v>20</v>
      </c>
      <c r="F140" s="7">
        <v>19</v>
      </c>
      <c r="G140" s="7">
        <v>8</v>
      </c>
      <c r="H140" s="7">
        <v>1</v>
      </c>
      <c r="I140" s="7">
        <v>10000</v>
      </c>
      <c r="J140" s="7">
        <v>4000</v>
      </c>
      <c r="K140" s="7">
        <v>10</v>
      </c>
      <c r="L140" s="7"/>
      <c r="M140" s="7">
        <f t="shared" si="5"/>
        <v>4000</v>
      </c>
      <c r="N140" s="7"/>
    </row>
    <row r="141" spans="1:14" customFormat="1" x14ac:dyDescent="0.25">
      <c r="A141" s="7">
        <v>140510106</v>
      </c>
      <c r="B141" s="7" t="s">
        <v>38</v>
      </c>
      <c r="C141" s="7">
        <v>39</v>
      </c>
      <c r="D141" s="7">
        <v>25</v>
      </c>
      <c r="E141" s="7">
        <v>30</v>
      </c>
      <c r="F141" s="7">
        <v>21</v>
      </c>
      <c r="G141" s="7">
        <v>0</v>
      </c>
      <c r="H141" s="7">
        <v>0</v>
      </c>
      <c r="I141" s="7">
        <v>10000</v>
      </c>
      <c r="J141" s="7">
        <v>4000</v>
      </c>
      <c r="K141" s="7">
        <v>10</v>
      </c>
      <c r="L141" s="7">
        <v>0</v>
      </c>
      <c r="M141" s="7">
        <f t="shared" si="5"/>
        <v>4000</v>
      </c>
      <c r="N141" s="7"/>
    </row>
    <row r="142" spans="1:14" customFormat="1" x14ac:dyDescent="0.25">
      <c r="A142" s="7">
        <v>140510107</v>
      </c>
      <c r="B142" s="7" t="s">
        <v>49</v>
      </c>
      <c r="C142" s="7">
        <v>20</v>
      </c>
      <c r="D142" s="7">
        <v>6</v>
      </c>
      <c r="E142" s="7">
        <v>20</v>
      </c>
      <c r="F142" s="7">
        <v>11</v>
      </c>
      <c r="G142" s="7">
        <v>8</v>
      </c>
      <c r="H142" s="7">
        <v>1</v>
      </c>
      <c r="I142" s="7">
        <v>10000</v>
      </c>
      <c r="J142" s="7">
        <v>4000</v>
      </c>
      <c r="K142" s="7">
        <v>10</v>
      </c>
      <c r="L142" s="7"/>
      <c r="M142" s="7">
        <f t="shared" si="5"/>
        <v>4000</v>
      </c>
      <c r="N142" s="7"/>
    </row>
    <row r="143" spans="1:14" customFormat="1" x14ac:dyDescent="0.25">
      <c r="A143" s="7">
        <v>140510108</v>
      </c>
      <c r="B143" s="7" t="s">
        <v>203</v>
      </c>
      <c r="C143" s="7">
        <v>20</v>
      </c>
      <c r="D143" s="7">
        <v>26</v>
      </c>
      <c r="E143" s="7">
        <v>37</v>
      </c>
      <c r="F143" s="7">
        <v>22</v>
      </c>
      <c r="G143" s="7">
        <v>9</v>
      </c>
      <c r="H143" s="7">
        <v>2</v>
      </c>
      <c r="I143" s="7">
        <v>10000</v>
      </c>
      <c r="J143" s="7">
        <v>4000</v>
      </c>
      <c r="K143" s="7">
        <v>10</v>
      </c>
      <c r="L143" s="7"/>
      <c r="M143" s="7">
        <f t="shared" si="5"/>
        <v>4000</v>
      </c>
      <c r="N143" s="7"/>
    </row>
    <row r="144" spans="1:14" customFormat="1" x14ac:dyDescent="0.25">
      <c r="A144" s="7">
        <v>140510300</v>
      </c>
      <c r="B144" s="7" t="s">
        <v>311</v>
      </c>
      <c r="C144" s="7">
        <v>104</v>
      </c>
      <c r="D144" s="7">
        <v>41</v>
      </c>
      <c r="E144" s="7">
        <v>16</v>
      </c>
      <c r="F144" s="7">
        <v>9</v>
      </c>
      <c r="G144" s="7">
        <v>12</v>
      </c>
      <c r="H144" s="7">
        <v>3</v>
      </c>
      <c r="I144" s="7">
        <v>0</v>
      </c>
      <c r="J144" s="7">
        <v>0</v>
      </c>
      <c r="K144" s="7">
        <v>0</v>
      </c>
      <c r="L144" s="7"/>
      <c r="M144" s="7">
        <f t="shared" si="5"/>
        <v>0</v>
      </c>
      <c r="N144" s="7"/>
    </row>
    <row r="145" spans="1:14" customFormat="1" x14ac:dyDescent="0.25">
      <c r="A145" s="7">
        <v>140532900</v>
      </c>
      <c r="B145" s="7" t="s">
        <v>173</v>
      </c>
      <c r="C145" s="7">
        <v>44</v>
      </c>
      <c r="D145" s="7">
        <v>33</v>
      </c>
      <c r="E145" s="7">
        <v>34</v>
      </c>
      <c r="F145" s="7">
        <v>11</v>
      </c>
      <c r="G145" s="7">
        <v>14</v>
      </c>
      <c r="H145" s="7">
        <v>3</v>
      </c>
      <c r="I145" s="7">
        <v>20000</v>
      </c>
      <c r="J145" s="7">
        <v>7000</v>
      </c>
      <c r="K145" s="7">
        <v>10</v>
      </c>
      <c r="L145" s="7"/>
      <c r="M145" s="7">
        <f t="shared" si="5"/>
        <v>7000</v>
      </c>
      <c r="N145" s="7"/>
    </row>
    <row r="146" spans="1:14" customFormat="1" x14ac:dyDescent="0.25">
      <c r="A146" s="7">
        <v>140535004</v>
      </c>
      <c r="B146" s="7" t="s">
        <v>312</v>
      </c>
      <c r="C146" s="7">
        <v>0</v>
      </c>
      <c r="D146" s="7">
        <v>0</v>
      </c>
      <c r="E146" s="7">
        <v>34</v>
      </c>
      <c r="F146" s="7">
        <v>9</v>
      </c>
      <c r="G146" s="7">
        <v>7</v>
      </c>
      <c r="H146" s="7">
        <v>2</v>
      </c>
      <c r="I146" s="7">
        <v>0</v>
      </c>
      <c r="J146" s="7">
        <v>0</v>
      </c>
      <c r="K146" s="7">
        <v>0</v>
      </c>
      <c r="L146" s="7">
        <v>0</v>
      </c>
      <c r="M146" s="7">
        <f t="shared" si="5"/>
        <v>0</v>
      </c>
      <c r="N146" s="7"/>
    </row>
    <row r="147" spans="1:14" customFormat="1" x14ac:dyDescent="0.25">
      <c r="A147" s="7">
        <v>140544100</v>
      </c>
      <c r="B147" s="7" t="s">
        <v>104</v>
      </c>
      <c r="C147" s="7">
        <v>0</v>
      </c>
      <c r="D147" s="7">
        <v>0</v>
      </c>
      <c r="E147" s="7">
        <v>34</v>
      </c>
      <c r="F147" s="7">
        <v>0</v>
      </c>
      <c r="G147" s="7">
        <v>4</v>
      </c>
      <c r="H147" s="7">
        <v>2</v>
      </c>
      <c r="I147" s="7">
        <v>0</v>
      </c>
      <c r="J147" s="7">
        <v>0</v>
      </c>
      <c r="K147" s="7">
        <v>0</v>
      </c>
      <c r="L147" s="7">
        <v>0</v>
      </c>
      <c r="M147" s="7">
        <f t="shared" si="5"/>
        <v>0</v>
      </c>
      <c r="N147" s="7"/>
    </row>
    <row r="148" spans="1:14" customFormat="1" x14ac:dyDescent="0.25">
      <c r="A148" s="7">
        <v>140544101</v>
      </c>
      <c r="B148" s="7" t="s">
        <v>105</v>
      </c>
      <c r="C148" s="7">
        <v>95</v>
      </c>
      <c r="D148" s="7">
        <v>70</v>
      </c>
      <c r="E148" s="7">
        <v>56</v>
      </c>
      <c r="F148" s="7">
        <v>37</v>
      </c>
      <c r="G148" s="7">
        <v>17</v>
      </c>
      <c r="H148" s="7">
        <v>6</v>
      </c>
      <c r="I148" s="7">
        <v>0</v>
      </c>
      <c r="J148" s="7">
        <v>0</v>
      </c>
      <c r="K148" s="7">
        <v>0</v>
      </c>
      <c r="L148" s="7">
        <v>0</v>
      </c>
      <c r="M148" s="7">
        <f t="shared" si="5"/>
        <v>0</v>
      </c>
      <c r="N148" s="7"/>
    </row>
    <row r="149" spans="1:14" customFormat="1" x14ac:dyDescent="0.25">
      <c r="A149" s="7">
        <v>140544105</v>
      </c>
      <c r="B149" s="7" t="s">
        <v>106</v>
      </c>
      <c r="C149" s="7">
        <v>99</v>
      </c>
      <c r="D149" s="7">
        <v>69</v>
      </c>
      <c r="E149" s="7">
        <v>52</v>
      </c>
      <c r="F149" s="7">
        <v>40</v>
      </c>
      <c r="G149" s="7">
        <v>24</v>
      </c>
      <c r="H149" s="7">
        <v>6</v>
      </c>
      <c r="I149" s="7">
        <v>0</v>
      </c>
      <c r="J149" s="7">
        <v>0</v>
      </c>
      <c r="K149" s="7">
        <v>0</v>
      </c>
      <c r="L149" s="7">
        <v>0</v>
      </c>
      <c r="M149" s="7">
        <f t="shared" si="5"/>
        <v>0</v>
      </c>
      <c r="N149" s="7"/>
    </row>
    <row r="150" spans="1:14" customFormat="1" x14ac:dyDescent="0.25">
      <c r="A150" s="7">
        <v>140544107</v>
      </c>
      <c r="B150" s="7" t="s">
        <v>107</v>
      </c>
      <c r="C150" s="7">
        <v>91</v>
      </c>
      <c r="D150" s="7">
        <v>98</v>
      </c>
      <c r="E150" s="7">
        <v>75</v>
      </c>
      <c r="F150" s="7">
        <v>47</v>
      </c>
      <c r="G150" s="7">
        <v>31</v>
      </c>
      <c r="H150" s="7">
        <v>9</v>
      </c>
      <c r="I150" s="7">
        <v>0</v>
      </c>
      <c r="J150" s="7">
        <v>0</v>
      </c>
      <c r="K150" s="7">
        <v>0</v>
      </c>
      <c r="L150" s="7">
        <v>0</v>
      </c>
      <c r="M150" s="7">
        <f t="shared" si="5"/>
        <v>0</v>
      </c>
      <c r="N150" s="7"/>
    </row>
    <row r="151" spans="1:14" customFormat="1" x14ac:dyDescent="0.25">
      <c r="A151" s="7">
        <v>180041100</v>
      </c>
      <c r="B151" s="7" t="s">
        <v>313</v>
      </c>
      <c r="C151" s="7">
        <v>175</v>
      </c>
      <c r="D151" s="7">
        <v>124</v>
      </c>
      <c r="E151" s="7">
        <v>242</v>
      </c>
      <c r="F151" s="7">
        <v>101</v>
      </c>
      <c r="G151" s="7">
        <v>36</v>
      </c>
      <c r="H151" s="7">
        <v>0</v>
      </c>
      <c r="I151" s="7">
        <v>0</v>
      </c>
      <c r="J151" s="7">
        <v>0</v>
      </c>
      <c r="K151" s="7">
        <v>0</v>
      </c>
      <c r="L151" s="7">
        <v>0</v>
      </c>
      <c r="M151" s="7"/>
      <c r="N151" s="7"/>
    </row>
    <row r="152" spans="1:14" customFormat="1" x14ac:dyDescent="0.25">
      <c r="A152" s="7">
        <v>180121600</v>
      </c>
      <c r="B152" s="7" t="s">
        <v>314</v>
      </c>
      <c r="C152" s="7">
        <v>56</v>
      </c>
      <c r="D152" s="7">
        <v>39</v>
      </c>
      <c r="E152" s="7">
        <v>28</v>
      </c>
      <c r="F152" s="7">
        <v>12</v>
      </c>
      <c r="G152" s="7">
        <v>15</v>
      </c>
      <c r="H152" s="7">
        <v>3</v>
      </c>
      <c r="I152" s="7">
        <v>4000</v>
      </c>
      <c r="J152" s="7">
        <v>5000</v>
      </c>
      <c r="K152" s="7">
        <v>10</v>
      </c>
      <c r="L152" s="7">
        <v>0</v>
      </c>
      <c r="M152" s="7">
        <f>+L152+J152</f>
        <v>5000</v>
      </c>
      <c r="N152" s="7"/>
    </row>
    <row r="153" spans="1:14" customFormat="1" x14ac:dyDescent="0.25">
      <c r="A153" s="7">
        <v>180141300</v>
      </c>
      <c r="B153" s="7" t="s">
        <v>315</v>
      </c>
      <c r="C153" s="7">
        <v>68</v>
      </c>
      <c r="D153" s="7">
        <v>39</v>
      </c>
      <c r="E153" s="7">
        <v>17</v>
      </c>
      <c r="F153" s="7">
        <v>32</v>
      </c>
      <c r="G153" s="7">
        <v>15</v>
      </c>
      <c r="H153" s="7">
        <v>3</v>
      </c>
      <c r="I153" s="7">
        <v>0</v>
      </c>
      <c r="J153" s="7">
        <v>0</v>
      </c>
      <c r="K153" s="7">
        <v>0</v>
      </c>
      <c r="L153" s="7">
        <v>0</v>
      </c>
      <c r="M153" s="7"/>
      <c r="N153" s="7"/>
    </row>
    <row r="154" spans="1:14" customFormat="1" x14ac:dyDescent="0.25">
      <c r="A154" s="7">
        <v>180141400</v>
      </c>
      <c r="B154" s="7" t="s">
        <v>316</v>
      </c>
      <c r="C154" s="7">
        <v>64</v>
      </c>
      <c r="D154" s="7">
        <v>44</v>
      </c>
      <c r="E154" s="7">
        <v>28</v>
      </c>
      <c r="F154" s="7">
        <v>14</v>
      </c>
      <c r="G154" s="7">
        <v>17</v>
      </c>
      <c r="H154" s="7">
        <v>2</v>
      </c>
      <c r="I154" s="7">
        <v>0</v>
      </c>
      <c r="J154" s="7">
        <v>0</v>
      </c>
      <c r="K154" s="7">
        <v>0</v>
      </c>
      <c r="L154" s="7">
        <v>0</v>
      </c>
      <c r="M154" s="7"/>
      <c r="N154" s="7"/>
    </row>
    <row r="155" spans="1:14" customFormat="1" x14ac:dyDescent="0.25">
      <c r="A155" s="7">
        <v>180141500</v>
      </c>
      <c r="B155" s="7" t="s">
        <v>317</v>
      </c>
      <c r="C155" s="7">
        <v>71</v>
      </c>
      <c r="D155" s="7">
        <v>30</v>
      </c>
      <c r="E155" s="7">
        <v>20</v>
      </c>
      <c r="F155" s="7">
        <v>9</v>
      </c>
      <c r="G155" s="7">
        <v>16</v>
      </c>
      <c r="H155" s="7">
        <v>2</v>
      </c>
      <c r="I155" s="7">
        <v>0</v>
      </c>
      <c r="J155" s="7">
        <v>0</v>
      </c>
      <c r="K155" s="7">
        <v>0</v>
      </c>
      <c r="L155" s="7">
        <v>0</v>
      </c>
      <c r="M155" s="7">
        <f>+L155+J155</f>
        <v>0</v>
      </c>
      <c r="N155" s="7"/>
    </row>
    <row r="156" spans="1:14" customFormat="1" x14ac:dyDescent="0.25">
      <c r="A156" s="7">
        <v>180141501</v>
      </c>
      <c r="B156" s="7" t="s">
        <v>109</v>
      </c>
      <c r="C156" s="7">
        <v>0</v>
      </c>
      <c r="D156" s="7">
        <v>0</v>
      </c>
      <c r="E156" s="7">
        <v>0</v>
      </c>
      <c r="F156" s="7">
        <v>8</v>
      </c>
      <c r="G156" s="7">
        <v>0</v>
      </c>
      <c r="H156" s="7">
        <v>0</v>
      </c>
      <c r="I156" s="7">
        <v>0</v>
      </c>
      <c r="J156" s="7">
        <v>0</v>
      </c>
      <c r="K156" s="7">
        <v>0</v>
      </c>
      <c r="L156" s="7">
        <v>0</v>
      </c>
      <c r="M156" s="7"/>
      <c r="N156" s="7"/>
    </row>
    <row r="157" spans="1:14" customFormat="1" x14ac:dyDescent="0.25">
      <c r="A157" s="7">
        <v>180143000</v>
      </c>
      <c r="B157" s="7" t="s">
        <v>318</v>
      </c>
      <c r="C157" s="7">
        <v>157</v>
      </c>
      <c r="D157" s="7">
        <v>74</v>
      </c>
      <c r="E157" s="7">
        <v>35</v>
      </c>
      <c r="F157" s="7">
        <v>43</v>
      </c>
      <c r="G157" s="7">
        <v>16</v>
      </c>
      <c r="H157" s="7">
        <v>13</v>
      </c>
      <c r="I157" s="7">
        <v>16000</v>
      </c>
      <c r="J157" s="7">
        <v>9500</v>
      </c>
      <c r="K157" s="7">
        <v>10</v>
      </c>
      <c r="L157" s="7">
        <v>0</v>
      </c>
      <c r="M157" s="7">
        <f>+L157+J157</f>
        <v>9500</v>
      </c>
      <c r="N157" s="7"/>
    </row>
    <row r="158" spans="1:14" customFormat="1" x14ac:dyDescent="0.25">
      <c r="A158" s="7">
        <v>180145100</v>
      </c>
      <c r="B158" s="7" t="s">
        <v>110</v>
      </c>
      <c r="C158" s="7">
        <v>52</v>
      </c>
      <c r="D158" s="7">
        <v>43</v>
      </c>
      <c r="E158" s="7">
        <v>15</v>
      </c>
      <c r="F158" s="7">
        <v>25</v>
      </c>
      <c r="G158" s="7">
        <v>17</v>
      </c>
      <c r="H158" s="7">
        <v>2</v>
      </c>
      <c r="I158" s="7">
        <v>0</v>
      </c>
      <c r="J158" s="7">
        <v>0</v>
      </c>
      <c r="K158" s="7">
        <v>0</v>
      </c>
      <c r="L158" s="7">
        <v>0</v>
      </c>
      <c r="M158" s="7">
        <f>+L158+J158</f>
        <v>0</v>
      </c>
      <c r="N158" s="7"/>
    </row>
    <row r="159" spans="1:14" customFormat="1" x14ac:dyDescent="0.25">
      <c r="A159" s="7">
        <v>180146600</v>
      </c>
      <c r="B159" s="7" t="s">
        <v>319</v>
      </c>
      <c r="C159" s="7">
        <v>37</v>
      </c>
      <c r="D159" s="7">
        <v>43</v>
      </c>
      <c r="E159" s="7">
        <v>28</v>
      </c>
      <c r="F159" s="7">
        <v>3</v>
      </c>
      <c r="G159" s="7">
        <v>19</v>
      </c>
      <c r="H159" s="7">
        <v>3</v>
      </c>
      <c r="I159" s="7">
        <v>0</v>
      </c>
      <c r="J159" s="7">
        <v>0</v>
      </c>
      <c r="K159" s="7">
        <v>0</v>
      </c>
      <c r="L159" s="7">
        <v>0</v>
      </c>
      <c r="M159" s="7">
        <f>+L159+J159</f>
        <v>0</v>
      </c>
      <c r="N159" s="7"/>
    </row>
    <row r="160" spans="1:14" customFormat="1" x14ac:dyDescent="0.25">
      <c r="A160" s="7">
        <v>180146700</v>
      </c>
      <c r="B160" s="7" t="s">
        <v>320</v>
      </c>
      <c r="C160" s="7">
        <v>81</v>
      </c>
      <c r="D160" s="7">
        <v>35</v>
      </c>
      <c r="E160" s="7">
        <v>24</v>
      </c>
      <c r="F160" s="7">
        <v>10</v>
      </c>
      <c r="G160" s="7">
        <v>15</v>
      </c>
      <c r="H160" s="7">
        <v>2</v>
      </c>
      <c r="I160" s="7">
        <v>0</v>
      </c>
      <c r="J160" s="7">
        <v>0</v>
      </c>
      <c r="K160" s="7">
        <v>0</v>
      </c>
      <c r="L160" s="7">
        <v>0</v>
      </c>
      <c r="M160" s="7"/>
      <c r="N160" s="7"/>
    </row>
    <row r="161" spans="1:14" customFormat="1" x14ac:dyDescent="0.25">
      <c r="A161" s="7">
        <v>180176500</v>
      </c>
      <c r="B161" s="7" t="s">
        <v>111</v>
      </c>
      <c r="C161" s="7">
        <v>30</v>
      </c>
      <c r="D161" s="7">
        <v>41</v>
      </c>
      <c r="E161" s="7">
        <v>21</v>
      </c>
      <c r="F161" s="7">
        <v>9</v>
      </c>
      <c r="G161" s="7">
        <v>15</v>
      </c>
      <c r="H161" s="7">
        <v>2</v>
      </c>
      <c r="I161" s="7">
        <v>0</v>
      </c>
      <c r="J161" s="7">
        <v>0</v>
      </c>
      <c r="K161" s="7">
        <v>0</v>
      </c>
      <c r="L161" s="7">
        <v>0</v>
      </c>
      <c r="M161" s="7">
        <f>+L161+J161</f>
        <v>0</v>
      </c>
      <c r="N161" s="7"/>
    </row>
    <row r="162" spans="1:14" customFormat="1" x14ac:dyDescent="0.25">
      <c r="A162" s="7">
        <v>180176600</v>
      </c>
      <c r="B162" s="7" t="s">
        <v>321</v>
      </c>
      <c r="C162" s="7">
        <v>51</v>
      </c>
      <c r="D162" s="7">
        <v>58</v>
      </c>
      <c r="E162" s="7">
        <v>37</v>
      </c>
      <c r="F162" s="7">
        <v>15</v>
      </c>
      <c r="G162" s="7">
        <v>15</v>
      </c>
      <c r="H162" s="7">
        <v>2</v>
      </c>
      <c r="I162" s="7">
        <v>0</v>
      </c>
      <c r="J162" s="7">
        <v>0</v>
      </c>
      <c r="K162" s="7">
        <v>0</v>
      </c>
      <c r="L162" s="7">
        <v>0</v>
      </c>
      <c r="M162" s="7"/>
      <c r="N162" s="7"/>
    </row>
    <row r="163" spans="1:14" customFormat="1" x14ac:dyDescent="0.25">
      <c r="A163" s="7">
        <v>180182900</v>
      </c>
      <c r="B163" s="7" t="s">
        <v>112</v>
      </c>
      <c r="C163" s="7">
        <v>66</v>
      </c>
      <c r="D163" s="7">
        <v>70</v>
      </c>
      <c r="E163" s="7">
        <v>13</v>
      </c>
      <c r="F163" s="7">
        <v>79</v>
      </c>
      <c r="G163" s="7">
        <v>10</v>
      </c>
      <c r="H163" s="7"/>
      <c r="I163" s="7">
        <v>0</v>
      </c>
      <c r="J163" s="7">
        <v>0</v>
      </c>
      <c r="K163" s="7">
        <v>0</v>
      </c>
      <c r="L163" s="7">
        <v>0</v>
      </c>
      <c r="M163" s="7">
        <f t="shared" ref="M163:M190" si="6">+L163+J163</f>
        <v>0</v>
      </c>
      <c r="N163" s="7"/>
    </row>
    <row r="164" spans="1:14" customFormat="1" x14ac:dyDescent="0.25">
      <c r="A164" s="7">
        <v>220089900</v>
      </c>
      <c r="B164" s="7" t="s">
        <v>39</v>
      </c>
      <c r="C164" s="7">
        <v>248</v>
      </c>
      <c r="D164" s="7">
        <v>302</v>
      </c>
      <c r="E164" s="7">
        <v>118</v>
      </c>
      <c r="F164" s="7">
        <v>12</v>
      </c>
      <c r="G164" s="7">
        <v>31</v>
      </c>
      <c r="H164" s="7">
        <v>6</v>
      </c>
      <c r="I164" s="7">
        <v>0</v>
      </c>
      <c r="J164" s="7">
        <v>0</v>
      </c>
      <c r="K164" s="7">
        <v>0</v>
      </c>
      <c r="L164" s="7"/>
      <c r="M164" s="7">
        <f t="shared" si="6"/>
        <v>0</v>
      </c>
      <c r="N164" s="7"/>
    </row>
    <row r="165" spans="1:14" customFormat="1" x14ac:dyDescent="0.25">
      <c r="A165" s="7">
        <v>220089901</v>
      </c>
      <c r="B165" s="7" t="s">
        <v>322</v>
      </c>
      <c r="C165" s="7">
        <v>90</v>
      </c>
      <c r="D165" s="7">
        <v>139</v>
      </c>
      <c r="E165" s="7">
        <v>28</v>
      </c>
      <c r="F165" s="7">
        <v>26</v>
      </c>
      <c r="G165" s="7">
        <v>18</v>
      </c>
      <c r="H165" s="7">
        <v>3</v>
      </c>
      <c r="I165" s="7">
        <v>0</v>
      </c>
      <c r="J165" s="7">
        <v>0</v>
      </c>
      <c r="K165" s="7">
        <v>0</v>
      </c>
      <c r="L165" s="7"/>
      <c r="M165" s="7">
        <f t="shared" si="6"/>
        <v>0</v>
      </c>
      <c r="N165" s="7"/>
    </row>
    <row r="166" spans="1:14" customFormat="1" x14ac:dyDescent="0.25">
      <c r="A166" s="7">
        <v>220089902</v>
      </c>
      <c r="B166" s="7" t="s">
        <v>40</v>
      </c>
      <c r="C166" s="7">
        <v>0</v>
      </c>
      <c r="D166" s="7">
        <v>40</v>
      </c>
      <c r="E166" s="7">
        <v>0</v>
      </c>
      <c r="F166" s="7">
        <v>0</v>
      </c>
      <c r="G166" s="7">
        <v>9</v>
      </c>
      <c r="H166" s="7">
        <v>1</v>
      </c>
      <c r="I166" s="7">
        <v>0</v>
      </c>
      <c r="J166" s="7">
        <v>0</v>
      </c>
      <c r="K166" s="7">
        <v>0</v>
      </c>
      <c r="L166" s="7"/>
      <c r="M166" s="7">
        <f t="shared" si="6"/>
        <v>0</v>
      </c>
      <c r="N166" s="7"/>
    </row>
    <row r="167" spans="1:14" customFormat="1" x14ac:dyDescent="0.25">
      <c r="A167" s="7">
        <v>220089903</v>
      </c>
      <c r="B167" s="7" t="s">
        <v>41</v>
      </c>
      <c r="C167" s="7">
        <v>62</v>
      </c>
      <c r="D167" s="7">
        <v>51</v>
      </c>
      <c r="E167" s="7">
        <v>0</v>
      </c>
      <c r="F167" s="7">
        <v>0</v>
      </c>
      <c r="G167" s="7">
        <v>10</v>
      </c>
      <c r="H167" s="7">
        <v>2</v>
      </c>
      <c r="I167" s="7">
        <v>0</v>
      </c>
      <c r="J167" s="7">
        <v>0</v>
      </c>
      <c r="K167" s="7">
        <v>0</v>
      </c>
      <c r="L167" s="7"/>
      <c r="M167" s="7">
        <f t="shared" si="6"/>
        <v>0</v>
      </c>
      <c r="N167" s="7"/>
    </row>
    <row r="168" spans="1:14" customFormat="1" x14ac:dyDescent="0.25">
      <c r="A168" s="7">
        <v>220089904</v>
      </c>
      <c r="B168" s="7" t="s">
        <v>42</v>
      </c>
      <c r="C168" s="7">
        <v>60</v>
      </c>
      <c r="D168" s="7">
        <v>43</v>
      </c>
      <c r="E168" s="7">
        <v>0</v>
      </c>
      <c r="F168" s="7">
        <v>18</v>
      </c>
      <c r="G168" s="7">
        <v>10</v>
      </c>
      <c r="H168" s="7">
        <v>2</v>
      </c>
      <c r="I168" s="7">
        <v>0</v>
      </c>
      <c r="J168" s="7">
        <v>0</v>
      </c>
      <c r="K168" s="7">
        <v>0</v>
      </c>
      <c r="L168" s="7"/>
      <c r="M168" s="7">
        <f t="shared" si="6"/>
        <v>0</v>
      </c>
      <c r="N168" s="7"/>
    </row>
    <row r="169" spans="1:14" customFormat="1" x14ac:dyDescent="0.25">
      <c r="A169" s="7">
        <v>220089905</v>
      </c>
      <c r="B169" s="7" t="s">
        <v>43</v>
      </c>
      <c r="C169" s="7">
        <v>0</v>
      </c>
      <c r="D169" s="7">
        <v>0</v>
      </c>
      <c r="E169" s="7">
        <v>36</v>
      </c>
      <c r="F169" s="7">
        <v>0</v>
      </c>
      <c r="G169" s="7">
        <v>7</v>
      </c>
      <c r="H169" s="7">
        <v>1</v>
      </c>
      <c r="I169" s="7">
        <v>0</v>
      </c>
      <c r="J169" s="7">
        <v>0</v>
      </c>
      <c r="K169" s="7">
        <v>0</v>
      </c>
      <c r="L169" s="7"/>
      <c r="M169" s="7">
        <f t="shared" si="6"/>
        <v>0</v>
      </c>
      <c r="N169" s="7"/>
    </row>
    <row r="170" spans="1:14" customFormat="1" x14ac:dyDescent="0.25">
      <c r="A170" s="7">
        <v>220089907</v>
      </c>
      <c r="B170" s="7" t="s">
        <v>323</v>
      </c>
      <c r="C170" s="7">
        <v>0</v>
      </c>
      <c r="D170" s="7">
        <v>53</v>
      </c>
      <c r="E170" s="7">
        <v>0</v>
      </c>
      <c r="F170" s="7">
        <v>0</v>
      </c>
      <c r="G170" s="7">
        <v>7</v>
      </c>
      <c r="H170" s="7">
        <v>1</v>
      </c>
      <c r="I170" s="7">
        <v>0</v>
      </c>
      <c r="J170" s="7">
        <v>0</v>
      </c>
      <c r="K170" s="7">
        <v>0</v>
      </c>
      <c r="L170" s="7"/>
      <c r="M170" s="7">
        <f t="shared" si="6"/>
        <v>0</v>
      </c>
      <c r="N170" s="7"/>
    </row>
    <row r="171" spans="1:14" customFormat="1" x14ac:dyDescent="0.25">
      <c r="A171" s="7">
        <v>220089908</v>
      </c>
      <c r="B171" s="7" t="s">
        <v>324</v>
      </c>
      <c r="C171" s="7">
        <v>53</v>
      </c>
      <c r="D171" s="7">
        <v>51</v>
      </c>
      <c r="E171" s="7">
        <v>0</v>
      </c>
      <c r="F171" s="7">
        <v>0</v>
      </c>
      <c r="G171" s="7">
        <v>5</v>
      </c>
      <c r="H171" s="7">
        <v>1</v>
      </c>
      <c r="I171" s="7">
        <v>0</v>
      </c>
      <c r="J171" s="7">
        <v>0</v>
      </c>
      <c r="K171" s="7">
        <v>0</v>
      </c>
      <c r="L171" s="7"/>
      <c r="M171" s="7">
        <f t="shared" si="6"/>
        <v>0</v>
      </c>
      <c r="N171" s="7"/>
    </row>
    <row r="172" spans="1:14" customFormat="1" x14ac:dyDescent="0.25">
      <c r="A172" s="7">
        <v>220089909</v>
      </c>
      <c r="B172" s="7" t="s">
        <v>325</v>
      </c>
      <c r="C172" s="7">
        <v>48</v>
      </c>
      <c r="D172" s="7">
        <v>0</v>
      </c>
      <c r="E172" s="7">
        <v>0</v>
      </c>
      <c r="F172" s="7">
        <v>13</v>
      </c>
      <c r="G172" s="7">
        <v>7</v>
      </c>
      <c r="H172" s="7">
        <v>1</v>
      </c>
      <c r="I172" s="7">
        <v>0</v>
      </c>
      <c r="J172" s="7">
        <v>0</v>
      </c>
      <c r="K172" s="7">
        <v>0</v>
      </c>
      <c r="L172" s="7"/>
      <c r="M172" s="7">
        <f t="shared" si="6"/>
        <v>0</v>
      </c>
      <c r="N172" s="7"/>
    </row>
    <row r="173" spans="1:14" customFormat="1" x14ac:dyDescent="0.25">
      <c r="A173" s="7">
        <v>220089910</v>
      </c>
      <c r="B173" s="7" t="s">
        <v>410</v>
      </c>
      <c r="C173" s="7">
        <v>62</v>
      </c>
      <c r="D173" s="7">
        <v>50</v>
      </c>
      <c r="E173" s="7">
        <v>38</v>
      </c>
      <c r="F173" s="7">
        <v>0</v>
      </c>
      <c r="G173" s="7">
        <v>15</v>
      </c>
      <c r="H173" s="7">
        <v>3</v>
      </c>
      <c r="I173" s="7">
        <v>0</v>
      </c>
      <c r="J173" s="7">
        <v>0</v>
      </c>
      <c r="K173" s="7">
        <v>0</v>
      </c>
      <c r="L173" s="7"/>
      <c r="M173" s="7">
        <f t="shared" si="6"/>
        <v>0</v>
      </c>
      <c r="N173" s="7"/>
    </row>
    <row r="174" spans="1:14" customFormat="1" x14ac:dyDescent="0.25">
      <c r="A174" s="7">
        <v>220089911</v>
      </c>
      <c r="B174" s="7" t="s">
        <v>411</v>
      </c>
      <c r="C174" s="7">
        <v>0</v>
      </c>
      <c r="D174" s="7">
        <v>72</v>
      </c>
      <c r="E174" s="7">
        <v>0</v>
      </c>
      <c r="F174" s="7">
        <v>0</v>
      </c>
      <c r="G174" s="7">
        <v>6</v>
      </c>
      <c r="H174" s="7">
        <v>1</v>
      </c>
      <c r="I174" s="7">
        <v>0</v>
      </c>
      <c r="J174" s="7">
        <v>0</v>
      </c>
      <c r="K174" s="7">
        <v>0</v>
      </c>
      <c r="L174" s="7"/>
      <c r="M174" s="7">
        <f t="shared" si="6"/>
        <v>0</v>
      </c>
      <c r="N174" s="7"/>
    </row>
    <row r="175" spans="1:14" customFormat="1" x14ac:dyDescent="0.25">
      <c r="A175" s="7">
        <v>260061100</v>
      </c>
      <c r="B175" s="7" t="s">
        <v>174</v>
      </c>
      <c r="C175" s="7">
        <v>96</v>
      </c>
      <c r="D175" s="7">
        <v>75</v>
      </c>
      <c r="E175" s="7">
        <v>34</v>
      </c>
      <c r="F175" s="7">
        <v>50</v>
      </c>
      <c r="G175" s="7">
        <v>20</v>
      </c>
      <c r="H175" s="7">
        <v>0</v>
      </c>
      <c r="I175" s="7">
        <v>5000</v>
      </c>
      <c r="J175" s="7">
        <v>7000</v>
      </c>
      <c r="K175" s="7">
        <v>10</v>
      </c>
      <c r="L175" s="7"/>
      <c r="M175" s="7">
        <f t="shared" si="6"/>
        <v>7000</v>
      </c>
      <c r="N175" s="7"/>
    </row>
    <row r="176" spans="1:14" customFormat="1" x14ac:dyDescent="0.25">
      <c r="A176" s="7">
        <v>260061101</v>
      </c>
      <c r="B176" s="7" t="s">
        <v>174</v>
      </c>
      <c r="C176" s="7">
        <v>32</v>
      </c>
      <c r="D176" s="7">
        <v>28</v>
      </c>
      <c r="E176" s="7">
        <v>24</v>
      </c>
      <c r="F176" s="7">
        <v>22</v>
      </c>
      <c r="G176" s="7">
        <v>20</v>
      </c>
      <c r="H176" s="7">
        <v>4</v>
      </c>
      <c r="I176" s="7">
        <v>5000</v>
      </c>
      <c r="J176" s="7">
        <v>7000</v>
      </c>
      <c r="K176" s="7">
        <v>10</v>
      </c>
      <c r="L176" s="7"/>
      <c r="M176" s="7">
        <f t="shared" si="6"/>
        <v>7000</v>
      </c>
      <c r="N176" s="7"/>
    </row>
    <row r="177" spans="1:14" customFormat="1" x14ac:dyDescent="0.25">
      <c r="A177" s="7">
        <v>300029300</v>
      </c>
      <c r="B177" s="7" t="s">
        <v>230</v>
      </c>
      <c r="C177" s="7">
        <v>79</v>
      </c>
      <c r="D177" s="7">
        <v>70</v>
      </c>
      <c r="E177" s="7">
        <v>73</v>
      </c>
      <c r="F177" s="7">
        <v>42</v>
      </c>
      <c r="G177" s="7">
        <v>26</v>
      </c>
      <c r="H177" s="7">
        <v>9</v>
      </c>
      <c r="I177" s="7">
        <v>6000</v>
      </c>
      <c r="J177" s="7">
        <v>7000</v>
      </c>
      <c r="K177" s="7">
        <v>10</v>
      </c>
      <c r="L177" s="7"/>
      <c r="M177" s="7">
        <f t="shared" si="6"/>
        <v>7000</v>
      </c>
      <c r="N177" s="7"/>
    </row>
    <row r="178" spans="1:14" customFormat="1" x14ac:dyDescent="0.25">
      <c r="A178" s="7">
        <v>300078400</v>
      </c>
      <c r="B178" s="7" t="s">
        <v>326</v>
      </c>
      <c r="C178" s="7">
        <v>83</v>
      </c>
      <c r="D178" s="7">
        <v>90</v>
      </c>
      <c r="E178" s="7">
        <v>46</v>
      </c>
      <c r="F178" s="7">
        <v>25</v>
      </c>
      <c r="G178" s="7">
        <v>20</v>
      </c>
      <c r="H178" s="7">
        <v>1</v>
      </c>
      <c r="I178" s="7">
        <v>0</v>
      </c>
      <c r="J178" s="7">
        <v>0</v>
      </c>
      <c r="K178" s="7">
        <v>0</v>
      </c>
      <c r="L178" s="7">
        <v>0</v>
      </c>
      <c r="M178" s="7">
        <f t="shared" si="6"/>
        <v>0</v>
      </c>
      <c r="N178" s="7"/>
    </row>
    <row r="179" spans="1:14" customFormat="1" x14ac:dyDescent="0.25">
      <c r="A179" s="7">
        <v>300122100</v>
      </c>
      <c r="B179" s="7" t="s">
        <v>327</v>
      </c>
      <c r="C179" s="7">
        <v>43</v>
      </c>
      <c r="D179" s="7">
        <v>23</v>
      </c>
      <c r="E179" s="7">
        <v>12</v>
      </c>
      <c r="F179" s="7">
        <v>8</v>
      </c>
      <c r="G179" s="7">
        <v>23</v>
      </c>
      <c r="H179" s="7">
        <v>6</v>
      </c>
      <c r="I179" s="7">
        <v>0</v>
      </c>
      <c r="J179" s="7">
        <v>0</v>
      </c>
      <c r="K179" s="7">
        <v>0</v>
      </c>
      <c r="L179" s="7"/>
      <c r="M179" s="7">
        <f t="shared" si="6"/>
        <v>0</v>
      </c>
      <c r="N179" s="7"/>
    </row>
    <row r="180" spans="1:14" customFormat="1" x14ac:dyDescent="0.25">
      <c r="A180" s="7">
        <v>300129700</v>
      </c>
      <c r="B180" s="7" t="s">
        <v>159</v>
      </c>
      <c r="C180" s="7">
        <v>100</v>
      </c>
      <c r="D180" s="7">
        <v>55</v>
      </c>
      <c r="E180" s="7">
        <v>57</v>
      </c>
      <c r="F180" s="7">
        <v>0</v>
      </c>
      <c r="G180" s="7">
        <v>31</v>
      </c>
      <c r="H180" s="7">
        <v>18</v>
      </c>
      <c r="I180" s="7">
        <v>0</v>
      </c>
      <c r="J180" s="7">
        <v>0</v>
      </c>
      <c r="K180" s="7">
        <v>0</v>
      </c>
      <c r="L180" s="7">
        <v>0</v>
      </c>
      <c r="M180" s="7">
        <f t="shared" si="6"/>
        <v>0</v>
      </c>
      <c r="N180" s="7"/>
    </row>
    <row r="181" spans="1:14" customFormat="1" x14ac:dyDescent="0.25">
      <c r="A181" s="7">
        <v>300148300</v>
      </c>
      <c r="B181" s="7" t="s">
        <v>328</v>
      </c>
      <c r="C181" s="7">
        <v>31</v>
      </c>
      <c r="D181" s="7">
        <v>38</v>
      </c>
      <c r="E181" s="7">
        <v>42</v>
      </c>
      <c r="F181" s="7">
        <v>16</v>
      </c>
      <c r="G181" s="7">
        <v>18</v>
      </c>
      <c r="H181" s="7">
        <v>6</v>
      </c>
      <c r="I181" s="7">
        <v>0</v>
      </c>
      <c r="J181" s="7">
        <v>0</v>
      </c>
      <c r="K181" s="7">
        <v>0</v>
      </c>
      <c r="L181" s="7"/>
      <c r="M181" s="7">
        <f t="shared" si="6"/>
        <v>0</v>
      </c>
      <c r="N181" s="7"/>
    </row>
    <row r="182" spans="1:14" customFormat="1" x14ac:dyDescent="0.25">
      <c r="A182" s="7">
        <v>300152300</v>
      </c>
      <c r="B182" s="7" t="s">
        <v>329</v>
      </c>
      <c r="C182" s="7">
        <v>72</v>
      </c>
      <c r="D182" s="7">
        <v>62</v>
      </c>
      <c r="E182" s="7">
        <v>57</v>
      </c>
      <c r="F182" s="7">
        <v>14</v>
      </c>
      <c r="G182" s="7">
        <v>21</v>
      </c>
      <c r="H182" s="7">
        <v>3</v>
      </c>
      <c r="I182" s="7">
        <v>0</v>
      </c>
      <c r="J182" s="7">
        <v>0</v>
      </c>
      <c r="K182" s="7">
        <v>0</v>
      </c>
      <c r="L182" s="7"/>
      <c r="M182" s="7">
        <f t="shared" si="6"/>
        <v>0</v>
      </c>
      <c r="N182" s="7"/>
    </row>
    <row r="183" spans="1:14" customFormat="1" x14ac:dyDescent="0.25">
      <c r="A183" s="7">
        <v>300155100</v>
      </c>
      <c r="B183" s="7" t="s">
        <v>330</v>
      </c>
      <c r="C183" s="7">
        <v>95</v>
      </c>
      <c r="D183" s="7">
        <v>77</v>
      </c>
      <c r="E183" s="7">
        <v>30</v>
      </c>
      <c r="F183" s="7">
        <v>21</v>
      </c>
      <c r="G183" s="7">
        <v>32</v>
      </c>
      <c r="H183" s="7">
        <v>6</v>
      </c>
      <c r="I183" s="7">
        <v>0</v>
      </c>
      <c r="J183" s="7">
        <v>0</v>
      </c>
      <c r="K183" s="7">
        <v>0</v>
      </c>
      <c r="L183" s="7">
        <v>0</v>
      </c>
      <c r="M183" s="7">
        <f t="shared" si="6"/>
        <v>0</v>
      </c>
      <c r="N183" s="7"/>
    </row>
    <row r="184" spans="1:14" customFormat="1" x14ac:dyDescent="0.25">
      <c r="A184" s="7">
        <v>300164300</v>
      </c>
      <c r="B184" s="7" t="s">
        <v>157</v>
      </c>
      <c r="C184" s="7">
        <v>111</v>
      </c>
      <c r="D184" s="7">
        <v>73</v>
      </c>
      <c r="E184" s="7">
        <v>60</v>
      </c>
      <c r="F184" s="7">
        <v>0</v>
      </c>
      <c r="G184" s="7">
        <v>20</v>
      </c>
      <c r="H184" s="7">
        <v>6</v>
      </c>
      <c r="I184" s="7">
        <v>0</v>
      </c>
      <c r="J184" s="7">
        <v>0</v>
      </c>
      <c r="K184" s="7">
        <v>0</v>
      </c>
      <c r="L184" s="7">
        <v>0</v>
      </c>
      <c r="M184" s="7">
        <f t="shared" si="6"/>
        <v>0</v>
      </c>
      <c r="N184" s="7"/>
    </row>
    <row r="185" spans="1:14" customFormat="1" x14ac:dyDescent="0.25">
      <c r="A185" s="7">
        <v>300173900</v>
      </c>
      <c r="B185" s="7" t="s">
        <v>331</v>
      </c>
      <c r="C185" s="7">
        <v>53</v>
      </c>
      <c r="D185" s="7">
        <v>211</v>
      </c>
      <c r="E185" s="7">
        <v>141</v>
      </c>
      <c r="F185" s="7">
        <v>30</v>
      </c>
      <c r="G185" s="7">
        <v>25</v>
      </c>
      <c r="H185" s="7">
        <v>5</v>
      </c>
      <c r="I185" s="7">
        <v>0</v>
      </c>
      <c r="J185" s="7">
        <v>0</v>
      </c>
      <c r="K185" s="7">
        <v>0</v>
      </c>
      <c r="L185" s="7"/>
      <c r="M185" s="7">
        <f t="shared" si="6"/>
        <v>0</v>
      </c>
      <c r="N185" s="7"/>
    </row>
    <row r="186" spans="1:14" customFormat="1" x14ac:dyDescent="0.25">
      <c r="A186" s="7">
        <v>300178300</v>
      </c>
      <c r="B186" s="7" t="s">
        <v>114</v>
      </c>
      <c r="C186" s="7">
        <v>31</v>
      </c>
      <c r="D186" s="7">
        <v>35</v>
      </c>
      <c r="E186" s="7">
        <v>19</v>
      </c>
      <c r="F186" s="7">
        <v>28</v>
      </c>
      <c r="G186" s="7">
        <v>35</v>
      </c>
      <c r="H186" s="7">
        <v>5</v>
      </c>
      <c r="I186" s="7">
        <v>0</v>
      </c>
      <c r="J186" s="7">
        <v>0</v>
      </c>
      <c r="K186" s="7">
        <v>0</v>
      </c>
      <c r="L186" s="7"/>
      <c r="M186" s="7">
        <f t="shared" si="6"/>
        <v>0</v>
      </c>
      <c r="N186" s="7"/>
    </row>
    <row r="187" spans="1:14" customFormat="1" x14ac:dyDescent="0.25">
      <c r="A187" s="7">
        <v>300185800</v>
      </c>
      <c r="B187" s="7" t="s">
        <v>332</v>
      </c>
      <c r="C187" s="7">
        <v>45</v>
      </c>
      <c r="D187" s="7">
        <v>55</v>
      </c>
      <c r="E187" s="7">
        <v>34</v>
      </c>
      <c r="F187" s="7">
        <v>16</v>
      </c>
      <c r="G187" s="7">
        <v>19</v>
      </c>
      <c r="H187" s="7">
        <v>3</v>
      </c>
      <c r="I187" s="7">
        <v>0</v>
      </c>
      <c r="J187" s="7">
        <v>0</v>
      </c>
      <c r="K187" s="7">
        <v>0</v>
      </c>
      <c r="L187" s="7"/>
      <c r="M187" s="7">
        <f t="shared" si="6"/>
        <v>0</v>
      </c>
      <c r="N187" s="7"/>
    </row>
    <row r="188" spans="1:14" customFormat="1" x14ac:dyDescent="0.25">
      <c r="A188" s="7">
        <v>300201100</v>
      </c>
      <c r="B188" s="7" t="s">
        <v>333</v>
      </c>
      <c r="C188" s="7">
        <v>96</v>
      </c>
      <c r="D188" s="7">
        <v>67</v>
      </c>
      <c r="E188" s="7">
        <v>60</v>
      </c>
      <c r="F188" s="7">
        <v>33</v>
      </c>
      <c r="G188" s="7">
        <v>19</v>
      </c>
      <c r="H188" s="7">
        <v>8</v>
      </c>
      <c r="I188" s="7">
        <v>6000</v>
      </c>
      <c r="J188" s="7">
        <v>6000</v>
      </c>
      <c r="K188" s="7">
        <v>10</v>
      </c>
      <c r="L188" s="7">
        <v>0</v>
      </c>
      <c r="M188" s="7">
        <f t="shared" si="6"/>
        <v>6000</v>
      </c>
      <c r="N188" s="7"/>
    </row>
    <row r="189" spans="1:14" customFormat="1" x14ac:dyDescent="0.25">
      <c r="A189" s="7">
        <v>300251300</v>
      </c>
      <c r="B189" s="7" t="s">
        <v>334</v>
      </c>
      <c r="C189" s="7">
        <v>71</v>
      </c>
      <c r="D189" s="7">
        <v>48</v>
      </c>
      <c r="E189" s="7">
        <v>31</v>
      </c>
      <c r="F189" s="7">
        <v>14</v>
      </c>
      <c r="G189" s="7">
        <v>20</v>
      </c>
      <c r="H189" s="7">
        <v>4</v>
      </c>
      <c r="I189" s="7">
        <v>6000</v>
      </c>
      <c r="J189" s="7">
        <v>6000</v>
      </c>
      <c r="K189" s="7">
        <v>10</v>
      </c>
      <c r="L189" s="7"/>
      <c r="M189" s="7">
        <f t="shared" si="6"/>
        <v>6000</v>
      </c>
      <c r="N189" s="7"/>
    </row>
    <row r="190" spans="1:14" customFormat="1" x14ac:dyDescent="0.25">
      <c r="A190" s="7">
        <v>300306900</v>
      </c>
      <c r="B190" s="7" t="s">
        <v>115</v>
      </c>
      <c r="C190" s="7">
        <v>85</v>
      </c>
      <c r="D190" s="7">
        <v>49</v>
      </c>
      <c r="E190" s="7">
        <v>31</v>
      </c>
      <c r="F190" s="7">
        <v>18</v>
      </c>
      <c r="G190" s="7">
        <v>25</v>
      </c>
      <c r="H190" s="7">
        <v>3</v>
      </c>
      <c r="I190" s="7">
        <v>0</v>
      </c>
      <c r="J190" s="7">
        <v>0</v>
      </c>
      <c r="K190" s="7">
        <v>0</v>
      </c>
      <c r="L190" s="7">
        <v>0</v>
      </c>
      <c r="M190" s="7">
        <f t="shared" si="6"/>
        <v>0</v>
      </c>
      <c r="N190" s="7"/>
    </row>
    <row r="191" spans="1:14" customFormat="1" x14ac:dyDescent="0.25">
      <c r="A191" s="7">
        <v>380052001</v>
      </c>
      <c r="B191" s="7" t="s">
        <v>650</v>
      </c>
      <c r="C191" s="7">
        <v>67</v>
      </c>
      <c r="D191" s="7">
        <v>0</v>
      </c>
      <c r="E191" s="7">
        <v>0</v>
      </c>
      <c r="F191" s="7">
        <v>0</v>
      </c>
      <c r="G191" s="7">
        <v>6</v>
      </c>
      <c r="H191" s="7">
        <v>2</v>
      </c>
      <c r="I191" s="7">
        <v>0</v>
      </c>
      <c r="J191" s="7">
        <v>0</v>
      </c>
      <c r="K191" s="7">
        <v>0</v>
      </c>
      <c r="L191" s="7">
        <v>0</v>
      </c>
      <c r="M191" s="7"/>
      <c r="N191" s="7"/>
    </row>
    <row r="192" spans="1:14" customFormat="1" x14ac:dyDescent="0.25">
      <c r="A192" s="7">
        <v>380058200</v>
      </c>
      <c r="B192" s="7" t="s">
        <v>600</v>
      </c>
      <c r="C192" s="7">
        <v>0</v>
      </c>
      <c r="D192" s="7">
        <v>0</v>
      </c>
      <c r="E192" s="7">
        <v>73</v>
      </c>
      <c r="F192" s="7">
        <v>31</v>
      </c>
      <c r="G192" s="7">
        <v>10</v>
      </c>
      <c r="H192" s="7">
        <v>7</v>
      </c>
      <c r="I192" s="7">
        <v>0</v>
      </c>
      <c r="J192" s="7">
        <v>0</v>
      </c>
      <c r="K192" s="7">
        <v>0</v>
      </c>
      <c r="L192" s="7">
        <v>0</v>
      </c>
      <c r="M192" s="7">
        <f t="shared" ref="M192:M223" si="7">+L192+J192</f>
        <v>0</v>
      </c>
      <c r="N192" s="7"/>
    </row>
    <row r="193" spans="1:14" customFormat="1" x14ac:dyDescent="0.25">
      <c r="A193" s="7">
        <v>380081400</v>
      </c>
      <c r="B193" s="7" t="s">
        <v>175</v>
      </c>
      <c r="C193" s="7">
        <v>520</v>
      </c>
      <c r="D193" s="7">
        <v>335</v>
      </c>
      <c r="E193" s="7">
        <v>153</v>
      </c>
      <c r="F193" s="7">
        <v>30</v>
      </c>
      <c r="G193" s="7">
        <v>29</v>
      </c>
      <c r="H193" s="7">
        <v>7</v>
      </c>
      <c r="I193" s="7">
        <v>85000</v>
      </c>
      <c r="J193" s="7">
        <v>8500</v>
      </c>
      <c r="K193" s="7">
        <v>10</v>
      </c>
      <c r="L193" s="7"/>
      <c r="M193" s="7">
        <f t="shared" si="7"/>
        <v>8500</v>
      </c>
      <c r="N193" s="7"/>
    </row>
    <row r="194" spans="1:14" customFormat="1" x14ac:dyDescent="0.25">
      <c r="A194" s="7">
        <v>380081401</v>
      </c>
      <c r="B194" s="7" t="s">
        <v>176</v>
      </c>
      <c r="C194" s="7">
        <v>0</v>
      </c>
      <c r="D194" s="7">
        <v>115</v>
      </c>
      <c r="E194" s="7">
        <v>210</v>
      </c>
      <c r="F194" s="7">
        <v>6</v>
      </c>
      <c r="G194" s="7">
        <v>15</v>
      </c>
      <c r="H194" s="7">
        <v>3</v>
      </c>
      <c r="I194" s="7">
        <v>85000</v>
      </c>
      <c r="J194" s="7">
        <v>8500</v>
      </c>
      <c r="K194" s="7">
        <v>10</v>
      </c>
      <c r="L194" s="7"/>
      <c r="M194" s="7">
        <f t="shared" si="7"/>
        <v>8500</v>
      </c>
      <c r="N194" s="7"/>
    </row>
    <row r="195" spans="1:14" customFormat="1" x14ac:dyDescent="0.25">
      <c r="A195" s="7">
        <v>380081402</v>
      </c>
      <c r="B195" s="7" t="s">
        <v>177</v>
      </c>
      <c r="C195" s="7">
        <v>0</v>
      </c>
      <c r="D195" s="7">
        <v>66</v>
      </c>
      <c r="E195" s="7">
        <v>70</v>
      </c>
      <c r="F195" s="7">
        <v>14</v>
      </c>
      <c r="G195" s="7">
        <v>12</v>
      </c>
      <c r="H195" s="7">
        <v>3</v>
      </c>
      <c r="I195" s="7">
        <v>85000</v>
      </c>
      <c r="J195" s="7">
        <v>8500</v>
      </c>
      <c r="K195" s="7">
        <v>10</v>
      </c>
      <c r="L195" s="7"/>
      <c r="M195" s="7">
        <f t="shared" si="7"/>
        <v>8500</v>
      </c>
      <c r="N195" s="7"/>
    </row>
    <row r="196" spans="1:14" customFormat="1" x14ac:dyDescent="0.25">
      <c r="A196" s="7">
        <v>380092800</v>
      </c>
      <c r="B196" s="7" t="s">
        <v>335</v>
      </c>
      <c r="C196" s="7">
        <v>86</v>
      </c>
      <c r="D196" s="7">
        <v>56</v>
      </c>
      <c r="E196" s="7">
        <v>45</v>
      </c>
      <c r="F196" s="7">
        <v>22</v>
      </c>
      <c r="G196" s="7">
        <v>15</v>
      </c>
      <c r="H196" s="7">
        <v>3</v>
      </c>
      <c r="I196" s="8">
        <v>10000</v>
      </c>
      <c r="J196" s="8">
        <v>10000</v>
      </c>
      <c r="K196" s="7">
        <v>10</v>
      </c>
      <c r="L196" s="7"/>
      <c r="M196" s="7">
        <f t="shared" si="7"/>
        <v>10000</v>
      </c>
      <c r="N196" s="7"/>
    </row>
    <row r="197" spans="1:14" customFormat="1" x14ac:dyDescent="0.25">
      <c r="A197" s="7">
        <v>380094900</v>
      </c>
      <c r="B197" s="7" t="s">
        <v>336</v>
      </c>
      <c r="C197" s="7">
        <v>22</v>
      </c>
      <c r="D197" s="7">
        <v>20</v>
      </c>
      <c r="E197" s="7">
        <v>0</v>
      </c>
      <c r="F197" s="7">
        <v>4</v>
      </c>
      <c r="G197" s="7">
        <v>7</v>
      </c>
      <c r="H197" s="7">
        <v>7</v>
      </c>
      <c r="I197" s="7">
        <v>8000</v>
      </c>
      <c r="J197" s="7">
        <v>6500</v>
      </c>
      <c r="K197" s="7">
        <v>9</v>
      </c>
      <c r="L197" s="7"/>
      <c r="M197" s="7">
        <f t="shared" si="7"/>
        <v>6500</v>
      </c>
      <c r="N197" s="7"/>
    </row>
    <row r="198" spans="1:14" customFormat="1" x14ac:dyDescent="0.25">
      <c r="A198" s="7">
        <v>380097800</v>
      </c>
      <c r="B198" s="7" t="s">
        <v>480</v>
      </c>
      <c r="C198" s="7">
        <v>0</v>
      </c>
      <c r="D198" s="7">
        <v>191</v>
      </c>
      <c r="E198" s="7">
        <v>0</v>
      </c>
      <c r="F198" s="7">
        <v>24</v>
      </c>
      <c r="G198" s="7">
        <v>33</v>
      </c>
      <c r="H198" s="7">
        <v>15</v>
      </c>
      <c r="I198" s="7">
        <v>0</v>
      </c>
      <c r="J198" s="7">
        <v>0</v>
      </c>
      <c r="K198" s="7">
        <v>0</v>
      </c>
      <c r="L198" s="7"/>
      <c r="M198" s="7">
        <f t="shared" si="7"/>
        <v>0</v>
      </c>
      <c r="N198" s="7"/>
    </row>
    <row r="199" spans="1:14" customFormat="1" x14ac:dyDescent="0.25">
      <c r="A199" s="7">
        <v>500124000</v>
      </c>
      <c r="B199" s="7" t="s">
        <v>337</v>
      </c>
      <c r="C199" s="7">
        <v>126</v>
      </c>
      <c r="D199" s="7">
        <v>70</v>
      </c>
      <c r="E199" s="7">
        <v>85</v>
      </c>
      <c r="F199" s="7">
        <v>23</v>
      </c>
      <c r="G199" s="7">
        <v>42</v>
      </c>
      <c r="H199" s="7">
        <v>5</v>
      </c>
      <c r="I199" s="7">
        <v>0</v>
      </c>
      <c r="J199" s="7">
        <v>0</v>
      </c>
      <c r="K199" s="7">
        <v>0</v>
      </c>
      <c r="L199" s="7"/>
      <c r="M199" s="7">
        <f t="shared" si="7"/>
        <v>0</v>
      </c>
      <c r="N199" s="7"/>
    </row>
    <row r="200" spans="1:14" customFormat="1" x14ac:dyDescent="0.25">
      <c r="A200" s="7">
        <v>500124001</v>
      </c>
      <c r="B200" s="7" t="s">
        <v>338</v>
      </c>
      <c r="C200" s="7">
        <v>71</v>
      </c>
      <c r="D200" s="7">
        <v>89</v>
      </c>
      <c r="E200" s="7">
        <v>79</v>
      </c>
      <c r="F200" s="7">
        <v>16</v>
      </c>
      <c r="G200" s="7">
        <v>24</v>
      </c>
      <c r="H200" s="7">
        <v>3</v>
      </c>
      <c r="I200" s="7">
        <v>0</v>
      </c>
      <c r="J200" s="7">
        <v>0</v>
      </c>
      <c r="K200" s="7">
        <v>0</v>
      </c>
      <c r="L200" s="7"/>
      <c r="M200" s="7">
        <f t="shared" si="7"/>
        <v>0</v>
      </c>
      <c r="N200" s="7"/>
    </row>
    <row r="201" spans="1:14" customFormat="1" x14ac:dyDescent="0.25">
      <c r="A201" s="7">
        <v>500124002</v>
      </c>
      <c r="B201" s="7" t="s">
        <v>339</v>
      </c>
      <c r="C201" s="7">
        <v>171</v>
      </c>
      <c r="D201" s="7">
        <v>121</v>
      </c>
      <c r="E201" s="7">
        <v>77</v>
      </c>
      <c r="F201" s="7">
        <v>37</v>
      </c>
      <c r="G201" s="7">
        <v>43</v>
      </c>
      <c r="H201" s="7">
        <v>6</v>
      </c>
      <c r="I201" s="7">
        <v>0</v>
      </c>
      <c r="J201" s="7">
        <v>0</v>
      </c>
      <c r="K201" s="7">
        <v>0</v>
      </c>
      <c r="L201" s="7"/>
      <c r="M201" s="7">
        <f t="shared" si="7"/>
        <v>0</v>
      </c>
      <c r="N201" s="7"/>
    </row>
    <row r="202" spans="1:14" customFormat="1" x14ac:dyDescent="0.25">
      <c r="A202" s="7">
        <v>500124003</v>
      </c>
      <c r="B202" s="7" t="s">
        <v>489</v>
      </c>
      <c r="C202" s="7">
        <v>82</v>
      </c>
      <c r="D202" s="7">
        <v>74</v>
      </c>
      <c r="E202" s="7">
        <v>64</v>
      </c>
      <c r="F202" s="7">
        <v>22</v>
      </c>
      <c r="G202" s="7">
        <v>21</v>
      </c>
      <c r="H202" s="7">
        <v>3</v>
      </c>
      <c r="I202" s="7">
        <v>0</v>
      </c>
      <c r="J202" s="7">
        <v>0</v>
      </c>
      <c r="K202" s="7">
        <v>0</v>
      </c>
      <c r="L202" s="7"/>
      <c r="M202" s="7">
        <f t="shared" si="7"/>
        <v>0</v>
      </c>
      <c r="N202" s="7"/>
    </row>
    <row r="203" spans="1:14" customFormat="1" x14ac:dyDescent="0.25">
      <c r="A203" s="7">
        <v>500124004</v>
      </c>
      <c r="B203" s="7" t="s">
        <v>340</v>
      </c>
      <c r="C203" s="7">
        <v>75</v>
      </c>
      <c r="D203" s="7">
        <v>56</v>
      </c>
      <c r="E203" s="7">
        <v>46</v>
      </c>
      <c r="F203" s="7">
        <v>9</v>
      </c>
      <c r="G203" s="7">
        <v>23</v>
      </c>
      <c r="H203" s="7">
        <v>3</v>
      </c>
      <c r="I203" s="7">
        <v>0</v>
      </c>
      <c r="J203" s="7">
        <v>0</v>
      </c>
      <c r="K203" s="7">
        <v>0</v>
      </c>
      <c r="L203" s="7"/>
      <c r="M203" s="7">
        <f t="shared" si="7"/>
        <v>0</v>
      </c>
      <c r="N203" s="7"/>
    </row>
    <row r="204" spans="1:14" customFormat="1" x14ac:dyDescent="0.25">
      <c r="A204" s="7">
        <v>500124005</v>
      </c>
      <c r="B204" s="7" t="s">
        <v>341</v>
      </c>
      <c r="C204" s="7">
        <v>0</v>
      </c>
      <c r="D204" s="7">
        <v>0</v>
      </c>
      <c r="E204" s="7">
        <v>0</v>
      </c>
      <c r="F204" s="7">
        <v>29</v>
      </c>
      <c r="G204" s="7">
        <v>0</v>
      </c>
      <c r="H204" s="7">
        <v>0</v>
      </c>
      <c r="I204" s="7">
        <v>0</v>
      </c>
      <c r="J204" s="7">
        <v>0</v>
      </c>
      <c r="K204" s="7">
        <v>0</v>
      </c>
      <c r="L204" s="7"/>
      <c r="M204" s="7">
        <f t="shared" si="7"/>
        <v>0</v>
      </c>
      <c r="N204" s="7"/>
    </row>
    <row r="205" spans="1:14" customFormat="1" x14ac:dyDescent="0.25">
      <c r="A205" s="7">
        <v>500124006</v>
      </c>
      <c r="B205" s="7" t="s">
        <v>342</v>
      </c>
      <c r="C205" s="7">
        <v>110</v>
      </c>
      <c r="D205" s="7">
        <v>51</v>
      </c>
      <c r="E205" s="7">
        <v>16</v>
      </c>
      <c r="F205" s="7">
        <v>6</v>
      </c>
      <c r="G205" s="7">
        <v>19</v>
      </c>
      <c r="H205" s="7">
        <v>3</v>
      </c>
      <c r="I205" s="7">
        <v>0</v>
      </c>
      <c r="J205" s="7">
        <v>0</v>
      </c>
      <c r="K205" s="7">
        <v>0</v>
      </c>
      <c r="L205" s="7"/>
      <c r="M205" s="7">
        <f t="shared" si="7"/>
        <v>0</v>
      </c>
      <c r="N205" s="7"/>
    </row>
    <row r="206" spans="1:14" customFormat="1" x14ac:dyDescent="0.25">
      <c r="A206" s="7">
        <v>500124007</v>
      </c>
      <c r="B206" s="7" t="s">
        <v>343</v>
      </c>
      <c r="C206" s="7">
        <v>67</v>
      </c>
      <c r="D206" s="7">
        <v>56</v>
      </c>
      <c r="E206" s="7">
        <v>38</v>
      </c>
      <c r="F206" s="7">
        <v>15</v>
      </c>
      <c r="G206" s="7">
        <v>24</v>
      </c>
      <c r="H206" s="7">
        <v>3</v>
      </c>
      <c r="I206" s="7">
        <v>0</v>
      </c>
      <c r="J206" s="7">
        <v>0</v>
      </c>
      <c r="K206" s="7">
        <v>0</v>
      </c>
      <c r="L206" s="7"/>
      <c r="M206" s="7">
        <f t="shared" si="7"/>
        <v>0</v>
      </c>
      <c r="N206" s="7"/>
    </row>
    <row r="207" spans="1:14" customFormat="1" x14ac:dyDescent="0.25">
      <c r="A207" s="7">
        <v>500124009</v>
      </c>
      <c r="B207" s="7" t="s">
        <v>344</v>
      </c>
      <c r="C207" s="7">
        <v>81</v>
      </c>
      <c r="D207" s="7">
        <v>47</v>
      </c>
      <c r="E207" s="7">
        <v>31</v>
      </c>
      <c r="F207" s="7">
        <v>13</v>
      </c>
      <c r="G207" s="7">
        <v>18</v>
      </c>
      <c r="H207" s="7">
        <v>3</v>
      </c>
      <c r="I207" s="7">
        <v>0</v>
      </c>
      <c r="J207" s="7">
        <v>0</v>
      </c>
      <c r="K207" s="7">
        <v>0</v>
      </c>
      <c r="L207" s="7"/>
      <c r="M207" s="7">
        <f t="shared" si="7"/>
        <v>0</v>
      </c>
      <c r="N207" s="7"/>
    </row>
    <row r="208" spans="1:14" customFormat="1" x14ac:dyDescent="0.25">
      <c r="A208" s="7">
        <v>500132400</v>
      </c>
      <c r="B208" s="7" t="s">
        <v>345</v>
      </c>
      <c r="C208" s="7">
        <v>85</v>
      </c>
      <c r="D208" s="7">
        <v>86</v>
      </c>
      <c r="E208" s="7">
        <v>71</v>
      </c>
      <c r="F208" s="7">
        <v>54</v>
      </c>
      <c r="G208" s="7">
        <v>22</v>
      </c>
      <c r="H208" s="7">
        <v>4</v>
      </c>
      <c r="I208" s="7">
        <v>15000</v>
      </c>
      <c r="J208" s="7">
        <v>10511</v>
      </c>
      <c r="K208" s="7">
        <v>10</v>
      </c>
      <c r="L208" s="7">
        <v>1989</v>
      </c>
      <c r="M208" s="7">
        <f t="shared" si="7"/>
        <v>12500</v>
      </c>
      <c r="N208" s="7"/>
    </row>
    <row r="209" spans="1:14" customFormat="1" x14ac:dyDescent="0.25">
      <c r="A209" s="7">
        <v>500134800</v>
      </c>
      <c r="B209" s="7" t="s">
        <v>346</v>
      </c>
      <c r="C209" s="7">
        <v>78</v>
      </c>
      <c r="D209" s="7">
        <v>79</v>
      </c>
      <c r="E209" s="7">
        <v>65</v>
      </c>
      <c r="F209" s="7">
        <v>27</v>
      </c>
      <c r="G209" s="7">
        <v>29</v>
      </c>
      <c r="H209" s="7">
        <v>4</v>
      </c>
      <c r="I209" s="7">
        <v>0</v>
      </c>
      <c r="J209" s="7">
        <v>0</v>
      </c>
      <c r="K209" s="7">
        <v>0</v>
      </c>
      <c r="L209" s="7"/>
      <c r="M209" s="7">
        <f t="shared" si="7"/>
        <v>0</v>
      </c>
      <c r="N209" s="7"/>
    </row>
    <row r="210" spans="1:14" customFormat="1" x14ac:dyDescent="0.25">
      <c r="A210" s="7">
        <v>500180400</v>
      </c>
      <c r="B210" s="7" t="s">
        <v>144</v>
      </c>
      <c r="C210" s="7">
        <v>375</v>
      </c>
      <c r="D210" s="7">
        <v>240</v>
      </c>
      <c r="E210" s="7">
        <v>154</v>
      </c>
      <c r="F210" s="7">
        <v>142</v>
      </c>
      <c r="G210" s="7">
        <v>54</v>
      </c>
      <c r="H210" s="7">
        <v>20</v>
      </c>
      <c r="I210" s="7">
        <v>8000</v>
      </c>
      <c r="J210" s="7">
        <v>10500</v>
      </c>
      <c r="K210" s="7">
        <v>10</v>
      </c>
      <c r="L210" s="7"/>
      <c r="M210" s="7">
        <f t="shared" si="7"/>
        <v>10500</v>
      </c>
      <c r="N210" s="7"/>
    </row>
    <row r="211" spans="1:14" customFormat="1" x14ac:dyDescent="0.25">
      <c r="A211" s="7">
        <v>500180401</v>
      </c>
      <c r="B211" s="7" t="s">
        <v>347</v>
      </c>
      <c r="C211" s="7">
        <v>79</v>
      </c>
      <c r="D211" s="7">
        <v>85</v>
      </c>
      <c r="E211" s="7">
        <v>32</v>
      </c>
      <c r="F211" s="7">
        <v>21</v>
      </c>
      <c r="G211" s="7">
        <v>26</v>
      </c>
      <c r="H211" s="7">
        <v>10</v>
      </c>
      <c r="I211" s="7">
        <v>8000</v>
      </c>
      <c r="J211" s="7">
        <v>10500</v>
      </c>
      <c r="K211" s="7">
        <v>10</v>
      </c>
      <c r="L211" s="7"/>
      <c r="M211" s="7">
        <f t="shared" si="7"/>
        <v>10500</v>
      </c>
      <c r="N211" s="7"/>
    </row>
    <row r="212" spans="1:14" customFormat="1" x14ac:dyDescent="0.25">
      <c r="A212" s="7">
        <v>500180402</v>
      </c>
      <c r="B212" s="7" t="s">
        <v>348</v>
      </c>
      <c r="C212" s="7">
        <v>50</v>
      </c>
      <c r="D212" s="7">
        <v>50</v>
      </c>
      <c r="E212" s="7">
        <v>24</v>
      </c>
      <c r="F212" s="7">
        <v>17</v>
      </c>
      <c r="G212" s="7">
        <v>30</v>
      </c>
      <c r="H212" s="7">
        <v>10</v>
      </c>
      <c r="I212" s="7">
        <v>8000</v>
      </c>
      <c r="J212" s="7">
        <v>10500</v>
      </c>
      <c r="K212" s="7">
        <v>10</v>
      </c>
      <c r="L212" s="7"/>
      <c r="M212" s="7">
        <f t="shared" si="7"/>
        <v>10500</v>
      </c>
      <c r="N212" s="7"/>
    </row>
    <row r="213" spans="1:14" customFormat="1" x14ac:dyDescent="0.25">
      <c r="A213" s="7">
        <v>500180404</v>
      </c>
      <c r="B213" s="7" t="s">
        <v>349</v>
      </c>
      <c r="C213" s="7">
        <v>47</v>
      </c>
      <c r="D213" s="7">
        <v>35</v>
      </c>
      <c r="E213" s="7">
        <v>19</v>
      </c>
      <c r="F213" s="7">
        <v>9</v>
      </c>
      <c r="G213" s="7">
        <v>20</v>
      </c>
      <c r="H213" s="7">
        <v>10</v>
      </c>
      <c r="I213" s="7">
        <v>8000</v>
      </c>
      <c r="J213" s="7">
        <v>10500</v>
      </c>
      <c r="K213" s="7">
        <v>10</v>
      </c>
      <c r="L213" s="7"/>
      <c r="M213" s="7">
        <f t="shared" si="7"/>
        <v>10500</v>
      </c>
      <c r="N213" s="7"/>
    </row>
    <row r="214" spans="1:14" customFormat="1" x14ac:dyDescent="0.25">
      <c r="A214" s="7">
        <v>500180406</v>
      </c>
      <c r="B214" s="7" t="s">
        <v>350</v>
      </c>
      <c r="C214" s="7">
        <v>37</v>
      </c>
      <c r="D214" s="7">
        <v>17</v>
      </c>
      <c r="E214" s="7">
        <v>23</v>
      </c>
      <c r="F214" s="7">
        <v>14</v>
      </c>
      <c r="G214" s="7">
        <v>20</v>
      </c>
      <c r="H214" s="7">
        <v>5</v>
      </c>
      <c r="I214" s="7">
        <v>8000</v>
      </c>
      <c r="J214" s="7">
        <v>10500</v>
      </c>
      <c r="K214" s="7">
        <v>10</v>
      </c>
      <c r="L214" s="7"/>
      <c r="M214" s="7">
        <f t="shared" si="7"/>
        <v>10500</v>
      </c>
      <c r="N214" s="7"/>
    </row>
    <row r="215" spans="1:14" customFormat="1" x14ac:dyDescent="0.25">
      <c r="A215" s="7">
        <v>500180407</v>
      </c>
      <c r="B215" s="7" t="s">
        <v>351</v>
      </c>
      <c r="C215" s="7">
        <v>0</v>
      </c>
      <c r="D215" s="7">
        <v>94</v>
      </c>
      <c r="E215" s="7">
        <v>0</v>
      </c>
      <c r="F215" s="7">
        <v>0</v>
      </c>
      <c r="G215" s="7">
        <v>10</v>
      </c>
      <c r="H215" s="7">
        <v>5</v>
      </c>
      <c r="I215" s="7">
        <v>8000</v>
      </c>
      <c r="J215" s="7">
        <v>10500</v>
      </c>
      <c r="K215" s="7">
        <v>10</v>
      </c>
      <c r="L215" s="7"/>
      <c r="M215" s="7">
        <f t="shared" si="7"/>
        <v>10500</v>
      </c>
      <c r="N215" s="7"/>
    </row>
    <row r="216" spans="1:14" customFormat="1" x14ac:dyDescent="0.25">
      <c r="A216" s="7">
        <v>500221200</v>
      </c>
      <c r="B216" s="7" t="s">
        <v>117</v>
      </c>
      <c r="C216" s="7">
        <v>180</v>
      </c>
      <c r="D216" s="7">
        <v>120</v>
      </c>
      <c r="E216" s="7">
        <v>60</v>
      </c>
      <c r="F216" s="7">
        <v>13</v>
      </c>
      <c r="G216" s="7">
        <v>35</v>
      </c>
      <c r="H216" s="7">
        <v>12</v>
      </c>
      <c r="I216" s="7">
        <v>0</v>
      </c>
      <c r="J216" s="7">
        <v>0</v>
      </c>
      <c r="K216" s="7">
        <v>0</v>
      </c>
      <c r="L216" s="7"/>
      <c r="M216" s="7">
        <f t="shared" si="7"/>
        <v>0</v>
      </c>
      <c r="N216" s="7"/>
    </row>
    <row r="217" spans="1:14" customFormat="1" x14ac:dyDescent="0.25">
      <c r="A217" s="7">
        <v>500224900</v>
      </c>
      <c r="B217" s="7" t="s">
        <v>352</v>
      </c>
      <c r="C217" s="7">
        <v>66</v>
      </c>
      <c r="D217" s="7">
        <v>86</v>
      </c>
      <c r="E217" s="7">
        <v>51</v>
      </c>
      <c r="F217" s="7">
        <v>35</v>
      </c>
      <c r="G217" s="7">
        <v>17</v>
      </c>
      <c r="H217" s="7">
        <v>3</v>
      </c>
      <c r="I217" s="7">
        <v>0</v>
      </c>
      <c r="J217" s="7">
        <v>0</v>
      </c>
      <c r="K217" s="7">
        <v>0</v>
      </c>
      <c r="L217" s="7"/>
      <c r="M217" s="7">
        <f t="shared" si="7"/>
        <v>0</v>
      </c>
      <c r="N217" s="7"/>
    </row>
    <row r="218" spans="1:14" customFormat="1" x14ac:dyDescent="0.25">
      <c r="A218" s="7">
        <v>500238900</v>
      </c>
      <c r="B218" s="7" t="s">
        <v>118</v>
      </c>
      <c r="C218" s="7">
        <v>88</v>
      </c>
      <c r="D218" s="7">
        <v>58</v>
      </c>
      <c r="E218" s="7">
        <v>39</v>
      </c>
      <c r="F218" s="7">
        <v>30</v>
      </c>
      <c r="G218" s="7">
        <v>20</v>
      </c>
      <c r="H218" s="7">
        <v>5</v>
      </c>
      <c r="I218" s="7">
        <v>10</v>
      </c>
      <c r="J218" s="7">
        <v>12</v>
      </c>
      <c r="K218" s="7">
        <v>12</v>
      </c>
      <c r="L218" s="7"/>
      <c r="M218" s="7">
        <f t="shared" si="7"/>
        <v>12</v>
      </c>
      <c r="N218" s="7"/>
    </row>
    <row r="219" spans="1:14" customFormat="1" x14ac:dyDescent="0.25">
      <c r="A219" s="7">
        <v>540027900</v>
      </c>
      <c r="B219" s="7" t="s">
        <v>15</v>
      </c>
      <c r="C219" s="7">
        <v>79</v>
      </c>
      <c r="D219" s="7">
        <v>53</v>
      </c>
      <c r="E219" s="7">
        <v>20</v>
      </c>
      <c r="F219" s="7">
        <v>15</v>
      </c>
      <c r="G219" s="7">
        <v>13</v>
      </c>
      <c r="H219" s="7">
        <v>3</v>
      </c>
      <c r="I219" s="7">
        <v>20700</v>
      </c>
      <c r="J219" s="7">
        <v>12000</v>
      </c>
      <c r="K219" s="7">
        <v>9</v>
      </c>
      <c r="L219" s="7">
        <v>8700</v>
      </c>
      <c r="M219" s="7">
        <f t="shared" si="7"/>
        <v>20700</v>
      </c>
      <c r="N219" s="7"/>
    </row>
    <row r="220" spans="1:14" customFormat="1" x14ac:dyDescent="0.25">
      <c r="A220" s="7">
        <v>540153300</v>
      </c>
      <c r="B220" s="7" t="s">
        <v>413</v>
      </c>
      <c r="C220" s="7">
        <v>0</v>
      </c>
      <c r="D220" s="7">
        <v>80</v>
      </c>
      <c r="E220" s="7">
        <v>126</v>
      </c>
      <c r="F220" s="7">
        <v>93</v>
      </c>
      <c r="G220" s="7">
        <v>14</v>
      </c>
      <c r="H220" s="7">
        <v>4</v>
      </c>
      <c r="I220" s="7">
        <v>0</v>
      </c>
      <c r="J220" s="7">
        <v>0</v>
      </c>
      <c r="K220" s="7">
        <v>0</v>
      </c>
      <c r="L220" s="7"/>
      <c r="M220" s="7">
        <f t="shared" si="7"/>
        <v>0</v>
      </c>
      <c r="N220" s="7"/>
    </row>
    <row r="221" spans="1:14" customFormat="1" x14ac:dyDescent="0.25">
      <c r="A221" s="7">
        <v>540186600</v>
      </c>
      <c r="B221" s="7" t="s">
        <v>11</v>
      </c>
      <c r="C221" s="7">
        <v>179</v>
      </c>
      <c r="D221" s="7">
        <v>64</v>
      </c>
      <c r="E221" s="7">
        <v>50</v>
      </c>
      <c r="F221" s="7">
        <v>44</v>
      </c>
      <c r="G221" s="7">
        <v>0</v>
      </c>
      <c r="H221" s="7">
        <v>0</v>
      </c>
      <c r="I221" s="7">
        <v>95000</v>
      </c>
      <c r="J221" s="7">
        <v>8000</v>
      </c>
      <c r="K221" s="7">
        <v>10</v>
      </c>
      <c r="L221" s="7"/>
      <c r="M221" s="7">
        <f t="shared" si="7"/>
        <v>8000</v>
      </c>
      <c r="N221" s="7"/>
    </row>
    <row r="222" spans="1:14" customFormat="1" x14ac:dyDescent="0.25">
      <c r="A222" s="7">
        <v>540207800</v>
      </c>
      <c r="B222" s="7" t="s">
        <v>353</v>
      </c>
      <c r="C222" s="7">
        <v>234</v>
      </c>
      <c r="D222" s="7">
        <v>0</v>
      </c>
      <c r="E222" s="7">
        <v>0</v>
      </c>
      <c r="F222" s="7">
        <v>0</v>
      </c>
      <c r="G222" s="7">
        <v>12</v>
      </c>
      <c r="H222" s="7">
        <v>2</v>
      </c>
      <c r="I222" s="7">
        <v>0</v>
      </c>
      <c r="J222" s="7">
        <v>0</v>
      </c>
      <c r="K222" s="7">
        <v>0</v>
      </c>
      <c r="L222" s="7"/>
      <c r="M222" s="7">
        <f t="shared" si="7"/>
        <v>0</v>
      </c>
      <c r="N222" s="7"/>
    </row>
    <row r="223" spans="1:14" customFormat="1" x14ac:dyDescent="0.25">
      <c r="A223" s="7">
        <v>580075500</v>
      </c>
      <c r="B223" s="7" t="s">
        <v>354</v>
      </c>
      <c r="C223" s="7">
        <v>103</v>
      </c>
      <c r="D223" s="7">
        <v>103</v>
      </c>
      <c r="E223" s="7">
        <v>70</v>
      </c>
      <c r="F223" s="7">
        <v>48</v>
      </c>
      <c r="G223" s="7">
        <v>17</v>
      </c>
      <c r="H223" s="7">
        <v>4</v>
      </c>
      <c r="I223" s="7">
        <v>6000</v>
      </c>
      <c r="J223" s="7">
        <v>5000</v>
      </c>
      <c r="K223" s="7">
        <v>10</v>
      </c>
      <c r="L223" s="7">
        <v>0</v>
      </c>
      <c r="M223" s="7">
        <f t="shared" si="7"/>
        <v>5000</v>
      </c>
      <c r="N223" s="7"/>
    </row>
    <row r="224" spans="1:14" customFormat="1" x14ac:dyDescent="0.25">
      <c r="A224" s="7">
        <v>580108100</v>
      </c>
      <c r="B224" s="7" t="s">
        <v>245</v>
      </c>
      <c r="C224" s="7">
        <v>100</v>
      </c>
      <c r="D224" s="7">
        <v>0</v>
      </c>
      <c r="E224" s="7">
        <v>0</v>
      </c>
      <c r="F224" s="7">
        <v>0</v>
      </c>
      <c r="G224" s="7">
        <v>6</v>
      </c>
      <c r="H224" s="7">
        <v>1</v>
      </c>
      <c r="I224" s="7">
        <v>0</v>
      </c>
      <c r="J224" s="7">
        <v>0</v>
      </c>
      <c r="K224" s="7">
        <v>0</v>
      </c>
      <c r="L224" s="7">
        <v>0</v>
      </c>
      <c r="M224" s="7"/>
      <c r="N224" s="7"/>
    </row>
    <row r="225" spans="1:14" customFormat="1" x14ac:dyDescent="0.25">
      <c r="A225" s="7">
        <v>620100300</v>
      </c>
      <c r="B225" s="7" t="s">
        <v>145</v>
      </c>
      <c r="C225" s="7">
        <v>174</v>
      </c>
      <c r="D225" s="7">
        <v>145</v>
      </c>
      <c r="E225" s="7">
        <v>73</v>
      </c>
      <c r="F225" s="7">
        <v>136</v>
      </c>
      <c r="G225" s="7">
        <v>15</v>
      </c>
      <c r="H225" s="7">
        <v>3</v>
      </c>
      <c r="I225" s="7">
        <v>9000</v>
      </c>
      <c r="J225" s="7">
        <v>17500</v>
      </c>
      <c r="K225" s="7">
        <v>12</v>
      </c>
      <c r="L225" s="7">
        <v>0</v>
      </c>
      <c r="M225" s="7">
        <f t="shared" ref="M225:M241" si="8">+L225+J225</f>
        <v>17500</v>
      </c>
      <c r="N225" s="7"/>
    </row>
    <row r="226" spans="1:14" customFormat="1" x14ac:dyDescent="0.25">
      <c r="A226" s="7">
        <v>620100301</v>
      </c>
      <c r="B226" s="7" t="s">
        <v>178</v>
      </c>
      <c r="C226" s="7">
        <v>38</v>
      </c>
      <c r="D226" s="7">
        <v>0</v>
      </c>
      <c r="E226" s="7">
        <v>28</v>
      </c>
      <c r="F226" s="7">
        <v>9</v>
      </c>
      <c r="G226" s="7">
        <v>8</v>
      </c>
      <c r="H226" s="7">
        <v>3</v>
      </c>
      <c r="I226" s="7">
        <v>9000</v>
      </c>
      <c r="J226" s="7">
        <v>17500</v>
      </c>
      <c r="K226" s="7">
        <v>12</v>
      </c>
      <c r="L226" s="7">
        <v>0</v>
      </c>
      <c r="M226" s="7">
        <f t="shared" si="8"/>
        <v>17500</v>
      </c>
      <c r="N226" s="7"/>
    </row>
    <row r="227" spans="1:14" customFormat="1" x14ac:dyDescent="0.25">
      <c r="A227" s="7">
        <v>620100302</v>
      </c>
      <c r="B227" s="7" t="s">
        <v>179</v>
      </c>
      <c r="C227" s="7">
        <v>88</v>
      </c>
      <c r="D227" s="7">
        <v>46</v>
      </c>
      <c r="E227" s="7">
        <v>31</v>
      </c>
      <c r="F227" s="7">
        <v>27</v>
      </c>
      <c r="G227" s="7">
        <v>12</v>
      </c>
      <c r="H227" s="7">
        <v>3</v>
      </c>
      <c r="I227" s="7">
        <v>9000</v>
      </c>
      <c r="J227" s="7">
        <v>17500</v>
      </c>
      <c r="K227" s="7">
        <v>12</v>
      </c>
      <c r="L227" s="7">
        <v>0</v>
      </c>
      <c r="M227" s="7">
        <f t="shared" si="8"/>
        <v>17500</v>
      </c>
      <c r="N227" s="7"/>
    </row>
    <row r="228" spans="1:14" customFormat="1" x14ac:dyDescent="0.25">
      <c r="A228" s="7">
        <v>620100305</v>
      </c>
      <c r="B228" s="7" t="s">
        <v>180</v>
      </c>
      <c r="C228" s="7">
        <v>30</v>
      </c>
      <c r="D228" s="7">
        <v>19</v>
      </c>
      <c r="E228" s="7">
        <v>11</v>
      </c>
      <c r="F228" s="7">
        <v>36</v>
      </c>
      <c r="G228" s="7">
        <v>8</v>
      </c>
      <c r="H228" s="7">
        <v>3</v>
      </c>
      <c r="I228" s="7">
        <v>9000</v>
      </c>
      <c r="J228" s="7">
        <v>17500</v>
      </c>
      <c r="K228" s="7">
        <v>12</v>
      </c>
      <c r="L228" s="7">
        <v>0</v>
      </c>
      <c r="M228" s="7">
        <f t="shared" si="8"/>
        <v>17500</v>
      </c>
      <c r="N228" s="7"/>
    </row>
    <row r="229" spans="1:14" customFormat="1" x14ac:dyDescent="0.25">
      <c r="A229" s="7">
        <v>620100306</v>
      </c>
      <c r="B229" s="7" t="s">
        <v>181</v>
      </c>
      <c r="C229" s="7">
        <v>0</v>
      </c>
      <c r="D229" s="7">
        <v>27</v>
      </c>
      <c r="E229" s="7">
        <v>0</v>
      </c>
      <c r="F229" s="7">
        <v>7</v>
      </c>
      <c r="G229" s="7">
        <v>6</v>
      </c>
      <c r="H229" s="7">
        <v>3</v>
      </c>
      <c r="I229" s="7">
        <v>9000</v>
      </c>
      <c r="J229" s="7">
        <v>17500</v>
      </c>
      <c r="K229" s="7">
        <v>12</v>
      </c>
      <c r="L229" s="7">
        <v>0</v>
      </c>
      <c r="M229" s="7">
        <f t="shared" si="8"/>
        <v>17500</v>
      </c>
      <c r="N229" s="7"/>
    </row>
    <row r="230" spans="1:14" customFormat="1" x14ac:dyDescent="0.25">
      <c r="A230" s="7">
        <v>620100307</v>
      </c>
      <c r="B230" s="7" t="s">
        <v>182</v>
      </c>
      <c r="C230" s="7">
        <v>0</v>
      </c>
      <c r="D230" s="7">
        <v>0</v>
      </c>
      <c r="E230" s="7">
        <v>2</v>
      </c>
      <c r="F230" s="7">
        <v>1</v>
      </c>
      <c r="G230" s="7">
        <v>6</v>
      </c>
      <c r="H230" s="7">
        <v>2</v>
      </c>
      <c r="I230" s="7">
        <v>9000</v>
      </c>
      <c r="J230" s="7">
        <v>17500</v>
      </c>
      <c r="K230" s="7">
        <v>12</v>
      </c>
      <c r="L230" s="7">
        <v>0</v>
      </c>
      <c r="M230" s="7">
        <f t="shared" si="8"/>
        <v>17500</v>
      </c>
      <c r="N230" s="7"/>
    </row>
    <row r="231" spans="1:14" customFormat="1" x14ac:dyDescent="0.25">
      <c r="A231" s="7">
        <v>660057600</v>
      </c>
      <c r="B231" s="7" t="s">
        <v>183</v>
      </c>
      <c r="C231" s="7">
        <v>79</v>
      </c>
      <c r="D231" s="7">
        <v>55</v>
      </c>
      <c r="E231" s="7">
        <v>25</v>
      </c>
      <c r="F231" s="7">
        <v>23</v>
      </c>
      <c r="G231" s="7">
        <v>21</v>
      </c>
      <c r="H231" s="7">
        <v>3</v>
      </c>
      <c r="I231" s="7">
        <v>0</v>
      </c>
      <c r="J231" s="7">
        <v>0</v>
      </c>
      <c r="K231" s="7">
        <v>0</v>
      </c>
      <c r="L231" s="7"/>
      <c r="M231" s="7">
        <f t="shared" si="8"/>
        <v>0</v>
      </c>
      <c r="N231" s="7"/>
    </row>
    <row r="232" spans="1:14" customFormat="1" x14ac:dyDescent="0.25">
      <c r="A232" s="7">
        <v>660063300</v>
      </c>
      <c r="B232" s="7" t="s">
        <v>355</v>
      </c>
      <c r="C232" s="7">
        <v>278</v>
      </c>
      <c r="D232" s="7">
        <v>365</v>
      </c>
      <c r="E232" s="7">
        <v>154</v>
      </c>
      <c r="F232" s="7">
        <v>73</v>
      </c>
      <c r="G232" s="7">
        <v>71</v>
      </c>
      <c r="H232" s="7">
        <v>39</v>
      </c>
      <c r="I232" s="8">
        <v>15000</v>
      </c>
      <c r="J232" s="8">
        <v>24000</v>
      </c>
      <c r="K232" s="7">
        <v>10</v>
      </c>
      <c r="L232" s="7"/>
      <c r="M232" s="7">
        <f t="shared" si="8"/>
        <v>24000</v>
      </c>
      <c r="N232" s="7"/>
    </row>
    <row r="233" spans="1:14" customFormat="1" x14ac:dyDescent="0.25">
      <c r="A233" s="7">
        <v>660117400</v>
      </c>
      <c r="B233" s="7" t="s">
        <v>184</v>
      </c>
      <c r="C233" s="7">
        <v>402</v>
      </c>
      <c r="D233" s="7">
        <v>347</v>
      </c>
      <c r="E233" s="7">
        <v>191</v>
      </c>
      <c r="F233" s="7">
        <v>164</v>
      </c>
      <c r="G233" s="7">
        <v>120</v>
      </c>
      <c r="H233" s="7">
        <v>60</v>
      </c>
      <c r="I233" s="7">
        <v>145000</v>
      </c>
      <c r="J233" s="7">
        <v>14500</v>
      </c>
      <c r="K233" s="7">
        <v>10</v>
      </c>
      <c r="L233" s="7"/>
      <c r="M233" s="7">
        <f t="shared" si="8"/>
        <v>14500</v>
      </c>
      <c r="N233" s="7"/>
    </row>
    <row r="234" spans="1:14" customFormat="1" x14ac:dyDescent="0.25">
      <c r="A234" s="7">
        <v>660117401</v>
      </c>
      <c r="B234" s="7" t="s">
        <v>185</v>
      </c>
      <c r="C234" s="7">
        <v>102</v>
      </c>
      <c r="D234" s="7">
        <v>98</v>
      </c>
      <c r="E234" s="7">
        <v>43</v>
      </c>
      <c r="F234" s="7">
        <v>27</v>
      </c>
      <c r="G234" s="7">
        <v>25</v>
      </c>
      <c r="H234" s="7">
        <v>18</v>
      </c>
      <c r="I234" s="7">
        <v>145000</v>
      </c>
      <c r="J234" s="7">
        <v>14500</v>
      </c>
      <c r="K234" s="7">
        <v>10</v>
      </c>
      <c r="L234" s="7"/>
      <c r="M234" s="7">
        <f t="shared" si="8"/>
        <v>14500</v>
      </c>
      <c r="N234" s="7"/>
    </row>
    <row r="235" spans="1:14" customFormat="1" x14ac:dyDescent="0.25">
      <c r="A235" s="7">
        <v>660117402</v>
      </c>
      <c r="B235" s="7" t="s">
        <v>186</v>
      </c>
      <c r="C235" s="7">
        <v>95</v>
      </c>
      <c r="D235" s="7">
        <v>63</v>
      </c>
      <c r="E235" s="7">
        <v>41</v>
      </c>
      <c r="F235" s="7">
        <v>19</v>
      </c>
      <c r="G235" s="7">
        <v>25</v>
      </c>
      <c r="H235" s="7">
        <v>15</v>
      </c>
      <c r="I235" s="7">
        <v>145000</v>
      </c>
      <c r="J235" s="7">
        <v>14500</v>
      </c>
      <c r="K235" s="7">
        <v>10</v>
      </c>
      <c r="L235" s="7"/>
      <c r="M235" s="7">
        <f t="shared" si="8"/>
        <v>14500</v>
      </c>
      <c r="N235" s="7"/>
    </row>
    <row r="236" spans="1:14" customFormat="1" x14ac:dyDescent="0.25">
      <c r="A236" s="7">
        <v>660117403</v>
      </c>
      <c r="B236" s="7" t="s">
        <v>187</v>
      </c>
      <c r="C236" s="7">
        <v>121</v>
      </c>
      <c r="D236" s="7">
        <v>65</v>
      </c>
      <c r="E236" s="7">
        <v>49</v>
      </c>
      <c r="F236" s="7">
        <v>62</v>
      </c>
      <c r="G236" s="7">
        <v>30</v>
      </c>
      <c r="H236" s="7">
        <v>16</v>
      </c>
      <c r="I236" s="7">
        <v>145000</v>
      </c>
      <c r="J236" s="7">
        <v>14500</v>
      </c>
      <c r="K236" s="7">
        <v>10</v>
      </c>
      <c r="L236" s="7"/>
      <c r="M236" s="7">
        <f t="shared" si="8"/>
        <v>14500</v>
      </c>
      <c r="N236" s="7"/>
    </row>
    <row r="237" spans="1:14" customFormat="1" x14ac:dyDescent="0.25">
      <c r="A237" s="7">
        <v>660117404</v>
      </c>
      <c r="B237" s="7" t="s">
        <v>188</v>
      </c>
      <c r="C237" s="7">
        <v>47</v>
      </c>
      <c r="D237" s="7">
        <v>48</v>
      </c>
      <c r="E237" s="7">
        <v>60</v>
      </c>
      <c r="F237" s="7">
        <v>31</v>
      </c>
      <c r="G237" s="7">
        <v>25</v>
      </c>
      <c r="H237" s="7">
        <v>12</v>
      </c>
      <c r="I237" s="7">
        <v>145000</v>
      </c>
      <c r="J237" s="7">
        <v>14500</v>
      </c>
      <c r="K237" s="7">
        <v>10</v>
      </c>
      <c r="L237" s="7"/>
      <c r="M237" s="7">
        <f t="shared" si="8"/>
        <v>14500</v>
      </c>
      <c r="N237" s="7"/>
    </row>
    <row r="238" spans="1:14" customFormat="1" x14ac:dyDescent="0.25">
      <c r="A238" s="7">
        <v>660117405</v>
      </c>
      <c r="B238" s="7" t="s">
        <v>189</v>
      </c>
      <c r="C238" s="7">
        <v>78</v>
      </c>
      <c r="D238" s="7">
        <v>49</v>
      </c>
      <c r="E238" s="7">
        <v>30</v>
      </c>
      <c r="F238" s="7">
        <v>49</v>
      </c>
      <c r="G238" s="7">
        <v>30</v>
      </c>
      <c r="H238" s="7">
        <v>15</v>
      </c>
      <c r="I238" s="7">
        <v>145000</v>
      </c>
      <c r="J238" s="7">
        <v>14500</v>
      </c>
      <c r="K238" s="7">
        <v>10</v>
      </c>
      <c r="L238" s="7"/>
      <c r="M238" s="7">
        <f t="shared" si="8"/>
        <v>14500</v>
      </c>
      <c r="N238" s="7"/>
    </row>
    <row r="239" spans="1:14" customFormat="1" x14ac:dyDescent="0.25">
      <c r="A239" s="7">
        <v>660117408</v>
      </c>
      <c r="B239" s="7" t="s">
        <v>190</v>
      </c>
      <c r="C239" s="7">
        <v>105</v>
      </c>
      <c r="D239" s="7">
        <v>62</v>
      </c>
      <c r="E239" s="7">
        <v>42</v>
      </c>
      <c r="F239" s="7">
        <v>17</v>
      </c>
      <c r="G239" s="7">
        <v>30</v>
      </c>
      <c r="H239" s="7">
        <v>16</v>
      </c>
      <c r="I239" s="7">
        <v>145000</v>
      </c>
      <c r="J239" s="7">
        <v>14500</v>
      </c>
      <c r="K239" s="7">
        <v>10</v>
      </c>
      <c r="L239" s="7"/>
      <c r="M239" s="7">
        <f t="shared" si="8"/>
        <v>14500</v>
      </c>
      <c r="N239" s="7"/>
    </row>
    <row r="240" spans="1:14" customFormat="1" x14ac:dyDescent="0.25">
      <c r="A240" s="7">
        <v>660117410</v>
      </c>
      <c r="B240" s="7" t="s">
        <v>191</v>
      </c>
      <c r="C240" s="7">
        <v>72</v>
      </c>
      <c r="D240" s="7">
        <v>68</v>
      </c>
      <c r="E240" s="7">
        <v>32</v>
      </c>
      <c r="F240" s="7">
        <v>30</v>
      </c>
      <c r="G240" s="7">
        <v>31</v>
      </c>
      <c r="H240" s="7">
        <v>16</v>
      </c>
      <c r="I240" s="7">
        <v>145000</v>
      </c>
      <c r="J240" s="7">
        <v>14500</v>
      </c>
      <c r="K240" s="7">
        <v>10</v>
      </c>
      <c r="L240" s="7"/>
      <c r="M240" s="7">
        <f t="shared" si="8"/>
        <v>14500</v>
      </c>
      <c r="N240" s="7"/>
    </row>
    <row r="241" spans="1:14" customFormat="1" x14ac:dyDescent="0.25">
      <c r="A241" s="7">
        <v>660150700</v>
      </c>
      <c r="B241" s="7" t="s">
        <v>158</v>
      </c>
      <c r="C241" s="7">
        <v>40</v>
      </c>
      <c r="D241" s="7">
        <v>55</v>
      </c>
      <c r="E241" s="7">
        <v>0</v>
      </c>
      <c r="F241" s="7">
        <v>0</v>
      </c>
      <c r="G241" s="7">
        <v>15</v>
      </c>
      <c r="H241" s="7">
        <v>2</v>
      </c>
      <c r="I241" s="7">
        <v>0</v>
      </c>
      <c r="J241" s="7">
        <v>0</v>
      </c>
      <c r="K241" s="7">
        <v>0</v>
      </c>
      <c r="L241" s="7"/>
      <c r="M241" s="7">
        <f t="shared" si="8"/>
        <v>0</v>
      </c>
      <c r="N241" s="7"/>
    </row>
    <row r="242" spans="1:14" customFormat="1" x14ac:dyDescent="0.25">
      <c r="A242" s="10">
        <v>820017501</v>
      </c>
      <c r="B242" s="5" t="s">
        <v>662</v>
      </c>
      <c r="C242" s="7">
        <v>60</v>
      </c>
      <c r="D242" s="7">
        <v>47</v>
      </c>
      <c r="E242" s="7">
        <v>0</v>
      </c>
      <c r="F242" s="7">
        <v>0</v>
      </c>
      <c r="G242" s="7">
        <v>7</v>
      </c>
      <c r="H242" s="7">
        <v>2</v>
      </c>
      <c r="I242" s="7"/>
      <c r="J242" s="7"/>
      <c r="K242" s="7"/>
      <c r="L242" s="7"/>
      <c r="M242" s="7"/>
      <c r="N242" s="7"/>
    </row>
    <row r="243" spans="1:14" customFormat="1" x14ac:dyDescent="0.25">
      <c r="A243" s="7">
        <v>820033500</v>
      </c>
      <c r="B243" s="7" t="s">
        <v>192</v>
      </c>
      <c r="C243" s="7">
        <v>74</v>
      </c>
      <c r="D243" s="7">
        <v>31</v>
      </c>
      <c r="E243" s="7">
        <v>28</v>
      </c>
      <c r="F243" s="7">
        <v>0</v>
      </c>
      <c r="G243" s="7">
        <v>13</v>
      </c>
      <c r="H243" s="7">
        <v>2</v>
      </c>
      <c r="I243" s="7">
        <v>0</v>
      </c>
      <c r="J243" s="7">
        <v>0</v>
      </c>
      <c r="K243" s="7">
        <v>0</v>
      </c>
      <c r="L243" s="7"/>
      <c r="M243" s="7">
        <f t="shared" ref="M243:M274" si="9">+L243+J243</f>
        <v>0</v>
      </c>
      <c r="N243" s="7"/>
    </row>
    <row r="244" spans="1:14" customFormat="1" x14ac:dyDescent="0.25">
      <c r="A244" s="7">
        <v>820061900</v>
      </c>
      <c r="B244" s="7" t="s">
        <v>193</v>
      </c>
      <c r="C244" s="7">
        <v>58</v>
      </c>
      <c r="D244" s="7">
        <v>44</v>
      </c>
      <c r="E244" s="7">
        <v>44</v>
      </c>
      <c r="F244" s="7">
        <v>7</v>
      </c>
      <c r="G244" s="7">
        <v>15</v>
      </c>
      <c r="H244" s="7">
        <v>4</v>
      </c>
      <c r="I244" s="7">
        <v>26500</v>
      </c>
      <c r="J244" s="7">
        <v>10000</v>
      </c>
      <c r="K244" s="7">
        <v>10</v>
      </c>
      <c r="L244" s="7"/>
      <c r="M244" s="7">
        <f t="shared" si="9"/>
        <v>10000</v>
      </c>
      <c r="N244" s="7"/>
    </row>
    <row r="245" spans="1:14" customFormat="1" x14ac:dyDescent="0.25">
      <c r="A245" s="7">
        <v>820061901</v>
      </c>
      <c r="B245" s="7" t="s">
        <v>194</v>
      </c>
      <c r="C245" s="7">
        <v>84</v>
      </c>
      <c r="D245" s="7">
        <v>79</v>
      </c>
      <c r="E245" s="7">
        <v>64</v>
      </c>
      <c r="F245" s="7">
        <v>14</v>
      </c>
      <c r="G245" s="7">
        <v>20</v>
      </c>
      <c r="H245" s="7">
        <v>4</v>
      </c>
      <c r="I245" s="7">
        <v>26500</v>
      </c>
      <c r="J245" s="7">
        <v>10000</v>
      </c>
      <c r="K245" s="7">
        <v>10</v>
      </c>
      <c r="L245" s="7"/>
      <c r="M245" s="7">
        <f t="shared" si="9"/>
        <v>10000</v>
      </c>
      <c r="N245" s="7"/>
    </row>
    <row r="246" spans="1:14" customFormat="1" x14ac:dyDescent="0.25">
      <c r="A246" s="7">
        <v>820104900</v>
      </c>
      <c r="B246" s="7" t="s">
        <v>119</v>
      </c>
      <c r="C246" s="7">
        <v>0</v>
      </c>
      <c r="D246" s="7">
        <v>0</v>
      </c>
      <c r="E246" s="7">
        <v>100</v>
      </c>
      <c r="F246" s="7">
        <v>3</v>
      </c>
      <c r="G246" s="7">
        <v>7</v>
      </c>
      <c r="H246" s="7">
        <v>4</v>
      </c>
      <c r="I246" s="7">
        <v>3200</v>
      </c>
      <c r="J246" s="7">
        <v>3900</v>
      </c>
      <c r="K246" s="7">
        <v>9</v>
      </c>
      <c r="L246" s="7"/>
      <c r="M246" s="7">
        <f t="shared" si="9"/>
        <v>3900</v>
      </c>
      <c r="N246" s="7"/>
    </row>
    <row r="247" spans="1:14" customFormat="1" x14ac:dyDescent="0.25">
      <c r="A247" s="7">
        <v>820188400</v>
      </c>
      <c r="B247" s="7" t="s">
        <v>356</v>
      </c>
      <c r="C247" s="7">
        <v>157</v>
      </c>
      <c r="D247" s="7">
        <v>166</v>
      </c>
      <c r="E247" s="7">
        <v>147</v>
      </c>
      <c r="F247" s="7">
        <v>49</v>
      </c>
      <c r="G247" s="7">
        <v>21</v>
      </c>
      <c r="H247" s="7">
        <v>17</v>
      </c>
      <c r="I247" s="8">
        <v>19500</v>
      </c>
      <c r="J247" s="8">
        <v>11900</v>
      </c>
      <c r="K247" s="7">
        <v>10</v>
      </c>
      <c r="L247" s="7"/>
      <c r="M247" s="7">
        <f t="shared" si="9"/>
        <v>11900</v>
      </c>
      <c r="N247" s="7"/>
    </row>
    <row r="248" spans="1:14" customFormat="1" x14ac:dyDescent="0.25">
      <c r="A248" s="7">
        <v>820188401</v>
      </c>
      <c r="B248" s="7" t="s">
        <v>357</v>
      </c>
      <c r="C248" s="7">
        <v>45</v>
      </c>
      <c r="D248" s="7">
        <v>44</v>
      </c>
      <c r="E248" s="7">
        <v>41</v>
      </c>
      <c r="F248" s="7">
        <v>28</v>
      </c>
      <c r="G248" s="7">
        <v>15</v>
      </c>
      <c r="H248" s="7">
        <v>4</v>
      </c>
      <c r="I248" s="7">
        <v>12000</v>
      </c>
      <c r="J248" s="7">
        <v>9000</v>
      </c>
      <c r="K248" s="7">
        <v>10</v>
      </c>
      <c r="L248" s="7"/>
      <c r="M248" s="7">
        <f t="shared" si="9"/>
        <v>9000</v>
      </c>
      <c r="N248" s="7"/>
    </row>
    <row r="249" spans="1:14" customFormat="1" x14ac:dyDescent="0.25">
      <c r="A249" s="7">
        <v>820188402</v>
      </c>
      <c r="B249" s="7" t="s">
        <v>249</v>
      </c>
      <c r="C249" s="7">
        <v>38</v>
      </c>
      <c r="D249" s="7">
        <v>46</v>
      </c>
      <c r="E249" s="7">
        <v>49</v>
      </c>
      <c r="F249" s="7">
        <v>9</v>
      </c>
      <c r="G249" s="7">
        <v>16</v>
      </c>
      <c r="H249" s="7">
        <v>5</v>
      </c>
      <c r="I249" s="7">
        <v>4500</v>
      </c>
      <c r="J249" s="7">
        <v>4500</v>
      </c>
      <c r="K249" s="7">
        <v>10</v>
      </c>
      <c r="L249" s="7"/>
      <c r="M249" s="7">
        <f t="shared" si="9"/>
        <v>4500</v>
      </c>
      <c r="N249" s="7"/>
    </row>
    <row r="250" spans="1:14" customFormat="1" x14ac:dyDescent="0.25">
      <c r="A250" s="7">
        <v>820208400</v>
      </c>
      <c r="B250" s="7" t="s">
        <v>195</v>
      </c>
      <c r="C250" s="7">
        <v>55</v>
      </c>
      <c r="D250" s="7">
        <v>42</v>
      </c>
      <c r="E250" s="7">
        <v>58</v>
      </c>
      <c r="F250" s="7">
        <v>0</v>
      </c>
      <c r="G250" s="7">
        <v>13</v>
      </c>
      <c r="H250" s="7">
        <v>4</v>
      </c>
      <c r="I250" s="7">
        <v>0</v>
      </c>
      <c r="J250" s="7">
        <v>0</v>
      </c>
      <c r="K250" s="7">
        <v>0</v>
      </c>
      <c r="L250" s="7"/>
      <c r="M250" s="7">
        <f t="shared" si="9"/>
        <v>0</v>
      </c>
      <c r="N250" s="7"/>
    </row>
    <row r="251" spans="1:14" customFormat="1" x14ac:dyDescent="0.25">
      <c r="A251" s="7">
        <v>820240200</v>
      </c>
      <c r="B251" s="7" t="s">
        <v>358</v>
      </c>
      <c r="C251" s="7">
        <v>94</v>
      </c>
      <c r="D251" s="7">
        <v>64</v>
      </c>
      <c r="E251" s="7">
        <v>73</v>
      </c>
      <c r="F251" s="7">
        <v>10</v>
      </c>
      <c r="G251" s="7">
        <v>42</v>
      </c>
      <c r="H251" s="7">
        <v>9</v>
      </c>
      <c r="I251" s="7">
        <v>0</v>
      </c>
      <c r="J251" s="7">
        <v>0</v>
      </c>
      <c r="K251" s="7">
        <v>0</v>
      </c>
      <c r="L251" s="7"/>
      <c r="M251" s="7">
        <f t="shared" si="9"/>
        <v>0</v>
      </c>
      <c r="N251" s="7"/>
    </row>
    <row r="252" spans="1:14" customFormat="1" x14ac:dyDescent="0.25">
      <c r="A252" s="7">
        <v>820250700</v>
      </c>
      <c r="B252" s="7" t="s">
        <v>359</v>
      </c>
      <c r="C252" s="7">
        <v>133</v>
      </c>
      <c r="D252" s="7">
        <v>53</v>
      </c>
      <c r="E252" s="7">
        <v>35</v>
      </c>
      <c r="F252" s="7">
        <v>6</v>
      </c>
      <c r="G252" s="7">
        <v>22</v>
      </c>
      <c r="H252" s="7">
        <v>6</v>
      </c>
      <c r="I252" s="7">
        <v>12000</v>
      </c>
      <c r="J252" s="7">
        <v>8000</v>
      </c>
      <c r="K252" s="7">
        <v>9</v>
      </c>
      <c r="L252" s="7"/>
      <c r="M252" s="7">
        <f t="shared" si="9"/>
        <v>8000</v>
      </c>
      <c r="N252" s="7"/>
    </row>
    <row r="253" spans="1:14" customFormat="1" x14ac:dyDescent="0.25">
      <c r="A253" s="7">
        <v>820252400</v>
      </c>
      <c r="B253" s="7" t="s">
        <v>120</v>
      </c>
      <c r="C253" s="7">
        <v>132</v>
      </c>
      <c r="D253" s="7">
        <v>86</v>
      </c>
      <c r="E253" s="7">
        <v>88</v>
      </c>
      <c r="F253" s="7">
        <v>47</v>
      </c>
      <c r="G253" s="7">
        <v>29</v>
      </c>
      <c r="H253" s="7">
        <v>5</v>
      </c>
      <c r="I253" s="7">
        <v>0</v>
      </c>
      <c r="J253" s="7">
        <v>0</v>
      </c>
      <c r="K253" s="7">
        <v>0</v>
      </c>
      <c r="L253" s="7"/>
      <c r="M253" s="7">
        <f t="shared" si="9"/>
        <v>0</v>
      </c>
      <c r="N253" s="7"/>
    </row>
    <row r="254" spans="1:14" customFormat="1" x14ac:dyDescent="0.25">
      <c r="A254" s="7">
        <v>820375600</v>
      </c>
      <c r="B254" s="7" t="s">
        <v>197</v>
      </c>
      <c r="C254" s="7">
        <v>70</v>
      </c>
      <c r="D254" s="7">
        <v>50</v>
      </c>
      <c r="E254" s="7">
        <v>34</v>
      </c>
      <c r="F254" s="7">
        <v>0</v>
      </c>
      <c r="G254" s="7">
        <v>12</v>
      </c>
      <c r="H254" s="7">
        <v>3</v>
      </c>
      <c r="I254" s="7">
        <v>0</v>
      </c>
      <c r="J254" s="7">
        <v>0</v>
      </c>
      <c r="K254" s="7">
        <v>0</v>
      </c>
      <c r="L254" s="7"/>
      <c r="M254" s="7">
        <f t="shared" si="9"/>
        <v>0</v>
      </c>
      <c r="N254" s="7"/>
    </row>
    <row r="255" spans="1:14" customFormat="1" x14ac:dyDescent="0.25">
      <c r="A255" s="7">
        <v>820381400</v>
      </c>
      <c r="B255" s="7" t="s">
        <v>250</v>
      </c>
      <c r="C255" s="7">
        <v>42</v>
      </c>
      <c r="D255" s="7">
        <v>39</v>
      </c>
      <c r="E255" s="7">
        <v>41</v>
      </c>
      <c r="F255" s="7">
        <v>43</v>
      </c>
      <c r="G255" s="7">
        <v>16</v>
      </c>
      <c r="H255" s="7">
        <v>3</v>
      </c>
      <c r="I255" s="7">
        <v>13200</v>
      </c>
      <c r="J255" s="7">
        <v>8300</v>
      </c>
      <c r="K255" s="7">
        <v>10</v>
      </c>
      <c r="L255" s="7"/>
      <c r="M255" s="7">
        <f t="shared" si="9"/>
        <v>8300</v>
      </c>
      <c r="N255" s="7"/>
    </row>
    <row r="256" spans="1:14" customFormat="1" x14ac:dyDescent="0.25">
      <c r="A256" s="7">
        <v>820382000</v>
      </c>
      <c r="B256" s="7" t="s">
        <v>121</v>
      </c>
      <c r="C256" s="7">
        <v>150</v>
      </c>
      <c r="D256" s="7">
        <v>170</v>
      </c>
      <c r="E256" s="7">
        <v>117</v>
      </c>
      <c r="F256" s="7">
        <v>29</v>
      </c>
      <c r="G256" s="7">
        <v>26</v>
      </c>
      <c r="H256" s="7">
        <v>8</v>
      </c>
      <c r="I256" s="7">
        <v>20000</v>
      </c>
      <c r="J256" s="7">
        <v>14000</v>
      </c>
      <c r="K256" s="7">
        <v>10</v>
      </c>
      <c r="L256" s="7"/>
      <c r="M256" s="7">
        <f t="shared" si="9"/>
        <v>14000</v>
      </c>
      <c r="N256" s="7"/>
    </row>
    <row r="257" spans="1:14" customFormat="1" x14ac:dyDescent="0.25">
      <c r="A257" s="7">
        <v>820412100</v>
      </c>
      <c r="B257" s="7" t="s">
        <v>122</v>
      </c>
      <c r="C257" s="7">
        <v>350</v>
      </c>
      <c r="D257" s="7">
        <v>220</v>
      </c>
      <c r="E257" s="7">
        <v>70</v>
      </c>
      <c r="F257" s="7">
        <v>22</v>
      </c>
      <c r="G257" s="7">
        <v>35</v>
      </c>
      <c r="H257" s="7">
        <v>10</v>
      </c>
      <c r="I257" s="7">
        <v>168000</v>
      </c>
      <c r="J257" s="7">
        <v>14000</v>
      </c>
      <c r="K257" s="7">
        <v>12</v>
      </c>
      <c r="L257" s="7"/>
      <c r="M257" s="7">
        <f t="shared" si="9"/>
        <v>14000</v>
      </c>
      <c r="N257" s="7"/>
    </row>
    <row r="258" spans="1:14" customFormat="1" x14ac:dyDescent="0.25">
      <c r="A258" s="7">
        <v>820413900</v>
      </c>
      <c r="B258" s="7" t="s">
        <v>360</v>
      </c>
      <c r="C258" s="7">
        <v>79</v>
      </c>
      <c r="D258" s="7">
        <v>45</v>
      </c>
      <c r="E258" s="7">
        <v>37</v>
      </c>
      <c r="F258" s="7">
        <v>20</v>
      </c>
      <c r="G258" s="7">
        <v>26</v>
      </c>
      <c r="H258" s="7">
        <v>11</v>
      </c>
      <c r="I258" s="7">
        <v>161</v>
      </c>
      <c r="J258" s="7">
        <v>6950</v>
      </c>
      <c r="K258" s="7">
        <v>12</v>
      </c>
      <c r="L258" s="7"/>
      <c r="M258" s="7">
        <f t="shared" si="9"/>
        <v>6950</v>
      </c>
      <c r="N258" s="7"/>
    </row>
    <row r="259" spans="1:14" customFormat="1" x14ac:dyDescent="0.25">
      <c r="A259" s="7">
        <v>820442800</v>
      </c>
      <c r="B259" s="7" t="s">
        <v>361</v>
      </c>
      <c r="C259" s="7">
        <v>185</v>
      </c>
      <c r="D259" s="7">
        <v>187</v>
      </c>
      <c r="E259" s="7">
        <v>79</v>
      </c>
      <c r="F259" s="7">
        <v>126</v>
      </c>
      <c r="G259" s="7">
        <v>44</v>
      </c>
      <c r="H259" s="7">
        <v>26</v>
      </c>
      <c r="I259" s="7">
        <v>0</v>
      </c>
      <c r="J259" s="7">
        <v>0</v>
      </c>
      <c r="K259" s="7">
        <v>0</v>
      </c>
      <c r="L259" s="7"/>
      <c r="M259" s="7">
        <f t="shared" si="9"/>
        <v>0</v>
      </c>
      <c r="N259" s="7"/>
    </row>
    <row r="260" spans="1:14" customFormat="1" x14ac:dyDescent="0.25">
      <c r="A260" s="7">
        <v>820443000</v>
      </c>
      <c r="B260" s="7" t="s">
        <v>252</v>
      </c>
      <c r="C260" s="7">
        <v>78</v>
      </c>
      <c r="D260" s="7">
        <v>85</v>
      </c>
      <c r="E260" s="7">
        <v>61</v>
      </c>
      <c r="F260" s="7">
        <v>47</v>
      </c>
      <c r="G260" s="7">
        <v>24</v>
      </c>
      <c r="H260" s="7">
        <v>8</v>
      </c>
      <c r="I260" s="7">
        <v>0</v>
      </c>
      <c r="J260" s="7">
        <v>0</v>
      </c>
      <c r="K260" s="7">
        <v>0</v>
      </c>
      <c r="L260" s="7"/>
      <c r="M260" s="7">
        <f t="shared" si="9"/>
        <v>0</v>
      </c>
      <c r="N260" s="7"/>
    </row>
    <row r="261" spans="1:14" customFormat="1" x14ac:dyDescent="0.25">
      <c r="A261" s="7">
        <v>820443100</v>
      </c>
      <c r="B261" s="7" t="s">
        <v>362</v>
      </c>
      <c r="C261" s="7">
        <v>93</v>
      </c>
      <c r="D261" s="7">
        <v>102</v>
      </c>
      <c r="E261" s="7">
        <v>81</v>
      </c>
      <c r="F261" s="7">
        <v>57</v>
      </c>
      <c r="G261" s="7">
        <v>51</v>
      </c>
      <c r="H261" s="7">
        <v>36</v>
      </c>
      <c r="I261" s="7">
        <v>0</v>
      </c>
      <c r="J261" s="7">
        <v>0</v>
      </c>
      <c r="K261" s="7">
        <v>0</v>
      </c>
      <c r="L261" s="7"/>
      <c r="M261" s="7">
        <f t="shared" si="9"/>
        <v>0</v>
      </c>
      <c r="N261" s="7"/>
    </row>
    <row r="262" spans="1:14" customFormat="1" x14ac:dyDescent="0.25">
      <c r="A262" s="7">
        <v>820443200</v>
      </c>
      <c r="B262" s="7" t="s">
        <v>363</v>
      </c>
      <c r="C262" s="7">
        <v>40</v>
      </c>
      <c r="D262" s="7">
        <v>0</v>
      </c>
      <c r="E262" s="7">
        <v>0</v>
      </c>
      <c r="F262" s="7">
        <v>48</v>
      </c>
      <c r="G262" s="7">
        <v>6</v>
      </c>
      <c r="H262" s="7">
        <v>5</v>
      </c>
      <c r="I262" s="7">
        <v>0</v>
      </c>
      <c r="J262" s="7">
        <v>0</v>
      </c>
      <c r="K262" s="7">
        <v>0</v>
      </c>
      <c r="L262" s="7"/>
      <c r="M262" s="7">
        <f t="shared" si="9"/>
        <v>0</v>
      </c>
      <c r="N262" s="7"/>
    </row>
    <row r="263" spans="1:14" customFormat="1" x14ac:dyDescent="0.25">
      <c r="A263" s="7">
        <v>820455600</v>
      </c>
      <c r="B263" s="7" t="s">
        <v>123</v>
      </c>
      <c r="C263" s="7">
        <v>38</v>
      </c>
      <c r="D263" s="7">
        <v>35</v>
      </c>
      <c r="E263" s="7">
        <v>24</v>
      </c>
      <c r="F263" s="7">
        <v>29</v>
      </c>
      <c r="G263" s="7">
        <v>19</v>
      </c>
      <c r="H263" s="7">
        <v>10</v>
      </c>
      <c r="I263" s="7">
        <v>0</v>
      </c>
      <c r="J263" s="7">
        <v>0</v>
      </c>
      <c r="K263" s="7">
        <v>0</v>
      </c>
      <c r="L263" s="7"/>
      <c r="M263" s="7">
        <f t="shared" si="9"/>
        <v>0</v>
      </c>
      <c r="N263" s="7"/>
    </row>
    <row r="264" spans="1:14" customFormat="1" x14ac:dyDescent="0.25">
      <c r="A264" s="7">
        <v>820460400</v>
      </c>
      <c r="B264" s="7" t="s">
        <v>364</v>
      </c>
      <c r="C264" s="7">
        <v>36</v>
      </c>
      <c r="D264" s="7">
        <v>0</v>
      </c>
      <c r="E264" s="7">
        <v>29</v>
      </c>
      <c r="F264" s="7">
        <v>12</v>
      </c>
      <c r="G264" s="7">
        <v>17</v>
      </c>
      <c r="H264" s="7">
        <v>14</v>
      </c>
      <c r="I264" s="7">
        <v>0</v>
      </c>
      <c r="J264" s="7">
        <v>0</v>
      </c>
      <c r="K264" s="7">
        <v>0</v>
      </c>
      <c r="L264" s="7"/>
      <c r="M264" s="7">
        <f t="shared" si="9"/>
        <v>0</v>
      </c>
      <c r="N264" s="7"/>
    </row>
    <row r="265" spans="1:14" customFormat="1" x14ac:dyDescent="0.25">
      <c r="A265" s="7">
        <v>820462100</v>
      </c>
      <c r="B265" s="7" t="s">
        <v>365</v>
      </c>
      <c r="C265" s="7">
        <v>71</v>
      </c>
      <c r="D265" s="7">
        <v>55</v>
      </c>
      <c r="E265" s="7">
        <v>20</v>
      </c>
      <c r="F265" s="7">
        <v>9</v>
      </c>
      <c r="G265" s="7">
        <v>21</v>
      </c>
      <c r="H265" s="7">
        <v>14</v>
      </c>
      <c r="I265" s="7">
        <v>0</v>
      </c>
      <c r="J265" s="7">
        <v>0</v>
      </c>
      <c r="K265" s="7">
        <v>0</v>
      </c>
      <c r="L265" s="7"/>
      <c r="M265" s="7">
        <f t="shared" si="9"/>
        <v>0</v>
      </c>
      <c r="N265" s="7"/>
    </row>
    <row r="266" spans="1:14" customFormat="1" x14ac:dyDescent="0.25">
      <c r="A266" s="7">
        <v>820468100</v>
      </c>
      <c r="B266" s="7" t="s">
        <v>196</v>
      </c>
      <c r="C266" s="7">
        <v>80</v>
      </c>
      <c r="D266" s="7">
        <v>44</v>
      </c>
      <c r="E266" s="7">
        <v>63</v>
      </c>
      <c r="F266" s="7">
        <v>0</v>
      </c>
      <c r="G266" s="7">
        <v>15</v>
      </c>
      <c r="H266" s="7">
        <v>2</v>
      </c>
      <c r="I266" s="7">
        <v>0</v>
      </c>
      <c r="J266" s="7">
        <v>0</v>
      </c>
      <c r="K266" s="7">
        <v>0</v>
      </c>
      <c r="L266" s="7"/>
      <c r="M266" s="7">
        <f t="shared" si="9"/>
        <v>0</v>
      </c>
      <c r="N266" s="7"/>
    </row>
    <row r="267" spans="1:14" customFormat="1" x14ac:dyDescent="0.25">
      <c r="A267" s="7">
        <v>820468200</v>
      </c>
      <c r="B267" s="7" t="s">
        <v>124</v>
      </c>
      <c r="C267" s="7">
        <v>273</v>
      </c>
      <c r="D267" s="7">
        <v>208</v>
      </c>
      <c r="E267" s="7">
        <v>197</v>
      </c>
      <c r="F267" s="7">
        <v>33</v>
      </c>
      <c r="G267" s="7">
        <v>95</v>
      </c>
      <c r="H267" s="7">
        <v>34</v>
      </c>
      <c r="I267" s="7">
        <v>0</v>
      </c>
      <c r="J267" s="7">
        <v>0</v>
      </c>
      <c r="K267" s="7">
        <v>0</v>
      </c>
      <c r="L267" s="7"/>
      <c r="M267" s="7">
        <f t="shared" si="9"/>
        <v>0</v>
      </c>
      <c r="N267" s="7"/>
    </row>
    <row r="268" spans="1:14" customFormat="1" x14ac:dyDescent="0.25">
      <c r="A268" s="7">
        <v>820471100</v>
      </c>
      <c r="B268" s="7" t="s">
        <v>366</v>
      </c>
      <c r="C268" s="7">
        <v>45</v>
      </c>
      <c r="D268" s="7">
        <v>46</v>
      </c>
      <c r="E268" s="7">
        <v>0</v>
      </c>
      <c r="F268" s="7">
        <v>0</v>
      </c>
      <c r="G268" s="7">
        <v>18</v>
      </c>
      <c r="H268" s="7">
        <v>14</v>
      </c>
      <c r="I268" s="7">
        <v>0</v>
      </c>
      <c r="J268" s="7">
        <v>0</v>
      </c>
      <c r="K268" s="7">
        <v>0</v>
      </c>
      <c r="L268" s="7"/>
      <c r="M268" s="7">
        <f t="shared" si="9"/>
        <v>0</v>
      </c>
      <c r="N268" s="7"/>
    </row>
    <row r="269" spans="1:14" customFormat="1" x14ac:dyDescent="0.25">
      <c r="A269" s="7">
        <v>860020601</v>
      </c>
      <c r="B269" s="7" t="s">
        <v>367</v>
      </c>
      <c r="C269" s="7">
        <v>54</v>
      </c>
      <c r="D269" s="7">
        <v>40</v>
      </c>
      <c r="E269" s="7">
        <v>5</v>
      </c>
      <c r="F269" s="7">
        <v>0</v>
      </c>
      <c r="G269" s="7">
        <v>10</v>
      </c>
      <c r="H269" s="7">
        <v>3</v>
      </c>
      <c r="I269" s="7">
        <v>0</v>
      </c>
      <c r="J269" s="7">
        <v>0</v>
      </c>
      <c r="K269" s="7">
        <v>0</v>
      </c>
      <c r="L269" s="7"/>
      <c r="M269" s="7">
        <f t="shared" si="9"/>
        <v>0</v>
      </c>
      <c r="N269" s="7"/>
    </row>
    <row r="270" spans="1:14" customFormat="1" x14ac:dyDescent="0.25">
      <c r="A270" s="7">
        <v>860108800</v>
      </c>
      <c r="B270" s="7" t="s">
        <v>368</v>
      </c>
      <c r="C270" s="7">
        <v>54</v>
      </c>
      <c r="D270" s="7">
        <v>54</v>
      </c>
      <c r="E270" s="7">
        <v>22</v>
      </c>
      <c r="F270" s="7">
        <v>12</v>
      </c>
      <c r="G270" s="7">
        <v>16</v>
      </c>
      <c r="H270" s="7">
        <v>3</v>
      </c>
      <c r="I270" s="7">
        <v>0</v>
      </c>
      <c r="J270" s="7">
        <v>0</v>
      </c>
      <c r="K270" s="7">
        <v>0</v>
      </c>
      <c r="L270" s="7"/>
      <c r="M270" s="7">
        <f t="shared" si="9"/>
        <v>0</v>
      </c>
      <c r="N270" s="7"/>
    </row>
    <row r="271" spans="1:14" customFormat="1" x14ac:dyDescent="0.25">
      <c r="A271" s="7">
        <v>860110700</v>
      </c>
      <c r="B271" s="7" t="s">
        <v>125</v>
      </c>
      <c r="C271" s="7">
        <v>40</v>
      </c>
      <c r="D271" s="7">
        <v>47</v>
      </c>
      <c r="E271" s="7">
        <v>2</v>
      </c>
      <c r="F271" s="7">
        <v>6</v>
      </c>
      <c r="G271" s="7">
        <v>12</v>
      </c>
      <c r="H271" s="7">
        <v>4</v>
      </c>
      <c r="I271" s="7">
        <v>0</v>
      </c>
      <c r="J271" s="7">
        <v>0</v>
      </c>
      <c r="K271" s="7">
        <v>0</v>
      </c>
      <c r="L271" s="7"/>
      <c r="M271" s="7">
        <f t="shared" si="9"/>
        <v>0</v>
      </c>
      <c r="N271" s="7"/>
    </row>
    <row r="272" spans="1:14" customFormat="1" x14ac:dyDescent="0.25">
      <c r="A272" s="7">
        <v>860111800</v>
      </c>
      <c r="B272" s="7" t="s">
        <v>369</v>
      </c>
      <c r="C272" s="7">
        <v>42</v>
      </c>
      <c r="D272" s="7">
        <v>26</v>
      </c>
      <c r="E272" s="7">
        <v>42</v>
      </c>
      <c r="F272" s="7">
        <v>16</v>
      </c>
      <c r="G272" s="7">
        <v>10</v>
      </c>
      <c r="H272" s="7">
        <v>1</v>
      </c>
      <c r="I272" s="7">
        <v>0</v>
      </c>
      <c r="J272" s="7">
        <v>0</v>
      </c>
      <c r="K272" s="7">
        <v>0</v>
      </c>
      <c r="L272" s="7"/>
      <c r="M272" s="7">
        <f t="shared" si="9"/>
        <v>0</v>
      </c>
      <c r="N272" s="7"/>
    </row>
    <row r="273" spans="1:14" customFormat="1" x14ac:dyDescent="0.25">
      <c r="A273" s="7">
        <v>860119000</v>
      </c>
      <c r="B273" s="7" t="s">
        <v>126</v>
      </c>
      <c r="C273" s="7">
        <v>60</v>
      </c>
      <c r="D273" s="7">
        <v>50</v>
      </c>
      <c r="E273" s="7">
        <v>40</v>
      </c>
      <c r="F273" s="7">
        <v>13</v>
      </c>
      <c r="G273" s="7">
        <v>19</v>
      </c>
      <c r="H273" s="7">
        <v>3</v>
      </c>
      <c r="I273" s="7">
        <v>0</v>
      </c>
      <c r="J273" s="7">
        <v>0</v>
      </c>
      <c r="K273" s="7">
        <v>0</v>
      </c>
      <c r="L273" s="7"/>
      <c r="M273" s="7">
        <f t="shared" si="9"/>
        <v>0</v>
      </c>
      <c r="N273" s="7"/>
    </row>
    <row r="274" spans="1:14" customFormat="1" x14ac:dyDescent="0.25">
      <c r="A274" s="7">
        <v>860159700</v>
      </c>
      <c r="B274" s="7" t="s">
        <v>127</v>
      </c>
      <c r="C274" s="7">
        <v>53</v>
      </c>
      <c r="D274" s="7">
        <v>78</v>
      </c>
      <c r="E274" s="7">
        <v>38</v>
      </c>
      <c r="F274" s="7">
        <v>13</v>
      </c>
      <c r="G274" s="7">
        <v>8</v>
      </c>
      <c r="H274" s="7">
        <v>2</v>
      </c>
      <c r="I274" s="7">
        <v>0</v>
      </c>
      <c r="J274" s="7">
        <v>0</v>
      </c>
      <c r="K274" s="7">
        <v>0</v>
      </c>
      <c r="L274" s="7"/>
      <c r="M274" s="7">
        <f t="shared" si="9"/>
        <v>0</v>
      </c>
      <c r="N274" s="7"/>
    </row>
    <row r="275" spans="1:14" customFormat="1" x14ac:dyDescent="0.25">
      <c r="A275" s="7">
        <v>860184700</v>
      </c>
      <c r="B275" s="7" t="s">
        <v>370</v>
      </c>
      <c r="C275" s="7">
        <v>49</v>
      </c>
      <c r="D275" s="7">
        <v>46</v>
      </c>
      <c r="E275" s="7">
        <v>39</v>
      </c>
      <c r="F275" s="7">
        <v>4</v>
      </c>
      <c r="G275" s="7">
        <v>9</v>
      </c>
      <c r="H275" s="7">
        <v>3</v>
      </c>
      <c r="I275" s="7">
        <v>0</v>
      </c>
      <c r="J275" s="7">
        <v>0</v>
      </c>
      <c r="K275" s="7">
        <v>0</v>
      </c>
      <c r="L275" s="7"/>
      <c r="M275" s="7">
        <f t="shared" ref="M275:M291" si="10">+L275+J275</f>
        <v>0</v>
      </c>
      <c r="N275" s="7"/>
    </row>
    <row r="276" spans="1:14" customFormat="1" x14ac:dyDescent="0.25">
      <c r="A276" s="7">
        <v>860185300</v>
      </c>
      <c r="B276" s="7" t="s">
        <v>371</v>
      </c>
      <c r="C276" s="7">
        <v>77</v>
      </c>
      <c r="D276" s="7">
        <v>71</v>
      </c>
      <c r="E276" s="7">
        <v>8</v>
      </c>
      <c r="F276" s="7">
        <v>1</v>
      </c>
      <c r="G276" s="7">
        <v>10</v>
      </c>
      <c r="H276" s="7">
        <v>4</v>
      </c>
      <c r="I276" s="8">
        <v>12000</v>
      </c>
      <c r="J276" s="8">
        <v>6000</v>
      </c>
      <c r="K276" s="7">
        <v>10</v>
      </c>
      <c r="L276" s="7"/>
      <c r="M276" s="7">
        <f t="shared" si="10"/>
        <v>6000</v>
      </c>
      <c r="N276" s="7"/>
    </row>
    <row r="277" spans="1:14" customFormat="1" x14ac:dyDescent="0.25">
      <c r="A277" s="7">
        <v>860187600</v>
      </c>
      <c r="B277" s="7" t="s">
        <v>372</v>
      </c>
      <c r="C277" s="7">
        <v>25</v>
      </c>
      <c r="D277" s="7">
        <v>23</v>
      </c>
      <c r="E277" s="7">
        <v>21</v>
      </c>
      <c r="F277" s="7">
        <v>6</v>
      </c>
      <c r="G277" s="7">
        <v>11</v>
      </c>
      <c r="H277" s="7">
        <v>4</v>
      </c>
      <c r="I277" s="7">
        <v>15000</v>
      </c>
      <c r="J277" s="7">
        <v>8000</v>
      </c>
      <c r="K277" s="7">
        <v>10</v>
      </c>
      <c r="L277" s="7"/>
      <c r="M277" s="7">
        <f t="shared" si="10"/>
        <v>8000</v>
      </c>
      <c r="N277" s="7"/>
    </row>
    <row r="278" spans="1:14" customFormat="1" x14ac:dyDescent="0.25">
      <c r="A278" s="7">
        <v>860220000</v>
      </c>
      <c r="B278" s="7" t="s">
        <v>373</v>
      </c>
      <c r="C278" s="7">
        <v>55</v>
      </c>
      <c r="D278" s="7">
        <v>0</v>
      </c>
      <c r="E278" s="7">
        <v>21</v>
      </c>
      <c r="F278" s="7">
        <v>1</v>
      </c>
      <c r="G278" s="7">
        <v>13</v>
      </c>
      <c r="H278" s="7">
        <v>0</v>
      </c>
      <c r="I278" s="7">
        <v>10000</v>
      </c>
      <c r="J278" s="7">
        <v>8000</v>
      </c>
      <c r="K278" s="7">
        <v>10</v>
      </c>
      <c r="L278" s="7"/>
      <c r="M278" s="7">
        <f t="shared" si="10"/>
        <v>8000</v>
      </c>
      <c r="N278" s="7"/>
    </row>
    <row r="279" spans="1:14" customFormat="1" x14ac:dyDescent="0.25">
      <c r="A279" s="7">
        <v>900104000</v>
      </c>
      <c r="B279" s="7" t="s">
        <v>128</v>
      </c>
      <c r="C279" s="7">
        <v>708</v>
      </c>
      <c r="D279" s="7">
        <v>650</v>
      </c>
      <c r="E279" s="7">
        <v>445</v>
      </c>
      <c r="F279" s="7">
        <v>120</v>
      </c>
      <c r="G279" s="7">
        <v>24</v>
      </c>
      <c r="H279" s="7">
        <v>11</v>
      </c>
      <c r="I279" s="7">
        <v>0</v>
      </c>
      <c r="J279" s="7">
        <v>0</v>
      </c>
      <c r="K279" s="7">
        <v>0</v>
      </c>
      <c r="L279" s="7"/>
      <c r="M279" s="7">
        <f t="shared" si="10"/>
        <v>0</v>
      </c>
      <c r="N279" s="7"/>
    </row>
    <row r="280" spans="1:14" customFormat="1" x14ac:dyDescent="0.25">
      <c r="A280" s="7">
        <v>900104001</v>
      </c>
      <c r="B280" s="7" t="s">
        <v>129</v>
      </c>
      <c r="C280" s="7">
        <v>174</v>
      </c>
      <c r="D280" s="7">
        <v>160</v>
      </c>
      <c r="E280" s="7">
        <v>132</v>
      </c>
      <c r="F280" s="7">
        <v>26</v>
      </c>
      <c r="G280" s="7">
        <v>13</v>
      </c>
      <c r="H280" s="7">
        <v>6</v>
      </c>
      <c r="I280" s="7">
        <v>0</v>
      </c>
      <c r="J280" s="7">
        <v>0</v>
      </c>
      <c r="K280" s="7">
        <v>0</v>
      </c>
      <c r="L280" s="7"/>
      <c r="M280" s="7">
        <f t="shared" si="10"/>
        <v>0</v>
      </c>
      <c r="N280" s="7"/>
    </row>
    <row r="281" spans="1:14" customFormat="1" x14ac:dyDescent="0.25">
      <c r="A281" s="7">
        <v>900104002</v>
      </c>
      <c r="B281" s="7" t="s">
        <v>130</v>
      </c>
      <c r="C281" s="7">
        <v>110</v>
      </c>
      <c r="D281" s="7">
        <v>152</v>
      </c>
      <c r="E281" s="7">
        <v>79</v>
      </c>
      <c r="F281" s="7">
        <v>26</v>
      </c>
      <c r="G281" s="7">
        <v>11</v>
      </c>
      <c r="H281" s="7">
        <v>11</v>
      </c>
      <c r="I281" s="7">
        <v>0</v>
      </c>
      <c r="J281" s="7">
        <v>0</v>
      </c>
      <c r="K281" s="7">
        <v>0</v>
      </c>
      <c r="L281" s="7"/>
      <c r="M281" s="7">
        <f t="shared" si="10"/>
        <v>0</v>
      </c>
      <c r="N281" s="7"/>
    </row>
    <row r="282" spans="1:14" customFormat="1" x14ac:dyDescent="0.25">
      <c r="A282" s="7">
        <v>900104003</v>
      </c>
      <c r="B282" s="7" t="s">
        <v>131</v>
      </c>
      <c r="C282" s="7">
        <v>100</v>
      </c>
      <c r="D282" s="7">
        <v>65</v>
      </c>
      <c r="E282" s="7">
        <v>50</v>
      </c>
      <c r="F282" s="7">
        <v>22</v>
      </c>
      <c r="G282" s="7">
        <v>10</v>
      </c>
      <c r="H282" s="7">
        <v>3</v>
      </c>
      <c r="I282" s="7">
        <v>0</v>
      </c>
      <c r="J282" s="7">
        <v>0</v>
      </c>
      <c r="K282" s="7">
        <v>0</v>
      </c>
      <c r="L282" s="7"/>
      <c r="M282" s="7">
        <f t="shared" si="10"/>
        <v>0</v>
      </c>
      <c r="N282" s="7"/>
    </row>
    <row r="283" spans="1:14" customFormat="1" x14ac:dyDescent="0.25">
      <c r="A283" s="7">
        <v>900104004</v>
      </c>
      <c r="B283" s="7" t="s">
        <v>132</v>
      </c>
      <c r="C283" s="7">
        <v>77</v>
      </c>
      <c r="D283" s="7">
        <v>56</v>
      </c>
      <c r="E283" s="7">
        <v>73</v>
      </c>
      <c r="F283" s="7">
        <v>19</v>
      </c>
      <c r="G283" s="7">
        <v>12</v>
      </c>
      <c r="H283" s="7">
        <v>4</v>
      </c>
      <c r="I283" s="7">
        <v>0</v>
      </c>
      <c r="J283" s="7">
        <v>0</v>
      </c>
      <c r="K283" s="7">
        <v>0</v>
      </c>
      <c r="L283" s="7"/>
      <c r="M283" s="7">
        <f t="shared" si="10"/>
        <v>0</v>
      </c>
      <c r="N283" s="7"/>
    </row>
    <row r="284" spans="1:14" customFormat="1" x14ac:dyDescent="0.25">
      <c r="A284" s="7">
        <v>900104005</v>
      </c>
      <c r="B284" s="7" t="s">
        <v>133</v>
      </c>
      <c r="C284" s="7">
        <v>176</v>
      </c>
      <c r="D284" s="7">
        <v>110</v>
      </c>
      <c r="E284" s="7">
        <v>96</v>
      </c>
      <c r="F284" s="7">
        <v>44</v>
      </c>
      <c r="G284" s="7">
        <v>14</v>
      </c>
      <c r="H284" s="7">
        <v>5</v>
      </c>
      <c r="I284" s="7">
        <v>0</v>
      </c>
      <c r="J284" s="7">
        <v>0</v>
      </c>
      <c r="K284" s="7">
        <v>0</v>
      </c>
      <c r="L284" s="7"/>
      <c r="M284" s="7">
        <f t="shared" si="10"/>
        <v>0</v>
      </c>
      <c r="N284" s="7"/>
    </row>
    <row r="285" spans="1:14" customFormat="1" x14ac:dyDescent="0.25">
      <c r="A285" s="7">
        <v>900104006</v>
      </c>
      <c r="B285" s="7" t="s">
        <v>134</v>
      </c>
      <c r="C285" s="7">
        <v>104</v>
      </c>
      <c r="D285" s="7">
        <v>105</v>
      </c>
      <c r="E285" s="7">
        <v>85</v>
      </c>
      <c r="F285" s="7">
        <v>18</v>
      </c>
      <c r="G285" s="7">
        <v>11</v>
      </c>
      <c r="H285" s="7">
        <v>5</v>
      </c>
      <c r="I285" s="7">
        <v>0</v>
      </c>
      <c r="J285" s="7">
        <v>0</v>
      </c>
      <c r="K285" s="7">
        <v>0</v>
      </c>
      <c r="L285" s="7"/>
      <c r="M285" s="7">
        <f t="shared" si="10"/>
        <v>0</v>
      </c>
      <c r="N285" s="7"/>
    </row>
    <row r="286" spans="1:14" customFormat="1" x14ac:dyDescent="0.25">
      <c r="A286" s="7">
        <v>900104007</v>
      </c>
      <c r="B286" s="7" t="s">
        <v>135</v>
      </c>
      <c r="C286" s="7">
        <v>105</v>
      </c>
      <c r="D286" s="7">
        <v>69</v>
      </c>
      <c r="E286" s="7">
        <v>97</v>
      </c>
      <c r="F286" s="7">
        <v>15</v>
      </c>
      <c r="G286" s="7">
        <v>14</v>
      </c>
      <c r="H286" s="7">
        <v>6</v>
      </c>
      <c r="I286" s="7">
        <v>0</v>
      </c>
      <c r="J286" s="7">
        <v>0</v>
      </c>
      <c r="K286" s="7">
        <v>0</v>
      </c>
      <c r="L286" s="7"/>
      <c r="M286" s="7">
        <f t="shared" si="10"/>
        <v>0</v>
      </c>
      <c r="N286" s="7"/>
    </row>
    <row r="287" spans="1:14" customFormat="1" x14ac:dyDescent="0.25">
      <c r="A287" s="7">
        <v>900104008</v>
      </c>
      <c r="B287" s="7" t="s">
        <v>136</v>
      </c>
      <c r="C287" s="7">
        <v>68</v>
      </c>
      <c r="D287" s="7">
        <v>46</v>
      </c>
      <c r="E287" s="7">
        <v>36</v>
      </c>
      <c r="F287" s="7">
        <v>14</v>
      </c>
      <c r="G287" s="7">
        <v>10</v>
      </c>
      <c r="H287" s="7">
        <v>5</v>
      </c>
      <c r="I287" s="7">
        <v>0</v>
      </c>
      <c r="J287" s="7">
        <v>0</v>
      </c>
      <c r="K287" s="7">
        <v>0</v>
      </c>
      <c r="L287" s="7"/>
      <c r="M287" s="7">
        <f t="shared" si="10"/>
        <v>0</v>
      </c>
      <c r="N287" s="7"/>
    </row>
    <row r="288" spans="1:14" customFormat="1" x14ac:dyDescent="0.25">
      <c r="A288" s="7">
        <v>900104009</v>
      </c>
      <c r="B288" s="7" t="s">
        <v>374</v>
      </c>
      <c r="C288" s="7">
        <v>108</v>
      </c>
      <c r="D288" s="7">
        <v>56</v>
      </c>
      <c r="E288" s="7">
        <v>27</v>
      </c>
      <c r="F288" s="7">
        <v>36</v>
      </c>
      <c r="G288" s="7">
        <v>12</v>
      </c>
      <c r="H288" s="7">
        <v>8</v>
      </c>
      <c r="I288" s="7">
        <v>0</v>
      </c>
      <c r="J288" s="7">
        <v>0</v>
      </c>
      <c r="K288" s="7">
        <v>0</v>
      </c>
      <c r="L288" s="7"/>
      <c r="M288" s="7">
        <f t="shared" si="10"/>
        <v>0</v>
      </c>
      <c r="N288" s="7"/>
    </row>
    <row r="289" spans="1:14" customFormat="1" x14ac:dyDescent="0.25">
      <c r="A289" s="7">
        <v>900104010</v>
      </c>
      <c r="B289" s="7" t="s">
        <v>137</v>
      </c>
      <c r="C289" s="7">
        <v>45</v>
      </c>
      <c r="D289" s="7">
        <v>57</v>
      </c>
      <c r="E289" s="7">
        <v>48</v>
      </c>
      <c r="F289" s="7">
        <v>12</v>
      </c>
      <c r="G289" s="7">
        <v>8</v>
      </c>
      <c r="H289" s="7">
        <v>3</v>
      </c>
      <c r="I289" s="7">
        <v>0</v>
      </c>
      <c r="J289" s="7">
        <v>0</v>
      </c>
      <c r="K289" s="7">
        <v>0</v>
      </c>
      <c r="L289" s="7"/>
      <c r="M289" s="7">
        <f t="shared" si="10"/>
        <v>0</v>
      </c>
      <c r="N289" s="7"/>
    </row>
    <row r="290" spans="1:14" customFormat="1" x14ac:dyDescent="0.25">
      <c r="A290" s="7">
        <v>900104011</v>
      </c>
      <c r="B290" s="7" t="s">
        <v>138</v>
      </c>
      <c r="C290" s="7">
        <v>92</v>
      </c>
      <c r="D290" s="7">
        <v>67</v>
      </c>
      <c r="E290" s="7">
        <v>37</v>
      </c>
      <c r="F290" s="7">
        <v>5</v>
      </c>
      <c r="G290" s="7">
        <v>9</v>
      </c>
      <c r="H290" s="7">
        <v>3</v>
      </c>
      <c r="I290" s="7">
        <v>0</v>
      </c>
      <c r="J290" s="7">
        <v>0</v>
      </c>
      <c r="K290" s="7">
        <v>0</v>
      </c>
      <c r="L290" s="7"/>
      <c r="M290" s="7">
        <f t="shared" si="10"/>
        <v>0</v>
      </c>
      <c r="N290" s="7"/>
    </row>
    <row r="291" spans="1:14" customFormat="1" x14ac:dyDescent="0.25">
      <c r="A291" s="7">
        <v>900104012</v>
      </c>
      <c r="B291" s="7" t="s">
        <v>139</v>
      </c>
      <c r="C291" s="7">
        <v>121</v>
      </c>
      <c r="D291" s="7">
        <v>82</v>
      </c>
      <c r="E291" s="7">
        <v>65</v>
      </c>
      <c r="F291" s="7">
        <v>8</v>
      </c>
      <c r="G291" s="7">
        <v>9</v>
      </c>
      <c r="H291" s="7">
        <v>3</v>
      </c>
      <c r="I291" s="7">
        <v>0</v>
      </c>
      <c r="J291" s="7">
        <v>0</v>
      </c>
      <c r="K291" s="7">
        <v>0</v>
      </c>
      <c r="L291" s="7"/>
      <c r="M291" s="7">
        <f t="shared" si="10"/>
        <v>0</v>
      </c>
      <c r="N291" s="7"/>
    </row>
    <row r="292" spans="1:14" customFormat="1" x14ac:dyDescent="0.25">
      <c r="A292" s="7">
        <v>900104013</v>
      </c>
      <c r="B292" s="7" t="s">
        <v>646</v>
      </c>
      <c r="C292" s="7">
        <v>75</v>
      </c>
      <c r="D292" s="7">
        <v>45</v>
      </c>
      <c r="E292" s="7">
        <v>70</v>
      </c>
      <c r="F292" s="7">
        <v>0</v>
      </c>
      <c r="G292" s="7">
        <v>8</v>
      </c>
      <c r="H292" s="7">
        <v>3</v>
      </c>
      <c r="I292" s="7">
        <v>0</v>
      </c>
      <c r="J292" s="7">
        <v>0</v>
      </c>
      <c r="K292" s="7">
        <v>0</v>
      </c>
      <c r="L292" s="7">
        <v>0</v>
      </c>
      <c r="M292" s="7"/>
      <c r="N292" s="7"/>
    </row>
    <row r="293" spans="1:14" customFormat="1" x14ac:dyDescent="0.25">
      <c r="A293" s="7">
        <v>900104014</v>
      </c>
      <c r="B293" s="7" t="s">
        <v>647</v>
      </c>
      <c r="C293" s="7">
        <v>180</v>
      </c>
      <c r="D293" s="7">
        <v>182</v>
      </c>
      <c r="E293" s="7">
        <v>0</v>
      </c>
      <c r="F293" s="7">
        <v>0</v>
      </c>
      <c r="G293" s="7">
        <v>18</v>
      </c>
      <c r="H293" s="7">
        <v>8</v>
      </c>
      <c r="I293" s="7">
        <v>0</v>
      </c>
      <c r="J293" s="7">
        <v>0</v>
      </c>
      <c r="K293" s="7">
        <v>0</v>
      </c>
      <c r="L293" s="7">
        <v>0</v>
      </c>
      <c r="M293" s="7"/>
      <c r="N293" s="7"/>
    </row>
    <row r="294" spans="1:14" customFormat="1" x14ac:dyDescent="0.25">
      <c r="A294" s="7">
        <v>940003200</v>
      </c>
      <c r="B294" s="7" t="s">
        <v>375</v>
      </c>
      <c r="C294" s="7">
        <v>239</v>
      </c>
      <c r="D294" s="7">
        <v>143</v>
      </c>
      <c r="E294" s="7">
        <v>89</v>
      </c>
      <c r="F294" s="7">
        <v>26</v>
      </c>
      <c r="G294" s="7">
        <v>53</v>
      </c>
      <c r="H294" s="7">
        <v>26</v>
      </c>
      <c r="I294" s="7">
        <v>0</v>
      </c>
      <c r="J294" s="7">
        <v>0</v>
      </c>
      <c r="K294" s="7">
        <v>0</v>
      </c>
      <c r="L294" s="7">
        <v>0</v>
      </c>
      <c r="M294" s="7">
        <f>+L294+J294</f>
        <v>0</v>
      </c>
      <c r="N294" s="7"/>
    </row>
    <row r="295" spans="1:14" customFormat="1" x14ac:dyDescent="0.25">
      <c r="A295" s="7">
        <v>940006500</v>
      </c>
      <c r="B295" s="7" t="s">
        <v>569</v>
      </c>
      <c r="C295" s="7">
        <v>226</v>
      </c>
      <c r="D295" s="7">
        <v>78</v>
      </c>
      <c r="E295" s="7">
        <v>54</v>
      </c>
      <c r="F295" s="7">
        <v>13</v>
      </c>
      <c r="G295" s="7">
        <v>0</v>
      </c>
      <c r="H295" s="7">
        <v>13</v>
      </c>
      <c r="I295" s="7">
        <v>0</v>
      </c>
      <c r="J295" s="7">
        <v>0</v>
      </c>
      <c r="K295" s="7">
        <v>0</v>
      </c>
      <c r="L295" s="7">
        <v>0</v>
      </c>
      <c r="M295" s="7">
        <f>+L295+J295</f>
        <v>0</v>
      </c>
      <c r="N295" s="7"/>
    </row>
    <row r="296" spans="1:14" customFormat="1" x14ac:dyDescent="0.25">
      <c r="A296" s="7"/>
      <c r="B296" s="7"/>
      <c r="C296" s="7"/>
      <c r="D296" s="7"/>
      <c r="E296" s="7"/>
      <c r="F296" s="7"/>
      <c r="G296" s="7"/>
      <c r="H296" s="7"/>
      <c r="I296" s="7"/>
      <c r="J296" s="7"/>
      <c r="K296" s="7"/>
      <c r="L296" s="7"/>
      <c r="M296" s="7"/>
      <c r="N296" s="7"/>
    </row>
    <row r="297" spans="1:14" customFormat="1" x14ac:dyDescent="0.25">
      <c r="A297" s="7"/>
      <c r="B297" s="7"/>
      <c r="C297" s="7"/>
      <c r="D297" s="7"/>
      <c r="E297" s="7"/>
      <c r="F297" s="7"/>
      <c r="G297" s="7"/>
      <c r="H297" s="7"/>
      <c r="I297" s="7"/>
      <c r="J297" s="7"/>
      <c r="K297" s="7"/>
      <c r="L297" s="7"/>
      <c r="M297" s="7"/>
      <c r="N297" s="7"/>
    </row>
    <row r="298" spans="1:14" customFormat="1" x14ac:dyDescent="0.25">
      <c r="A298" s="7"/>
      <c r="B298" s="7"/>
      <c r="C298" s="7"/>
      <c r="D298" s="7"/>
      <c r="E298" s="7"/>
      <c r="F298" s="7"/>
      <c r="G298" s="7"/>
      <c r="H298" s="7"/>
      <c r="I298" s="7"/>
      <c r="J298" s="7"/>
      <c r="K298" s="7"/>
      <c r="L298" s="7"/>
      <c r="M298" s="7"/>
      <c r="N298" s="7"/>
    </row>
    <row r="299" spans="1:14" customFormat="1" x14ac:dyDescent="0.25">
      <c r="A299" s="7"/>
      <c r="B299" s="7"/>
      <c r="C299" s="7"/>
      <c r="D299" s="7"/>
      <c r="E299" s="7"/>
      <c r="F299" s="7"/>
      <c r="G299" s="7"/>
      <c r="H299" s="7"/>
      <c r="I299" s="7"/>
      <c r="J299" s="7"/>
      <c r="K299" s="7"/>
      <c r="L299" s="7"/>
      <c r="M299" s="7"/>
      <c r="N299" s="7"/>
    </row>
    <row r="300" spans="1:14" customFormat="1" x14ac:dyDescent="0.25">
      <c r="A300" s="7"/>
      <c r="B300" s="7"/>
      <c r="C300" s="7"/>
      <c r="D300" s="7"/>
      <c r="E300" s="7"/>
      <c r="F300" s="7"/>
      <c r="G300" s="7"/>
      <c r="H300" s="7"/>
      <c r="I300" s="7"/>
      <c r="J300" s="7"/>
      <c r="K300" s="7"/>
      <c r="L300" s="7"/>
      <c r="M300" s="7"/>
      <c r="N300" s="7"/>
    </row>
    <row r="301" spans="1:14" customFormat="1" x14ac:dyDescent="0.25">
      <c r="A301" s="7"/>
      <c r="B301" s="7"/>
      <c r="C301" s="7"/>
      <c r="D301" s="7"/>
      <c r="E301" s="7"/>
      <c r="F301" s="7"/>
      <c r="G301" s="7"/>
      <c r="H301" s="7"/>
      <c r="I301" s="7"/>
      <c r="J301" s="7"/>
      <c r="K301" s="7"/>
      <c r="L301" s="7"/>
      <c r="M301" s="7"/>
      <c r="N301" s="7"/>
    </row>
    <row r="302" spans="1:14" customFormat="1" x14ac:dyDescent="0.25">
      <c r="A302" s="7"/>
      <c r="B302" s="7"/>
      <c r="C302" s="7"/>
      <c r="D302" s="7"/>
      <c r="E302" s="7"/>
      <c r="F302" s="7"/>
      <c r="G302" s="7"/>
      <c r="H302" s="7"/>
      <c r="I302" s="7"/>
      <c r="J302" s="7"/>
      <c r="K302" s="7"/>
      <c r="L302" s="7"/>
      <c r="M302" s="7"/>
      <c r="N302" s="7"/>
    </row>
    <row r="303" spans="1:14" customFormat="1" x14ac:dyDescent="0.25">
      <c r="A303" s="7"/>
      <c r="B303" s="7"/>
      <c r="C303" s="7"/>
      <c r="D303" s="7"/>
      <c r="E303" s="7"/>
      <c r="F303" s="7"/>
      <c r="G303" s="7"/>
      <c r="H303" s="7"/>
      <c r="I303" s="7"/>
      <c r="J303" s="7"/>
      <c r="K303" s="7"/>
      <c r="L303" s="7"/>
      <c r="M303" s="7"/>
      <c r="N303" s="7"/>
    </row>
    <row r="304" spans="1:14" customFormat="1" x14ac:dyDescent="0.25">
      <c r="A304" s="7"/>
      <c r="B304" s="7"/>
      <c r="C304" s="7"/>
      <c r="D304" s="7"/>
      <c r="E304" s="7"/>
      <c r="F304" s="7"/>
      <c r="G304" s="7"/>
      <c r="H304" s="7"/>
      <c r="I304" s="7"/>
      <c r="J304" s="7"/>
      <c r="K304" s="7"/>
      <c r="L304" s="7"/>
      <c r="M304" s="7"/>
      <c r="N304" s="7"/>
    </row>
    <row r="305" spans="1:14" customFormat="1" x14ac:dyDescent="0.25">
      <c r="A305" s="7"/>
      <c r="B305" s="7"/>
      <c r="C305" s="7"/>
      <c r="D305" s="7"/>
      <c r="E305" s="7"/>
      <c r="F305" s="7"/>
      <c r="G305" s="7"/>
      <c r="H305" s="7"/>
      <c r="I305" s="7"/>
      <c r="J305" s="7"/>
      <c r="K305" s="7"/>
      <c r="L305" s="7"/>
      <c r="M305" s="7"/>
      <c r="N305" s="7"/>
    </row>
    <row r="306" spans="1:14" customFormat="1" x14ac:dyDescent="0.25">
      <c r="A306" s="11"/>
      <c r="B306" s="5"/>
      <c r="C306" s="5"/>
      <c r="D306" s="5"/>
      <c r="E306" s="5"/>
      <c r="F306" s="5"/>
      <c r="G306" s="5"/>
      <c r="H306" s="5"/>
      <c r="I306" s="5"/>
      <c r="J306" s="5"/>
      <c r="K306" s="5"/>
      <c r="L306" s="5"/>
      <c r="M306" s="5"/>
      <c r="N306" s="11"/>
    </row>
    <row r="307" spans="1:14" customFormat="1" x14ac:dyDescent="0.25">
      <c r="A307" s="7"/>
      <c r="B307" s="7"/>
      <c r="C307" s="7"/>
      <c r="D307" s="7"/>
      <c r="E307" s="7"/>
      <c r="F307" s="7"/>
      <c r="G307" s="7"/>
      <c r="H307" s="7"/>
      <c r="I307" s="7"/>
      <c r="J307" s="7"/>
      <c r="K307" s="7"/>
      <c r="L307" s="7"/>
      <c r="M307" s="7"/>
      <c r="N307" s="7"/>
    </row>
    <row r="308" spans="1:14" customFormat="1" x14ac:dyDescent="0.25">
      <c r="A308" s="7"/>
      <c r="B308" s="7"/>
      <c r="C308" s="7"/>
      <c r="D308" s="7"/>
      <c r="E308" s="7"/>
      <c r="F308" s="7"/>
      <c r="G308" s="7"/>
      <c r="H308" s="7"/>
      <c r="I308" s="7"/>
      <c r="J308" s="7"/>
      <c r="K308" s="7"/>
      <c r="L308" s="7"/>
      <c r="M308" s="7"/>
      <c r="N308" s="7"/>
    </row>
    <row r="309" spans="1:14" customFormat="1" x14ac:dyDescent="0.25">
      <c r="A309" s="7"/>
      <c r="B309" s="7"/>
      <c r="C309" s="7"/>
      <c r="D309" s="7"/>
      <c r="E309" s="7"/>
      <c r="F309" s="7"/>
      <c r="G309" s="7"/>
      <c r="H309" s="7"/>
      <c r="I309" s="7"/>
      <c r="J309" s="7"/>
      <c r="K309" s="7"/>
      <c r="L309" s="7"/>
      <c r="M309" s="7"/>
      <c r="N309" s="7"/>
    </row>
    <row r="310" spans="1:14" customFormat="1" x14ac:dyDescent="0.25">
      <c r="A310" s="7"/>
      <c r="B310" s="7"/>
      <c r="C310" s="7"/>
      <c r="D310" s="7"/>
      <c r="E310" s="7"/>
      <c r="F310" s="7"/>
      <c r="G310" s="7"/>
      <c r="H310" s="7"/>
      <c r="I310" s="7"/>
      <c r="J310" s="7"/>
      <c r="K310" s="7"/>
      <c r="L310" s="7"/>
      <c r="M310" s="7"/>
      <c r="N310" s="7"/>
    </row>
    <row r="311" spans="1:14" customFormat="1" x14ac:dyDescent="0.25">
      <c r="A311" s="7"/>
      <c r="B311" s="7"/>
      <c r="C311" s="7"/>
      <c r="D311" s="7"/>
      <c r="E311" s="7"/>
      <c r="F311" s="7"/>
      <c r="G311" s="7"/>
      <c r="H311" s="7"/>
      <c r="I311" s="7"/>
      <c r="J311" s="7"/>
      <c r="K311" s="7"/>
      <c r="L311" s="7"/>
      <c r="M311" s="7"/>
      <c r="N311" s="7"/>
    </row>
    <row r="312" spans="1:14" customFormat="1" x14ac:dyDescent="0.25">
      <c r="A312" s="7"/>
      <c r="B312" s="7"/>
      <c r="C312" s="7"/>
      <c r="D312" s="7"/>
      <c r="E312" s="7"/>
      <c r="F312" s="7"/>
      <c r="G312" s="7"/>
      <c r="H312" s="7"/>
      <c r="I312" s="7"/>
      <c r="J312" s="7"/>
      <c r="K312" s="7"/>
      <c r="L312" s="7"/>
      <c r="M312" s="7"/>
      <c r="N312" s="7"/>
    </row>
    <row r="313" spans="1:14" customFormat="1" x14ac:dyDescent="0.25">
      <c r="A313" s="7"/>
      <c r="B313" s="7"/>
      <c r="C313" s="7"/>
      <c r="D313" s="7"/>
      <c r="E313" s="7"/>
      <c r="F313" s="7"/>
      <c r="G313" s="7"/>
      <c r="H313" s="7"/>
      <c r="I313" s="7"/>
      <c r="J313" s="7"/>
      <c r="K313" s="7"/>
      <c r="L313" s="7"/>
      <c r="M313" s="7"/>
      <c r="N313" s="7"/>
    </row>
    <row r="314" spans="1:14" customFormat="1" x14ac:dyDescent="0.25">
      <c r="A314" s="7"/>
      <c r="B314" s="7"/>
      <c r="C314" s="7"/>
      <c r="D314" s="7"/>
      <c r="E314" s="7"/>
      <c r="F314" s="7"/>
      <c r="G314" s="7"/>
      <c r="H314" s="7"/>
      <c r="I314" s="7"/>
      <c r="J314" s="7"/>
      <c r="K314" s="7"/>
      <c r="L314" s="7"/>
      <c r="M314" s="7"/>
      <c r="N314" s="7"/>
    </row>
    <row r="315" spans="1:14" customFormat="1" x14ac:dyDescent="0.25">
      <c r="A315" s="7"/>
      <c r="B315" s="7"/>
      <c r="C315" s="7"/>
      <c r="D315" s="7"/>
      <c r="E315" s="7"/>
      <c r="F315" s="7"/>
      <c r="G315" s="7"/>
      <c r="H315" s="7"/>
      <c r="I315" s="7"/>
      <c r="J315" s="7"/>
      <c r="K315" s="7"/>
      <c r="L315" s="7"/>
      <c r="M315" s="7"/>
      <c r="N315" s="7"/>
    </row>
    <row r="316" spans="1:14" customFormat="1" x14ac:dyDescent="0.25">
      <c r="A316" s="7"/>
      <c r="B316" s="7"/>
      <c r="C316" s="7"/>
      <c r="D316" s="7"/>
      <c r="E316" s="7"/>
      <c r="F316" s="7"/>
      <c r="G316" s="7"/>
      <c r="H316" s="7"/>
      <c r="I316" s="7"/>
      <c r="J316" s="7"/>
      <c r="K316" s="7"/>
      <c r="L316" s="7"/>
      <c r="M316" s="7"/>
      <c r="N316" s="7"/>
    </row>
    <row r="317" spans="1:14" customFormat="1" x14ac:dyDescent="0.25">
      <c r="A317" s="7"/>
      <c r="B317" s="7"/>
      <c r="C317" s="7"/>
      <c r="D317" s="7"/>
      <c r="E317" s="7"/>
      <c r="F317" s="7"/>
      <c r="G317" s="7"/>
      <c r="H317" s="7"/>
      <c r="I317" s="7"/>
      <c r="J317" s="7"/>
      <c r="K317" s="7"/>
      <c r="L317" s="7"/>
      <c r="M317" s="7"/>
      <c r="N317" s="7"/>
    </row>
    <row r="318" spans="1:14" customFormat="1" x14ac:dyDescent="0.25">
      <c r="A318" s="7"/>
      <c r="B318" s="7"/>
      <c r="C318" s="7"/>
      <c r="D318" s="7"/>
      <c r="E318" s="7"/>
      <c r="F318" s="7"/>
      <c r="G318" s="7"/>
      <c r="H318" s="7"/>
      <c r="I318" s="7"/>
      <c r="J318" s="7"/>
      <c r="K318" s="7"/>
      <c r="L318" s="7"/>
      <c r="M318" s="7"/>
      <c r="N318" s="7"/>
    </row>
    <row r="319" spans="1:14" customFormat="1" x14ac:dyDescent="0.25">
      <c r="A319" s="7"/>
      <c r="B319" s="7"/>
      <c r="C319" s="7"/>
      <c r="D319" s="7"/>
      <c r="E319" s="7"/>
      <c r="F319" s="7"/>
      <c r="G319" s="7"/>
      <c r="H319" s="7"/>
      <c r="I319" s="7"/>
      <c r="J319" s="7"/>
      <c r="K319" s="7"/>
      <c r="L319" s="7"/>
      <c r="M319" s="7"/>
      <c r="N319" s="7"/>
    </row>
    <row r="320" spans="1:14" customFormat="1" x14ac:dyDescent="0.25">
      <c r="A320" s="7"/>
      <c r="B320" s="7"/>
      <c r="C320" s="7"/>
      <c r="D320" s="7"/>
      <c r="E320" s="7"/>
      <c r="F320" s="7"/>
      <c r="G320" s="7"/>
      <c r="H320" s="7"/>
      <c r="I320" s="7"/>
      <c r="J320" s="7"/>
      <c r="K320" s="7"/>
      <c r="L320" s="7"/>
      <c r="M320" s="7"/>
      <c r="N320" s="7"/>
    </row>
    <row r="321" spans="1:14" customFormat="1" x14ac:dyDescent="0.25">
      <c r="A321" s="7"/>
      <c r="B321" s="7"/>
      <c r="C321" s="7"/>
      <c r="D321" s="7"/>
      <c r="E321" s="7"/>
      <c r="F321" s="7"/>
      <c r="G321" s="7"/>
      <c r="H321" s="7"/>
      <c r="I321" s="7"/>
      <c r="J321" s="7"/>
      <c r="K321" s="7"/>
      <c r="L321" s="7"/>
      <c r="M321" s="7"/>
      <c r="N321" s="7"/>
    </row>
    <row r="322" spans="1:14" customFormat="1" x14ac:dyDescent="0.25">
      <c r="A322" s="7"/>
      <c r="B322" s="7"/>
      <c r="C322" s="7"/>
      <c r="D322" s="7"/>
      <c r="E322" s="7"/>
      <c r="F322" s="7"/>
      <c r="G322" s="7"/>
      <c r="H322" s="7"/>
      <c r="I322" s="7"/>
      <c r="J322" s="7"/>
      <c r="K322" s="7"/>
      <c r="L322" s="7"/>
      <c r="M322" s="7"/>
      <c r="N322" s="7"/>
    </row>
    <row r="323" spans="1:14" customFormat="1" x14ac:dyDescent="0.25">
      <c r="A323" s="7"/>
      <c r="B323" s="7"/>
      <c r="C323" s="7"/>
      <c r="D323" s="7"/>
      <c r="E323" s="7"/>
      <c r="F323" s="7"/>
      <c r="G323" s="7"/>
      <c r="H323" s="7"/>
      <c r="I323" s="7"/>
      <c r="J323" s="7"/>
      <c r="K323" s="7"/>
      <c r="L323" s="7"/>
      <c r="M323" s="7"/>
      <c r="N323" s="7"/>
    </row>
    <row r="324" spans="1:14" customFormat="1" x14ac:dyDescent="0.25">
      <c r="A324" s="7"/>
      <c r="B324" s="7"/>
      <c r="C324" s="7"/>
      <c r="D324" s="7"/>
      <c r="E324" s="7"/>
      <c r="F324" s="7"/>
      <c r="G324" s="7"/>
      <c r="H324" s="7"/>
      <c r="I324" s="7"/>
      <c r="J324" s="7"/>
      <c r="K324" s="7"/>
      <c r="L324" s="7"/>
      <c r="M324" s="7"/>
      <c r="N324" s="7"/>
    </row>
    <row r="325" spans="1:14" customFormat="1" x14ac:dyDescent="0.25">
      <c r="A325" s="7"/>
      <c r="B325" s="7"/>
      <c r="C325" s="7"/>
      <c r="D325" s="7"/>
      <c r="E325" s="7"/>
      <c r="F325" s="7"/>
      <c r="G325" s="7"/>
      <c r="H325" s="7"/>
      <c r="I325" s="7"/>
      <c r="J325" s="7"/>
      <c r="K325" s="7"/>
      <c r="L325" s="7"/>
      <c r="M325" s="7"/>
      <c r="N325" s="7"/>
    </row>
    <row r="326" spans="1:14" customFormat="1" x14ac:dyDescent="0.25">
      <c r="A326" s="7"/>
      <c r="B326" s="7"/>
      <c r="C326" s="7"/>
      <c r="D326" s="7"/>
      <c r="E326" s="7"/>
      <c r="F326" s="7"/>
      <c r="G326" s="7"/>
      <c r="H326" s="7"/>
      <c r="I326" s="7"/>
      <c r="J326" s="7"/>
      <c r="K326" s="7"/>
      <c r="L326" s="7"/>
      <c r="M326" s="7"/>
      <c r="N326" s="7"/>
    </row>
    <row r="327" spans="1:14" customFormat="1" x14ac:dyDescent="0.25">
      <c r="A327" s="7"/>
      <c r="B327" s="7"/>
      <c r="C327" s="7"/>
      <c r="D327" s="7"/>
      <c r="E327" s="7"/>
      <c r="F327" s="7"/>
      <c r="G327" s="7"/>
      <c r="H327" s="7"/>
      <c r="I327" s="7"/>
      <c r="J327" s="7"/>
      <c r="K327" s="7"/>
      <c r="L327" s="7"/>
      <c r="M327" s="7"/>
      <c r="N327" s="7"/>
    </row>
    <row r="328" spans="1:14" customFormat="1" x14ac:dyDescent="0.25">
      <c r="A328" s="7"/>
      <c r="B328" s="7"/>
      <c r="C328" s="7"/>
      <c r="D328" s="7"/>
      <c r="E328" s="7"/>
      <c r="F328" s="7"/>
      <c r="G328" s="7"/>
      <c r="H328" s="7"/>
      <c r="I328" s="7"/>
      <c r="J328" s="7"/>
      <c r="K328" s="7"/>
      <c r="L328" s="7"/>
      <c r="M328" s="7"/>
      <c r="N328" s="7"/>
    </row>
    <row r="329" spans="1:14" customFormat="1" x14ac:dyDescent="0.25">
      <c r="A329" s="7"/>
      <c r="B329" s="7"/>
      <c r="C329" s="7"/>
      <c r="D329" s="7"/>
      <c r="E329" s="7"/>
      <c r="F329" s="7"/>
      <c r="G329" s="7"/>
      <c r="H329" s="7"/>
      <c r="I329" s="7"/>
      <c r="J329" s="7"/>
      <c r="K329" s="7"/>
      <c r="L329" s="7"/>
      <c r="M329" s="7"/>
      <c r="N329" s="7"/>
    </row>
    <row r="330" spans="1:14" customFormat="1" x14ac:dyDescent="0.25">
      <c r="A330" s="7"/>
      <c r="B330" s="7"/>
      <c r="C330" s="7"/>
      <c r="D330" s="7"/>
      <c r="E330" s="7"/>
      <c r="F330" s="7"/>
      <c r="G330" s="7"/>
      <c r="H330" s="7"/>
      <c r="I330" s="7"/>
      <c r="J330" s="7"/>
      <c r="K330" s="7"/>
      <c r="L330" s="7"/>
      <c r="M330" s="7"/>
      <c r="N330" s="7"/>
    </row>
    <row r="331" spans="1:14" customFormat="1" x14ac:dyDescent="0.25">
      <c r="A331" s="7"/>
      <c r="B331" s="7"/>
      <c r="C331" s="7"/>
      <c r="D331" s="7"/>
      <c r="E331" s="7"/>
      <c r="F331" s="7"/>
      <c r="G331" s="7"/>
      <c r="H331" s="7"/>
      <c r="I331" s="7"/>
      <c r="J331" s="7"/>
      <c r="K331" s="7"/>
      <c r="L331" s="7"/>
      <c r="M331" s="7"/>
      <c r="N331" s="7"/>
    </row>
    <row r="332" spans="1:14" customFormat="1" x14ac:dyDescent="0.25">
      <c r="A332" s="7"/>
      <c r="B332" s="7"/>
      <c r="C332" s="7"/>
      <c r="D332" s="7"/>
      <c r="E332" s="7"/>
      <c r="F332" s="7"/>
      <c r="G332" s="7"/>
      <c r="H332" s="7"/>
      <c r="I332" s="7"/>
      <c r="J332" s="7"/>
      <c r="K332" s="7"/>
      <c r="L332" s="7"/>
      <c r="M332" s="7"/>
      <c r="N332" s="7"/>
    </row>
    <row r="333" spans="1:14" customFormat="1" x14ac:dyDescent="0.25">
      <c r="A333" s="7"/>
      <c r="B333" s="7"/>
      <c r="C333" s="7"/>
      <c r="D333" s="7"/>
      <c r="E333" s="7"/>
      <c r="F333" s="7"/>
      <c r="G333" s="7"/>
      <c r="H333" s="7"/>
      <c r="I333" s="7"/>
      <c r="J333" s="7"/>
      <c r="K333" s="7"/>
      <c r="L333" s="7"/>
      <c r="M333" s="7"/>
      <c r="N333" s="7"/>
    </row>
    <row r="334" spans="1:14" customFormat="1" x14ac:dyDescent="0.25">
      <c r="A334" s="7"/>
      <c r="B334" s="7"/>
      <c r="C334" s="7"/>
      <c r="D334" s="7"/>
      <c r="E334" s="7"/>
      <c r="F334" s="7"/>
      <c r="G334" s="7"/>
      <c r="H334" s="7"/>
      <c r="I334" s="7"/>
      <c r="J334" s="7"/>
      <c r="K334" s="7"/>
      <c r="L334" s="7"/>
      <c r="M334" s="7"/>
      <c r="N334" s="7"/>
    </row>
    <row r="335" spans="1:14" customFormat="1" x14ac:dyDescent="0.25">
      <c r="A335" s="7"/>
      <c r="B335" s="7"/>
      <c r="C335" s="7"/>
      <c r="D335" s="7"/>
      <c r="E335" s="7"/>
      <c r="F335" s="7"/>
      <c r="G335" s="7"/>
      <c r="H335" s="7"/>
      <c r="I335" s="7"/>
      <c r="J335" s="7"/>
      <c r="K335" s="7"/>
      <c r="L335" s="7"/>
      <c r="M335" s="7"/>
      <c r="N335" s="7"/>
    </row>
    <row r="336" spans="1:14" customFormat="1" x14ac:dyDescent="0.25">
      <c r="A336" s="7"/>
      <c r="B336" s="7"/>
      <c r="C336" s="7"/>
      <c r="D336" s="7"/>
      <c r="E336" s="7"/>
      <c r="F336" s="7"/>
      <c r="G336" s="7"/>
      <c r="H336" s="7"/>
      <c r="I336" s="7"/>
      <c r="J336" s="7"/>
      <c r="K336" s="7"/>
      <c r="L336" s="7"/>
      <c r="M336" s="7"/>
      <c r="N336" s="7"/>
    </row>
    <row r="337" spans="1:15" customFormat="1" x14ac:dyDescent="0.25">
      <c r="A337" s="11"/>
      <c r="B337" s="5"/>
      <c r="C337" s="5"/>
      <c r="D337" s="5"/>
      <c r="E337" s="5"/>
      <c r="F337" s="5"/>
      <c r="G337" s="5"/>
      <c r="H337" s="5"/>
      <c r="I337" s="5"/>
      <c r="J337" s="5"/>
      <c r="K337" s="5"/>
      <c r="L337" s="5"/>
      <c r="M337" s="5"/>
      <c r="N337" s="11"/>
    </row>
    <row r="338" spans="1:15" customFormat="1" x14ac:dyDescent="0.25">
      <c r="A338" s="11"/>
      <c r="B338" s="5"/>
      <c r="C338" s="5"/>
      <c r="D338" s="5"/>
      <c r="E338" s="5"/>
      <c r="F338" s="5"/>
      <c r="G338" s="5"/>
      <c r="H338" s="5"/>
      <c r="I338" s="5"/>
      <c r="J338" s="5"/>
      <c r="K338" s="5"/>
      <c r="L338" s="5"/>
      <c r="M338" s="5"/>
      <c r="N338" s="11"/>
    </row>
    <row r="339" spans="1:15" customFormat="1" x14ac:dyDescent="0.25">
      <c r="A339" s="11"/>
      <c r="B339" s="5"/>
      <c r="C339" s="5"/>
      <c r="D339" s="5"/>
      <c r="E339" s="5"/>
      <c r="F339" s="5"/>
      <c r="G339" s="5"/>
      <c r="H339" s="5"/>
      <c r="I339" s="5"/>
      <c r="J339" s="5"/>
      <c r="K339" s="5"/>
      <c r="L339" s="5"/>
      <c r="M339" s="5"/>
      <c r="N339" s="11"/>
    </row>
    <row r="340" spans="1:15" customFormat="1" x14ac:dyDescent="0.25">
      <c r="A340" s="11"/>
      <c r="B340" s="5"/>
      <c r="C340" s="5"/>
      <c r="D340" s="5"/>
      <c r="E340" s="5"/>
      <c r="F340" s="5"/>
      <c r="G340" s="5"/>
      <c r="H340" s="5"/>
      <c r="I340" s="5"/>
      <c r="J340" s="5"/>
      <c r="K340" s="5"/>
      <c r="L340" s="5"/>
      <c r="M340" s="5"/>
      <c r="N340" s="11"/>
    </row>
    <row r="341" spans="1:15" customFormat="1" x14ac:dyDescent="0.25">
      <c r="A341" s="11"/>
      <c r="B341" s="5"/>
      <c r="C341" s="5"/>
      <c r="D341" s="5"/>
      <c r="E341" s="5"/>
      <c r="F341" s="5"/>
      <c r="G341" s="5"/>
      <c r="H341" s="5"/>
      <c r="I341" s="5"/>
      <c r="J341" s="5"/>
      <c r="K341" s="5"/>
      <c r="L341" s="5"/>
      <c r="M341" s="5"/>
      <c r="N341" s="11"/>
    </row>
    <row r="342" spans="1:15" customFormat="1" x14ac:dyDescent="0.25">
      <c r="A342" s="11"/>
      <c r="B342" s="5"/>
      <c r="C342" s="5"/>
      <c r="D342" s="5"/>
      <c r="E342" s="5"/>
      <c r="F342" s="5"/>
      <c r="G342" s="5"/>
      <c r="H342" s="5"/>
      <c r="I342" s="5"/>
      <c r="J342" s="5"/>
      <c r="K342" s="5"/>
      <c r="L342" s="5"/>
      <c r="M342" s="5"/>
      <c r="N342" s="11"/>
    </row>
    <row r="343" spans="1:15" customFormat="1" x14ac:dyDescent="0.25">
      <c r="A343" s="11"/>
      <c r="B343" s="5"/>
      <c r="C343" s="5"/>
      <c r="D343" s="5"/>
      <c r="E343" s="5"/>
      <c r="F343" s="5"/>
      <c r="G343" s="5"/>
      <c r="H343" s="5"/>
      <c r="I343" s="5"/>
      <c r="J343" s="5"/>
      <c r="K343" s="5"/>
      <c r="L343" s="5"/>
      <c r="M343" s="5"/>
      <c r="N343" s="11"/>
    </row>
    <row r="344" spans="1:15" customFormat="1" x14ac:dyDescent="0.25">
      <c r="A344" s="11"/>
      <c r="B344" s="5"/>
      <c r="C344" s="5"/>
      <c r="D344" s="5"/>
      <c r="E344" s="5"/>
      <c r="F344" s="5"/>
      <c r="G344" s="5"/>
      <c r="H344" s="5"/>
      <c r="I344" s="5"/>
      <c r="J344" s="5"/>
      <c r="K344" s="5"/>
      <c r="L344" s="5"/>
      <c r="M344" s="5"/>
      <c r="N344" s="11"/>
    </row>
    <row r="345" spans="1:15" customFormat="1" x14ac:dyDescent="0.25">
      <c r="A345" s="11"/>
      <c r="B345" s="5"/>
      <c r="C345" s="5"/>
      <c r="D345" s="5"/>
      <c r="E345" s="5"/>
      <c r="F345" s="5"/>
      <c r="G345" s="5"/>
      <c r="H345" s="5"/>
      <c r="I345" s="5"/>
      <c r="J345" s="5"/>
      <c r="K345" s="5"/>
      <c r="L345" s="5"/>
      <c r="M345" s="5"/>
      <c r="N345" s="11"/>
    </row>
    <row r="346" spans="1:15" customFormat="1" x14ac:dyDescent="0.25">
      <c r="A346" s="11"/>
      <c r="B346" s="5"/>
      <c r="C346" s="5"/>
      <c r="D346" s="5"/>
      <c r="E346" s="5"/>
      <c r="F346" s="5"/>
      <c r="G346" s="5"/>
      <c r="H346" s="5"/>
      <c r="I346" s="5"/>
      <c r="J346" s="5"/>
      <c r="K346" s="5"/>
      <c r="L346" s="5"/>
      <c r="M346" s="5"/>
      <c r="N346" s="11"/>
    </row>
    <row r="347" spans="1:15" customFormat="1" x14ac:dyDescent="0.25">
      <c r="A347" s="11"/>
      <c r="B347" s="5"/>
      <c r="C347" s="5"/>
      <c r="D347" s="5"/>
      <c r="E347" s="5"/>
      <c r="F347" s="5"/>
      <c r="G347" s="5"/>
      <c r="H347" s="5"/>
      <c r="I347" s="5"/>
      <c r="J347" s="5"/>
      <c r="K347" s="5"/>
      <c r="L347" s="5"/>
      <c r="M347" s="5"/>
      <c r="N347" s="11"/>
    </row>
    <row r="348" spans="1:15" customFormat="1" x14ac:dyDescent="0.25">
      <c r="A348" s="11"/>
      <c r="B348" s="5"/>
      <c r="C348" s="5"/>
      <c r="D348" s="5"/>
      <c r="E348" s="5"/>
      <c r="F348" s="5"/>
      <c r="G348" s="5"/>
      <c r="H348" s="5"/>
      <c r="I348" s="5"/>
      <c r="J348" s="5"/>
      <c r="K348" s="5"/>
      <c r="L348" s="5"/>
      <c r="M348" s="5"/>
      <c r="N348" s="11"/>
    </row>
    <row r="349" spans="1:15" customFormat="1" x14ac:dyDescent="0.25">
      <c r="A349" s="11"/>
      <c r="B349" s="5"/>
      <c r="C349" s="5"/>
      <c r="D349" s="5"/>
      <c r="E349" s="5"/>
      <c r="F349" s="5"/>
      <c r="G349" s="5"/>
      <c r="H349" s="5"/>
      <c r="I349" s="5"/>
      <c r="J349" s="5"/>
      <c r="K349" s="5"/>
      <c r="L349" s="5"/>
      <c r="M349" s="5"/>
      <c r="N349" s="11"/>
    </row>
    <row r="350" spans="1:15" customFormat="1" x14ac:dyDescent="0.25">
      <c r="A350" s="11"/>
      <c r="B350" s="5"/>
      <c r="C350" s="5"/>
      <c r="D350" s="5"/>
      <c r="E350" s="5"/>
      <c r="F350" s="5"/>
      <c r="G350" s="5"/>
      <c r="H350" s="5"/>
      <c r="I350" s="5"/>
      <c r="J350" s="5"/>
      <c r="K350" s="5"/>
      <c r="L350" s="5"/>
      <c r="M350" s="5"/>
      <c r="N350" s="12"/>
      <c r="O350" s="3"/>
    </row>
    <row r="351" spans="1:15" customFormat="1" x14ac:dyDescent="0.25">
      <c r="A351" s="11"/>
      <c r="B351" s="5"/>
      <c r="C351" s="5"/>
      <c r="D351" s="5"/>
      <c r="E351" s="5"/>
      <c r="F351" s="5"/>
      <c r="G351" s="5"/>
      <c r="H351" s="5"/>
      <c r="I351" s="5"/>
      <c r="J351" s="5"/>
      <c r="K351" s="5"/>
      <c r="L351" s="5"/>
      <c r="M351" s="5"/>
      <c r="N351" s="11"/>
      <c r="O351" s="3"/>
    </row>
    <row r="352" spans="1:15" customFormat="1" x14ac:dyDescent="0.25">
      <c r="A352" s="11"/>
      <c r="B352" s="5"/>
      <c r="C352" s="5"/>
      <c r="D352" s="5"/>
      <c r="E352" s="5"/>
      <c r="F352" s="5"/>
      <c r="G352" s="5"/>
      <c r="H352" s="5"/>
      <c r="I352" s="5"/>
      <c r="J352" s="5"/>
      <c r="K352" s="5"/>
      <c r="L352" s="5"/>
      <c r="M352" s="5"/>
      <c r="N352" s="11"/>
      <c r="O352" s="3"/>
    </row>
    <row r="353" spans="1:15" customFormat="1" x14ac:dyDescent="0.25">
      <c r="A353" s="11"/>
      <c r="B353" s="5"/>
      <c r="C353" s="5"/>
      <c r="D353" s="5"/>
      <c r="E353" s="5"/>
      <c r="F353" s="5"/>
      <c r="G353" s="5"/>
      <c r="H353" s="5"/>
      <c r="I353" s="5"/>
      <c r="J353" s="5"/>
      <c r="K353" s="5"/>
      <c r="L353" s="5"/>
      <c r="M353" s="5"/>
      <c r="N353" s="11"/>
      <c r="O353" s="3"/>
    </row>
    <row r="354" spans="1:15" customFormat="1" x14ac:dyDescent="0.25">
      <c r="A354" s="11"/>
      <c r="B354" s="5"/>
      <c r="C354" s="5"/>
      <c r="D354" s="5"/>
      <c r="E354" s="5"/>
      <c r="F354" s="5"/>
      <c r="G354" s="5"/>
      <c r="H354" s="5"/>
      <c r="I354" s="5"/>
      <c r="J354" s="5"/>
      <c r="K354" s="5"/>
      <c r="L354" s="5"/>
      <c r="M354" s="5"/>
      <c r="N354" s="13"/>
      <c r="O354" s="3"/>
    </row>
    <row r="355" spans="1:15" customFormat="1" x14ac:dyDescent="0.25">
      <c r="A355" s="11"/>
      <c r="B355" s="5"/>
      <c r="C355" s="5"/>
      <c r="D355" s="5"/>
      <c r="E355" s="5"/>
      <c r="F355" s="5"/>
      <c r="G355" s="5"/>
      <c r="H355" s="5"/>
      <c r="I355" s="5"/>
      <c r="J355" s="5"/>
      <c r="K355" s="5"/>
      <c r="L355" s="5"/>
      <c r="M355" s="5"/>
      <c r="N355" s="11"/>
      <c r="O355" s="3"/>
    </row>
    <row r="356" spans="1:15" customFormat="1" x14ac:dyDescent="0.25">
      <c r="A356" s="11"/>
      <c r="B356" s="5"/>
      <c r="C356" s="5"/>
      <c r="D356" s="5"/>
      <c r="E356" s="5"/>
      <c r="F356" s="5"/>
      <c r="G356" s="5"/>
      <c r="H356" s="5"/>
      <c r="I356" s="5"/>
      <c r="J356" s="5"/>
      <c r="K356" s="5"/>
      <c r="L356" s="5"/>
      <c r="M356" s="5"/>
      <c r="N356" s="11"/>
      <c r="O356" s="3"/>
    </row>
    <row r="357" spans="1:15" customFormat="1" x14ac:dyDescent="0.25">
      <c r="A357" s="11"/>
      <c r="B357" s="5"/>
      <c r="C357" s="5"/>
      <c r="D357" s="5"/>
      <c r="E357" s="5"/>
      <c r="F357" s="5"/>
      <c r="G357" s="5"/>
      <c r="H357" s="5"/>
      <c r="I357" s="5"/>
      <c r="J357" s="5"/>
      <c r="K357" s="5"/>
      <c r="L357" s="5"/>
      <c r="M357" s="5"/>
      <c r="N357" s="11"/>
      <c r="O357" s="3"/>
    </row>
    <row r="358" spans="1:15" customFormat="1" x14ac:dyDescent="0.25">
      <c r="A358" s="11"/>
      <c r="B358" s="5"/>
      <c r="C358" s="5"/>
      <c r="D358" s="5"/>
      <c r="E358" s="5"/>
      <c r="F358" s="5"/>
      <c r="G358" s="5"/>
      <c r="H358" s="5"/>
      <c r="I358" s="5"/>
      <c r="J358" s="5"/>
      <c r="K358" s="5"/>
      <c r="L358" s="5"/>
      <c r="M358" s="5"/>
      <c r="N358" s="12"/>
      <c r="O358" s="3"/>
    </row>
    <row r="359" spans="1:15" customFormat="1" x14ac:dyDescent="0.25">
      <c r="A359" s="11"/>
      <c r="B359" s="5"/>
      <c r="C359" s="5"/>
      <c r="D359" s="5"/>
      <c r="E359" s="5"/>
      <c r="F359" s="5"/>
      <c r="G359" s="5"/>
      <c r="H359" s="5"/>
      <c r="I359" s="5"/>
      <c r="J359" s="5"/>
      <c r="K359" s="5"/>
      <c r="L359" s="5"/>
      <c r="M359" s="5"/>
      <c r="N359" s="11"/>
      <c r="O359" s="3"/>
    </row>
    <row r="360" spans="1:15" x14ac:dyDescent="0.25">
      <c r="A360" s="11"/>
    </row>
    <row r="361" spans="1:15" x14ac:dyDescent="0.25">
      <c r="A361" s="11"/>
    </row>
    <row r="362" spans="1:15" x14ac:dyDescent="0.25">
      <c r="A362" s="11"/>
      <c r="N362" s="12"/>
    </row>
    <row r="363" spans="1:15" x14ac:dyDescent="0.25">
      <c r="A363" s="11"/>
      <c r="N363" s="12"/>
    </row>
    <row r="364" spans="1:15" x14ac:dyDescent="0.25">
      <c r="A364" s="11"/>
      <c r="B364" s="7"/>
      <c r="C364" s="7"/>
      <c r="D364" s="7"/>
      <c r="E364" s="7"/>
      <c r="F364" s="7"/>
      <c r="G364" s="7"/>
      <c r="H364" s="7"/>
      <c r="I364" s="7"/>
      <c r="N364" s="7"/>
    </row>
    <row r="365" spans="1:15" x14ac:dyDescent="0.25">
      <c r="A365" s="11"/>
    </row>
    <row r="366" spans="1:15" x14ac:dyDescent="0.25">
      <c r="A366" s="11"/>
    </row>
    <row r="367" spans="1:15" x14ac:dyDescent="0.25">
      <c r="A367" s="11"/>
    </row>
    <row r="368" spans="1:15" x14ac:dyDescent="0.25">
      <c r="A368" s="11"/>
    </row>
    <row r="369" spans="1:14" x14ac:dyDescent="0.25">
      <c r="A369" s="11"/>
      <c r="N369" s="12"/>
    </row>
    <row r="370" spans="1:14" x14ac:dyDescent="0.25">
      <c r="A370" s="11"/>
    </row>
    <row r="371" spans="1:14" x14ac:dyDescent="0.25">
      <c r="A371" s="11"/>
    </row>
    <row r="372" spans="1:14" x14ac:dyDescent="0.25">
      <c r="A372" s="11"/>
      <c r="N372" s="13"/>
    </row>
    <row r="373" spans="1:14" x14ac:dyDescent="0.25">
      <c r="A373" s="11"/>
    </row>
    <row r="374" spans="1:14" x14ac:dyDescent="0.25">
      <c r="A374" s="11"/>
      <c r="N374" s="12"/>
    </row>
    <row r="375" spans="1:14" x14ac:dyDescent="0.25">
      <c r="A375" s="11"/>
    </row>
    <row r="376" spans="1:14" x14ac:dyDescent="0.25">
      <c r="A376" s="11"/>
    </row>
    <row r="377" spans="1:14" x14ac:dyDescent="0.25">
      <c r="A377" s="11"/>
    </row>
    <row r="378" spans="1:14" x14ac:dyDescent="0.25">
      <c r="A378" s="11"/>
      <c r="N378" s="12"/>
    </row>
    <row r="379" spans="1:14" x14ac:dyDescent="0.25">
      <c r="A379" s="11"/>
    </row>
    <row r="380" spans="1:14" x14ac:dyDescent="0.25">
      <c r="A380" s="11"/>
      <c r="N380" s="12"/>
    </row>
    <row r="381" spans="1:14" x14ac:dyDescent="0.25">
      <c r="A381" s="11"/>
    </row>
    <row r="382" spans="1:14" x14ac:dyDescent="0.25">
      <c r="A382" s="11"/>
    </row>
    <row r="383" spans="1:14" x14ac:dyDescent="0.25">
      <c r="A383" s="11"/>
    </row>
    <row r="384" spans="1:14" x14ac:dyDescent="0.25">
      <c r="A384" s="11"/>
    </row>
    <row r="385" spans="1:1" x14ac:dyDescent="0.25">
      <c r="A385" s="11"/>
    </row>
    <row r="386" spans="1:1" x14ac:dyDescent="0.25">
      <c r="A386" s="11"/>
    </row>
    <row r="387" spans="1:1" x14ac:dyDescent="0.25">
      <c r="A387" s="11"/>
    </row>
    <row r="388" spans="1:1" x14ac:dyDescent="0.25">
      <c r="A388" s="11"/>
    </row>
    <row r="389" spans="1:1" x14ac:dyDescent="0.25">
      <c r="A389" s="11"/>
    </row>
    <row r="390" spans="1:1" x14ac:dyDescent="0.25">
      <c r="A390" s="11"/>
    </row>
    <row r="391" spans="1:1" x14ac:dyDescent="0.25">
      <c r="A391" s="11"/>
    </row>
    <row r="392" spans="1:1" x14ac:dyDescent="0.25">
      <c r="A392" s="11"/>
    </row>
    <row r="393" spans="1:1" x14ac:dyDescent="0.25">
      <c r="A393" s="11"/>
    </row>
    <row r="394" spans="1:1" x14ac:dyDescent="0.25">
      <c r="A394" s="11"/>
    </row>
    <row r="395" spans="1:1" x14ac:dyDescent="0.25">
      <c r="A395" s="11"/>
    </row>
    <row r="396" spans="1:1" x14ac:dyDescent="0.25">
      <c r="A396" s="11"/>
    </row>
    <row r="397" spans="1:1" x14ac:dyDescent="0.25">
      <c r="A397" s="11"/>
    </row>
    <row r="398" spans="1:1" x14ac:dyDescent="0.25">
      <c r="A398" s="11"/>
    </row>
    <row r="399" spans="1:1" x14ac:dyDescent="0.25">
      <c r="A399" s="11"/>
    </row>
    <row r="400" spans="1:1" x14ac:dyDescent="0.25">
      <c r="A400" s="11"/>
    </row>
    <row r="401" spans="1:1" x14ac:dyDescent="0.25">
      <c r="A401" s="11"/>
    </row>
    <row r="402" spans="1:1" x14ac:dyDescent="0.25">
      <c r="A402" s="11"/>
    </row>
    <row r="403" spans="1:1" x14ac:dyDescent="0.25">
      <c r="A403" s="11"/>
    </row>
    <row r="404" spans="1:1" x14ac:dyDescent="0.25">
      <c r="A404" s="11"/>
    </row>
    <row r="405" spans="1:1" x14ac:dyDescent="0.25">
      <c r="A405" s="11"/>
    </row>
    <row r="406" spans="1:1" x14ac:dyDescent="0.25">
      <c r="A406" s="11"/>
    </row>
    <row r="407" spans="1:1" x14ac:dyDescent="0.25">
      <c r="A407" s="11"/>
    </row>
    <row r="408" spans="1:1" x14ac:dyDescent="0.25">
      <c r="A408" s="11"/>
    </row>
    <row r="409" spans="1:1" x14ac:dyDescent="0.25">
      <c r="A409" s="11"/>
    </row>
    <row r="410" spans="1:1" x14ac:dyDescent="0.25">
      <c r="A410" s="11"/>
    </row>
    <row r="411" spans="1:1" x14ac:dyDescent="0.25">
      <c r="A411" s="11"/>
    </row>
    <row r="412" spans="1:1" x14ac:dyDescent="0.25">
      <c r="A412" s="11"/>
    </row>
    <row r="413" spans="1:1" x14ac:dyDescent="0.25">
      <c r="A413" s="11"/>
    </row>
    <row r="414" spans="1:1" x14ac:dyDescent="0.25">
      <c r="A414" s="11"/>
    </row>
    <row r="415" spans="1:1" x14ac:dyDescent="0.25">
      <c r="A415" s="11"/>
    </row>
    <row r="416" spans="1:1" x14ac:dyDescent="0.25">
      <c r="A416" s="11"/>
    </row>
    <row r="417" spans="1:1" x14ac:dyDescent="0.25">
      <c r="A417" s="11"/>
    </row>
    <row r="418" spans="1:1" x14ac:dyDescent="0.25">
      <c r="A418" s="11"/>
    </row>
    <row r="419" spans="1:1" x14ac:dyDescent="0.25">
      <c r="A419" s="11"/>
    </row>
    <row r="420" spans="1:1" x14ac:dyDescent="0.25">
      <c r="A420" s="11"/>
    </row>
    <row r="421" spans="1:1" x14ac:dyDescent="0.25">
      <c r="A421" s="11"/>
    </row>
    <row r="422" spans="1:1" x14ac:dyDescent="0.25">
      <c r="A422" s="11"/>
    </row>
    <row r="423" spans="1:1" x14ac:dyDescent="0.25">
      <c r="A423" s="11"/>
    </row>
    <row r="424" spans="1:1" x14ac:dyDescent="0.25">
      <c r="A424" s="11"/>
    </row>
    <row r="425" spans="1:1" x14ac:dyDescent="0.25">
      <c r="A425" s="11"/>
    </row>
    <row r="426" spans="1:1" x14ac:dyDescent="0.25">
      <c r="A426" s="11"/>
    </row>
    <row r="427" spans="1:1" x14ac:dyDescent="0.25">
      <c r="A427" s="11"/>
    </row>
    <row r="428" spans="1:1" x14ac:dyDescent="0.25">
      <c r="A428" s="11"/>
    </row>
    <row r="429" spans="1:1" x14ac:dyDescent="0.25">
      <c r="A429" s="11"/>
    </row>
    <row r="430" spans="1:1" x14ac:dyDescent="0.25">
      <c r="A430" s="11"/>
    </row>
    <row r="431" spans="1:1" x14ac:dyDescent="0.25">
      <c r="A431" s="11"/>
    </row>
    <row r="432" spans="1:1" x14ac:dyDescent="0.25">
      <c r="A432" s="11"/>
    </row>
    <row r="433" spans="1:14" x14ac:dyDescent="0.25">
      <c r="A433" s="11"/>
    </row>
    <row r="434" spans="1:14" x14ac:dyDescent="0.25">
      <c r="A434" s="11"/>
    </row>
    <row r="435" spans="1:14" x14ac:dyDescent="0.25">
      <c r="A435" s="11"/>
    </row>
    <row r="436" spans="1:14" x14ac:dyDescent="0.25">
      <c r="A436" s="11"/>
    </row>
    <row r="437" spans="1:14" x14ac:dyDescent="0.25">
      <c r="A437" s="11"/>
    </row>
    <row r="438" spans="1:14" x14ac:dyDescent="0.25">
      <c r="A438" s="11"/>
      <c r="B438" s="7"/>
      <c r="C438" s="7"/>
      <c r="D438" s="7"/>
      <c r="E438" s="7"/>
      <c r="F438" s="7"/>
      <c r="G438" s="7"/>
      <c r="H438" s="7"/>
      <c r="I438" s="7"/>
      <c r="N438" s="7"/>
    </row>
    <row r="439" spans="1:14" x14ac:dyDescent="0.25">
      <c r="A439" s="11"/>
    </row>
    <row r="440" spans="1:14" x14ac:dyDescent="0.25">
      <c r="A440" s="11"/>
    </row>
    <row r="441" spans="1:14" x14ac:dyDescent="0.25">
      <c r="A441" s="11"/>
    </row>
    <row r="442" spans="1:14" x14ac:dyDescent="0.25">
      <c r="A442" s="11"/>
    </row>
    <row r="443" spans="1:14" x14ac:dyDescent="0.25">
      <c r="A443" s="11"/>
    </row>
    <row r="444" spans="1:14" x14ac:dyDescent="0.25">
      <c r="A444" s="11"/>
    </row>
    <row r="445" spans="1:14" x14ac:dyDescent="0.25">
      <c r="A445" s="11"/>
    </row>
    <row r="446" spans="1:14" x14ac:dyDescent="0.25">
      <c r="A446" s="11"/>
    </row>
    <row r="447" spans="1:14" x14ac:dyDescent="0.25">
      <c r="A447" s="11"/>
    </row>
    <row r="448" spans="1:14" x14ac:dyDescent="0.25">
      <c r="A448" s="11"/>
    </row>
    <row r="449" spans="1:14" x14ac:dyDescent="0.25">
      <c r="A449" s="11"/>
    </row>
    <row r="450" spans="1:14" x14ac:dyDescent="0.25">
      <c r="A450" s="11"/>
    </row>
    <row r="451" spans="1:14" x14ac:dyDescent="0.25">
      <c r="A451" s="11"/>
    </row>
    <row r="452" spans="1:14" x14ac:dyDescent="0.25">
      <c r="A452" s="11"/>
    </row>
    <row r="453" spans="1:14" x14ac:dyDescent="0.25">
      <c r="A453" s="11"/>
    </row>
    <row r="454" spans="1:14" x14ac:dyDescent="0.25">
      <c r="A454" s="11"/>
    </row>
    <row r="455" spans="1:14" x14ac:dyDescent="0.25">
      <c r="A455" s="11"/>
    </row>
    <row r="456" spans="1:14" x14ac:dyDescent="0.25">
      <c r="A456" s="11"/>
    </row>
    <row r="457" spans="1:14" x14ac:dyDescent="0.25">
      <c r="A457" s="11"/>
      <c r="B457" s="7"/>
      <c r="C457" s="7"/>
      <c r="D457" s="7"/>
      <c r="E457" s="7"/>
      <c r="F457" s="7"/>
      <c r="G457" s="7"/>
      <c r="H457" s="7"/>
      <c r="I457" s="7"/>
      <c r="N457" s="7"/>
    </row>
    <row r="458" spans="1:14" x14ac:dyDescent="0.25">
      <c r="A458" s="11"/>
    </row>
    <row r="459" spans="1:14" x14ac:dyDescent="0.25">
      <c r="A459" s="11"/>
    </row>
    <row r="460" spans="1:14" x14ac:dyDescent="0.25">
      <c r="A460" s="11"/>
    </row>
    <row r="461" spans="1:14" x14ac:dyDescent="0.25">
      <c r="A461" s="11"/>
    </row>
    <row r="462" spans="1:14" x14ac:dyDescent="0.25">
      <c r="A462" s="11"/>
    </row>
    <row r="463" spans="1:14" x14ac:dyDescent="0.25">
      <c r="A463" s="11"/>
    </row>
    <row r="464" spans="1:14" x14ac:dyDescent="0.25">
      <c r="A464" s="11"/>
    </row>
    <row r="465" spans="1:1" x14ac:dyDescent="0.25">
      <c r="A465" s="11"/>
    </row>
    <row r="466" spans="1:1" x14ac:dyDescent="0.25">
      <c r="A466" s="11"/>
    </row>
    <row r="467" spans="1:1" x14ac:dyDescent="0.25">
      <c r="A467" s="11"/>
    </row>
    <row r="468" spans="1:1" x14ac:dyDescent="0.25">
      <c r="A468" s="11"/>
    </row>
    <row r="469" spans="1:1" x14ac:dyDescent="0.25">
      <c r="A469" s="11"/>
    </row>
    <row r="470" spans="1:1" x14ac:dyDescent="0.25">
      <c r="A470" s="11"/>
    </row>
    <row r="471" spans="1:1" x14ac:dyDescent="0.25">
      <c r="A471" s="11"/>
    </row>
    <row r="472" spans="1:1" x14ac:dyDescent="0.25">
      <c r="A472" s="11"/>
    </row>
    <row r="473" spans="1:1" x14ac:dyDescent="0.25">
      <c r="A473" s="11"/>
    </row>
    <row r="474" spans="1:1" x14ac:dyDescent="0.25">
      <c r="A474" s="11"/>
    </row>
    <row r="475" spans="1:1" x14ac:dyDescent="0.25">
      <c r="A475" s="11"/>
    </row>
    <row r="476" spans="1:1" x14ac:dyDescent="0.25">
      <c r="A476" s="11"/>
    </row>
    <row r="477" spans="1:1" x14ac:dyDescent="0.25">
      <c r="A477" s="11"/>
    </row>
    <row r="478" spans="1:1" x14ac:dyDescent="0.25">
      <c r="A478" s="11"/>
    </row>
    <row r="479" spans="1:1" x14ac:dyDescent="0.25">
      <c r="A479" s="11"/>
    </row>
    <row r="480" spans="1:1" x14ac:dyDescent="0.25">
      <c r="A480" s="11"/>
    </row>
    <row r="481" spans="1:15" x14ac:dyDescent="0.25">
      <c r="A481" s="11"/>
      <c r="B481" s="7"/>
      <c r="C481" s="7"/>
      <c r="D481" s="7"/>
      <c r="E481" s="7"/>
      <c r="F481" s="7"/>
      <c r="G481" s="7"/>
      <c r="H481" s="7"/>
      <c r="I481" s="7"/>
      <c r="N481" s="7"/>
    </row>
    <row r="482" spans="1:15" x14ac:dyDescent="0.25">
      <c r="A482" s="11"/>
    </row>
    <row r="483" spans="1:15" x14ac:dyDescent="0.25">
      <c r="A483" s="11"/>
    </row>
    <row r="484" spans="1:15" x14ac:dyDescent="0.25">
      <c r="A484" s="11"/>
    </row>
    <row r="485" spans="1:15" x14ac:dyDescent="0.25">
      <c r="A485" s="7"/>
      <c r="B485" s="7"/>
      <c r="C485" s="7"/>
      <c r="D485" s="7"/>
      <c r="E485" s="7"/>
      <c r="F485" s="7"/>
      <c r="G485" s="7"/>
      <c r="H485" s="7"/>
      <c r="I485" s="7"/>
      <c r="N485" s="7"/>
      <c r="O485"/>
    </row>
    <row r="486" spans="1:15" x14ac:dyDescent="0.25">
      <c r="A486" s="11"/>
    </row>
    <row r="487" spans="1:15" x14ac:dyDescent="0.25">
      <c r="A487" s="11"/>
    </row>
    <row r="488" spans="1:15" x14ac:dyDescent="0.25">
      <c r="A488" s="11"/>
    </row>
    <row r="489" spans="1:15" x14ac:dyDescent="0.25">
      <c r="A489" s="11"/>
    </row>
    <row r="490" spans="1:15" x14ac:dyDescent="0.25">
      <c r="A490" s="11"/>
    </row>
    <row r="491" spans="1:15" x14ac:dyDescent="0.25">
      <c r="A491" s="11"/>
    </row>
    <row r="492" spans="1:15" x14ac:dyDescent="0.25">
      <c r="A492" s="11"/>
    </row>
    <row r="493" spans="1:15" x14ac:dyDescent="0.25">
      <c r="A493" s="11"/>
    </row>
    <row r="494" spans="1:15" x14ac:dyDescent="0.25">
      <c r="A494" s="11"/>
    </row>
    <row r="495" spans="1:15" x14ac:dyDescent="0.25">
      <c r="A495" s="11"/>
    </row>
    <row r="496" spans="1:15" x14ac:dyDescent="0.25">
      <c r="A496" s="11"/>
      <c r="B496" s="7"/>
      <c r="C496" s="7"/>
      <c r="D496" s="7"/>
      <c r="E496" s="7"/>
      <c r="F496" s="7"/>
      <c r="G496" s="7"/>
      <c r="H496" s="7"/>
      <c r="I496" s="7"/>
      <c r="N496" s="7"/>
    </row>
    <row r="497" spans="1:14" x14ac:dyDescent="0.25">
      <c r="A497" s="11"/>
      <c r="B497" s="7"/>
      <c r="C497" s="7"/>
      <c r="D497" s="7"/>
      <c r="E497" s="7"/>
      <c r="F497" s="7"/>
      <c r="G497" s="7"/>
      <c r="H497" s="7"/>
      <c r="I497" s="7"/>
      <c r="N497" s="7"/>
    </row>
    <row r="498" spans="1:14" x14ac:dyDescent="0.25">
      <c r="A498" s="11"/>
      <c r="B498" s="7"/>
      <c r="C498" s="7"/>
      <c r="D498" s="7"/>
      <c r="E498" s="7"/>
      <c r="F498" s="7"/>
      <c r="G498" s="7"/>
      <c r="H498" s="7"/>
      <c r="I498" s="7"/>
      <c r="N498" s="7"/>
    </row>
    <row r="499" spans="1:14" x14ac:dyDescent="0.25">
      <c r="A499" s="11"/>
    </row>
    <row r="500" spans="1:14" x14ac:dyDescent="0.25">
      <c r="A500" s="11"/>
    </row>
    <row r="501" spans="1:14" x14ac:dyDescent="0.25">
      <c r="A501" s="11"/>
    </row>
    <row r="502" spans="1:14" x14ac:dyDescent="0.25">
      <c r="A502" s="11"/>
    </row>
    <row r="503" spans="1:14" x14ac:dyDescent="0.25">
      <c r="A503" s="11"/>
    </row>
    <row r="504" spans="1:14" x14ac:dyDescent="0.25">
      <c r="A504" s="11"/>
    </row>
    <row r="505" spans="1:14" x14ac:dyDescent="0.25">
      <c r="A505" s="11"/>
    </row>
    <row r="506" spans="1:14" x14ac:dyDescent="0.25">
      <c r="A506" s="11"/>
    </row>
    <row r="507" spans="1:14" x14ac:dyDescent="0.25">
      <c r="A507" s="11"/>
    </row>
    <row r="508" spans="1:14" x14ac:dyDescent="0.25">
      <c r="A508" s="11"/>
    </row>
    <row r="509" spans="1:14" x14ac:dyDescent="0.25">
      <c r="A509" s="11"/>
    </row>
    <row r="510" spans="1:14" x14ac:dyDescent="0.25">
      <c r="A510" s="11"/>
    </row>
    <row r="511" spans="1:14" x14ac:dyDescent="0.25">
      <c r="A511" s="11"/>
      <c r="B511" s="7"/>
      <c r="C511" s="7"/>
      <c r="D511" s="7"/>
      <c r="E511" s="7"/>
      <c r="F511" s="7"/>
      <c r="G511" s="7"/>
      <c r="H511" s="7"/>
      <c r="I511" s="7"/>
      <c r="N511" s="7"/>
    </row>
    <row r="512" spans="1:14" x14ac:dyDescent="0.25">
      <c r="A512" s="11"/>
    </row>
    <row r="513" spans="1:15" x14ac:dyDescent="0.25">
      <c r="A513" s="11"/>
    </row>
    <row r="514" spans="1:15" x14ac:dyDescent="0.25">
      <c r="A514" s="11"/>
    </row>
    <row r="515" spans="1:15" x14ac:dyDescent="0.25">
      <c r="A515" s="11"/>
    </row>
    <row r="516" spans="1:15" x14ac:dyDescent="0.25">
      <c r="A516" s="11"/>
    </row>
    <row r="517" spans="1:15" x14ac:dyDescent="0.25">
      <c r="A517" s="11"/>
    </row>
    <row r="518" spans="1:15" x14ac:dyDescent="0.25">
      <c r="A518" s="11"/>
    </row>
    <row r="519" spans="1:15" x14ac:dyDescent="0.25">
      <c r="A519" s="11"/>
      <c r="B519" s="7"/>
      <c r="C519" s="7"/>
      <c r="D519" s="7"/>
      <c r="E519" s="7"/>
      <c r="F519" s="7"/>
      <c r="G519" s="7"/>
      <c r="H519" s="7"/>
      <c r="I519" s="7"/>
      <c r="N519" s="7"/>
    </row>
    <row r="520" spans="1:15" x14ac:dyDescent="0.25">
      <c r="A520" s="11"/>
      <c r="B520" s="7"/>
      <c r="C520" s="7"/>
      <c r="D520" s="7"/>
      <c r="E520" s="7"/>
      <c r="F520" s="7"/>
      <c r="G520" s="7"/>
      <c r="H520" s="7"/>
      <c r="I520" s="7"/>
      <c r="N520" s="7"/>
    </row>
    <row r="521" spans="1:15" x14ac:dyDescent="0.25">
      <c r="A521" s="11"/>
      <c r="B521" s="7"/>
      <c r="C521" s="7"/>
      <c r="D521" s="7"/>
      <c r="E521" s="7"/>
      <c r="F521" s="7"/>
      <c r="G521" s="7"/>
      <c r="H521" s="7"/>
      <c r="I521" s="7"/>
      <c r="N521" s="7"/>
    </row>
    <row r="522" spans="1:15" x14ac:dyDescent="0.25">
      <c r="A522" s="11"/>
      <c r="B522" s="7"/>
      <c r="C522" s="7"/>
      <c r="D522" s="7"/>
      <c r="E522" s="7"/>
      <c r="F522" s="7"/>
      <c r="G522" s="7"/>
      <c r="H522" s="7"/>
      <c r="I522" s="7"/>
      <c r="N522" s="7"/>
    </row>
    <row r="523" spans="1:15" x14ac:dyDescent="0.25">
      <c r="A523" s="11"/>
      <c r="B523" s="7"/>
      <c r="C523" s="7"/>
      <c r="D523" s="7"/>
      <c r="E523" s="7"/>
      <c r="F523" s="7"/>
      <c r="G523" s="7"/>
      <c r="H523" s="7"/>
      <c r="I523" s="7"/>
      <c r="N523" s="7"/>
    </row>
    <row r="524" spans="1:15" x14ac:dyDescent="0.25">
      <c r="A524" s="11"/>
      <c r="B524" s="7"/>
      <c r="C524" s="7"/>
      <c r="D524" s="7"/>
      <c r="E524" s="7"/>
      <c r="F524" s="7"/>
      <c r="G524" s="7"/>
      <c r="H524" s="7"/>
      <c r="I524" s="7"/>
      <c r="N524" s="7"/>
    </row>
    <row r="525" spans="1:15" x14ac:dyDescent="0.25">
      <c r="A525" s="11"/>
    </row>
    <row r="526" spans="1:15" x14ac:dyDescent="0.25">
      <c r="A526" s="11"/>
      <c r="B526" s="7"/>
      <c r="C526" s="7"/>
      <c r="D526" s="7"/>
      <c r="E526" s="7"/>
      <c r="F526" s="7"/>
      <c r="G526" s="7"/>
      <c r="H526" s="7"/>
      <c r="I526" s="7"/>
      <c r="N526" s="7"/>
      <c r="O526"/>
    </row>
    <row r="527" spans="1:15" x14ac:dyDescent="0.25">
      <c r="A527" s="11"/>
      <c r="B527" s="7"/>
      <c r="C527" s="7"/>
      <c r="D527" s="7"/>
      <c r="E527" s="7"/>
      <c r="F527" s="7"/>
      <c r="G527" s="7"/>
      <c r="H527" s="7"/>
      <c r="I527" s="7"/>
      <c r="N527" s="7"/>
      <c r="O527"/>
    </row>
    <row r="528" spans="1:15" x14ac:dyDescent="0.25">
      <c r="A528" s="11"/>
      <c r="B528" s="7"/>
      <c r="C528" s="7"/>
      <c r="D528" s="7"/>
      <c r="E528" s="7"/>
      <c r="F528" s="7"/>
      <c r="G528" s="7"/>
      <c r="H528" s="7"/>
      <c r="I528" s="7"/>
      <c r="N528" s="7"/>
      <c r="O528"/>
    </row>
    <row r="529" spans="1:15" x14ac:dyDescent="0.25">
      <c r="A529" s="11"/>
      <c r="B529" s="7"/>
      <c r="C529" s="7"/>
      <c r="D529" s="7"/>
      <c r="E529" s="7"/>
      <c r="F529" s="7"/>
      <c r="G529" s="7"/>
      <c r="H529" s="7"/>
      <c r="I529" s="7"/>
      <c r="N529" s="7"/>
      <c r="O529"/>
    </row>
    <row r="530" spans="1:15" x14ac:dyDescent="0.25">
      <c r="A530" s="11"/>
      <c r="B530" s="7"/>
      <c r="C530" s="7"/>
      <c r="D530" s="7"/>
      <c r="E530" s="7"/>
      <c r="F530" s="7"/>
      <c r="G530" s="7"/>
      <c r="H530" s="7"/>
      <c r="I530" s="7"/>
      <c r="N530" s="7"/>
      <c r="O530"/>
    </row>
    <row r="531" spans="1:15" x14ac:dyDescent="0.25">
      <c r="A531" s="11"/>
      <c r="B531" s="7"/>
      <c r="C531" s="7"/>
      <c r="D531" s="7"/>
      <c r="E531" s="7"/>
      <c r="F531" s="7"/>
      <c r="G531" s="7"/>
      <c r="H531" s="7"/>
      <c r="I531" s="7"/>
      <c r="N531" s="7"/>
      <c r="O531"/>
    </row>
    <row r="532" spans="1:15" x14ac:dyDescent="0.25">
      <c r="A532" s="11"/>
      <c r="B532" s="7"/>
      <c r="C532" s="7"/>
      <c r="D532" s="7"/>
      <c r="E532" s="7"/>
      <c r="F532" s="7"/>
      <c r="G532" s="7"/>
      <c r="H532" s="7"/>
      <c r="I532" s="7"/>
      <c r="N532" s="7"/>
      <c r="O532"/>
    </row>
    <row r="533" spans="1:15" x14ac:dyDescent="0.25">
      <c r="A533" s="11"/>
      <c r="B533" s="7"/>
      <c r="C533" s="7"/>
      <c r="D533" s="7"/>
      <c r="E533" s="7"/>
      <c r="F533" s="7"/>
      <c r="G533" s="7"/>
      <c r="H533" s="7"/>
      <c r="I533" s="7"/>
      <c r="N533" s="7"/>
      <c r="O533"/>
    </row>
    <row r="534" spans="1:15" x14ac:dyDescent="0.25">
      <c r="A534" s="7"/>
      <c r="B534" s="7"/>
      <c r="C534" s="7"/>
      <c r="D534" s="7"/>
      <c r="E534" s="7"/>
      <c r="F534" s="7"/>
      <c r="G534" s="7"/>
      <c r="H534" s="7"/>
      <c r="I534" s="7"/>
      <c r="K534" s="7"/>
      <c r="L534" s="7"/>
      <c r="M534" s="7"/>
      <c r="N534" s="7"/>
      <c r="O534"/>
    </row>
    <row r="535" spans="1:15" x14ac:dyDescent="0.25">
      <c r="A535" s="7"/>
      <c r="B535" s="7"/>
      <c r="C535" s="7"/>
      <c r="D535" s="7"/>
      <c r="E535" s="7"/>
      <c r="F535" s="7"/>
      <c r="G535" s="7"/>
      <c r="H535" s="7"/>
      <c r="I535" s="7"/>
      <c r="K535" s="7"/>
      <c r="L535" s="7"/>
      <c r="M535" s="7"/>
      <c r="N535" s="7"/>
      <c r="O535"/>
    </row>
    <row r="536" spans="1:15" x14ac:dyDescent="0.25">
      <c r="A536" s="11"/>
    </row>
    <row r="537" spans="1:15" x14ac:dyDescent="0.25">
      <c r="A537" s="11"/>
    </row>
    <row r="538" spans="1:15" x14ac:dyDescent="0.25">
      <c r="A538" s="11"/>
    </row>
    <row r="539" spans="1:15" x14ac:dyDescent="0.25">
      <c r="A539" s="11"/>
    </row>
    <row r="540" spans="1:15" x14ac:dyDescent="0.25">
      <c r="A540" s="11"/>
    </row>
    <row r="541" spans="1:15" x14ac:dyDescent="0.25">
      <c r="A541" s="11"/>
    </row>
    <row r="542" spans="1:15" x14ac:dyDescent="0.25">
      <c r="A542" s="11"/>
    </row>
    <row r="543" spans="1:15" x14ac:dyDescent="0.25">
      <c r="A543" s="11"/>
    </row>
    <row r="544" spans="1:15" x14ac:dyDescent="0.25">
      <c r="A544" s="11"/>
    </row>
    <row r="545" spans="1:1" x14ac:dyDescent="0.25">
      <c r="A545" s="11"/>
    </row>
    <row r="546" spans="1:1" x14ac:dyDescent="0.25">
      <c r="A546" s="11"/>
    </row>
    <row r="547" spans="1:1" x14ac:dyDescent="0.25">
      <c r="A547" s="11"/>
    </row>
    <row r="548" spans="1:1" x14ac:dyDescent="0.25">
      <c r="A548" s="11"/>
    </row>
    <row r="549" spans="1:1" x14ac:dyDescent="0.25">
      <c r="A549" s="11"/>
    </row>
    <row r="550" spans="1:1" x14ac:dyDescent="0.25">
      <c r="A550" s="11"/>
    </row>
    <row r="551" spans="1:1" x14ac:dyDescent="0.25">
      <c r="A551" s="11"/>
    </row>
    <row r="552" spans="1:1" x14ac:dyDescent="0.25">
      <c r="A552" s="11"/>
    </row>
    <row r="553" spans="1:1" x14ac:dyDescent="0.25">
      <c r="A553" s="11"/>
    </row>
    <row r="554" spans="1:1" x14ac:dyDescent="0.25">
      <c r="A554" s="11"/>
    </row>
    <row r="555" spans="1:1" x14ac:dyDescent="0.25">
      <c r="A555" s="11"/>
    </row>
    <row r="556" spans="1:1" x14ac:dyDescent="0.25">
      <c r="A556" s="11"/>
    </row>
    <row r="557" spans="1:1" x14ac:dyDescent="0.25">
      <c r="A557" s="11"/>
    </row>
    <row r="558" spans="1:1" x14ac:dyDescent="0.25">
      <c r="A558" s="11"/>
    </row>
    <row r="559" spans="1:1" x14ac:dyDescent="0.25">
      <c r="A559" s="11"/>
    </row>
    <row r="560" spans="1:1" x14ac:dyDescent="0.25">
      <c r="A560" s="11"/>
    </row>
    <row r="561" spans="1:1" x14ac:dyDescent="0.25">
      <c r="A561" s="11"/>
    </row>
    <row r="562" spans="1:1" x14ac:dyDescent="0.25">
      <c r="A562" s="11"/>
    </row>
    <row r="563" spans="1:1" x14ac:dyDescent="0.25">
      <c r="A563" s="11"/>
    </row>
    <row r="564" spans="1:1" x14ac:dyDescent="0.25">
      <c r="A564" s="11"/>
    </row>
    <row r="565" spans="1:1" x14ac:dyDescent="0.25">
      <c r="A565" s="11"/>
    </row>
    <row r="566" spans="1:1" x14ac:dyDescent="0.25">
      <c r="A566" s="11"/>
    </row>
    <row r="567" spans="1:1" x14ac:dyDescent="0.25">
      <c r="A567" s="11"/>
    </row>
    <row r="568" spans="1:1" x14ac:dyDescent="0.25">
      <c r="A568" s="11"/>
    </row>
    <row r="569" spans="1:1" x14ac:dyDescent="0.25">
      <c r="A569" s="11"/>
    </row>
    <row r="570" spans="1:1" x14ac:dyDescent="0.25">
      <c r="A570" s="11"/>
    </row>
    <row r="571" spans="1:1" x14ac:dyDescent="0.25">
      <c r="A571" s="11"/>
    </row>
    <row r="572" spans="1:1" x14ac:dyDescent="0.25">
      <c r="A572" s="11"/>
    </row>
    <row r="573" spans="1:1" x14ac:dyDescent="0.25">
      <c r="A573" s="11"/>
    </row>
    <row r="574" spans="1:1" x14ac:dyDescent="0.25">
      <c r="A574" s="11"/>
    </row>
    <row r="575" spans="1:1" x14ac:dyDescent="0.25">
      <c r="A575" s="11"/>
    </row>
    <row r="576" spans="1:1" x14ac:dyDescent="0.25">
      <c r="A576" s="11"/>
    </row>
    <row r="577" spans="1:10" x14ac:dyDescent="0.25">
      <c r="A577" s="11"/>
    </row>
    <row r="578" spans="1:10" x14ac:dyDescent="0.25">
      <c r="A578" s="11"/>
    </row>
    <row r="579" spans="1:10" x14ac:dyDescent="0.25">
      <c r="J579" s="5">
        <f>SUM(J351:J578)</f>
        <v>0</v>
      </c>
    </row>
  </sheetData>
  <sortState xmlns:xlrd2="http://schemas.microsoft.com/office/spreadsheetml/2017/richdata2" ref="A2:BX295">
    <sortCondition ref="A295"/>
  </sortState>
  <conditionalFormatting sqref="M17:M294">
    <cfRule type="cellIs" dxfId="0" priority="1" operator="greaterThan">
      <formula>#REF!</formula>
    </cfRule>
  </conditionalFormatting>
  <dataValidations count="1">
    <dataValidation allowBlank="1" showErrorMessage="1" error="Valor incorrecto._x000a_Por favor, ingrese solo números sin guiones ni barras." sqref="A446 A295" xr:uid="{00000000-0002-0000-0100-000000000000}"/>
  </dataValidations>
  <pageMargins left="0.7" right="0.7" top="0.75" bottom="0.75" header="0.3" footer="0.3"/>
  <pageSetup paperSize="9" orientation="portrait" horizontalDpi="4294967294"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5"/>
  <dimension ref="A1:K475"/>
  <sheetViews>
    <sheetView workbookViewId="0">
      <selection activeCell="F6" sqref="F6"/>
    </sheetView>
  </sheetViews>
  <sheetFormatPr baseColWidth="10" defaultRowHeight="15.75" x14ac:dyDescent="0.25"/>
  <cols>
    <col min="1" max="1" width="11.28515625" style="7" bestFit="1" customWidth="1"/>
    <col min="2" max="2" width="61.42578125" style="7" customWidth="1"/>
    <col min="3" max="3" width="59.140625" style="7" customWidth="1"/>
  </cols>
  <sheetData>
    <row r="1" spans="1:3" s="40" customFormat="1" ht="41.25" customHeight="1" x14ac:dyDescent="0.3">
      <c r="A1" s="6" t="s">
        <v>0</v>
      </c>
      <c r="B1" s="6" t="s">
        <v>14</v>
      </c>
      <c r="C1" s="6" t="s">
        <v>142</v>
      </c>
    </row>
    <row r="2" spans="1:3" ht="63" x14ac:dyDescent="0.25">
      <c r="A2" s="5">
        <v>380052001</v>
      </c>
      <c r="B2" s="5" t="s">
        <v>650</v>
      </c>
      <c r="C2" s="23" t="s">
        <v>660</v>
      </c>
    </row>
    <row r="3" spans="1:3" x14ac:dyDescent="0.25">
      <c r="A3" s="5">
        <v>20017500</v>
      </c>
      <c r="B3" s="5" t="s">
        <v>254</v>
      </c>
      <c r="C3" s="5" t="s">
        <v>547</v>
      </c>
    </row>
    <row r="4" spans="1:3" x14ac:dyDescent="0.25">
      <c r="A4" s="5">
        <v>20024000</v>
      </c>
      <c r="B4" s="5" t="s">
        <v>29</v>
      </c>
      <c r="C4" s="23"/>
    </row>
    <row r="5" spans="1:3" ht="31.5" x14ac:dyDescent="0.25">
      <c r="A5" s="11">
        <v>20036600</v>
      </c>
      <c r="B5" s="11" t="s">
        <v>255</v>
      </c>
      <c r="C5" s="11"/>
    </row>
    <row r="6" spans="1:3" x14ac:dyDescent="0.25">
      <c r="A6" s="11">
        <v>20036601</v>
      </c>
      <c r="B6" s="11" t="s">
        <v>256</v>
      </c>
      <c r="C6" s="11"/>
    </row>
    <row r="7" spans="1:3" ht="31.5" x14ac:dyDescent="0.25">
      <c r="A7" s="5">
        <v>20053100</v>
      </c>
      <c r="B7" s="5" t="s">
        <v>257</v>
      </c>
      <c r="C7" s="23"/>
    </row>
    <row r="8" spans="1:3" ht="47.25" x14ac:dyDescent="0.25">
      <c r="A8" s="5">
        <v>20053900</v>
      </c>
      <c r="B8" s="5" t="s">
        <v>258</v>
      </c>
      <c r="C8" s="23" t="s">
        <v>558</v>
      </c>
    </row>
    <row r="9" spans="1:3" x14ac:dyDescent="0.25">
      <c r="A9" s="5">
        <v>20089000</v>
      </c>
      <c r="B9" s="5" t="s">
        <v>259</v>
      </c>
      <c r="C9" s="23"/>
    </row>
    <row r="10" spans="1:3" ht="31.5" x14ac:dyDescent="0.25">
      <c r="A10" s="5">
        <v>20096900</v>
      </c>
      <c r="B10" s="5" t="s">
        <v>35</v>
      </c>
      <c r="C10" s="23"/>
    </row>
    <row r="11" spans="1:3" x14ac:dyDescent="0.25">
      <c r="A11" s="5">
        <v>20142000</v>
      </c>
      <c r="B11" s="5" t="s">
        <v>156</v>
      </c>
      <c r="C11" s="23" t="s">
        <v>559</v>
      </c>
    </row>
    <row r="12" spans="1:3" ht="31.5" x14ac:dyDescent="0.25">
      <c r="A12" s="5">
        <v>20174400</v>
      </c>
      <c r="B12" s="5" t="s">
        <v>260</v>
      </c>
      <c r="C12" s="23"/>
    </row>
    <row r="13" spans="1:3" ht="31.5" x14ac:dyDescent="0.25">
      <c r="A13" s="5">
        <v>20191900</v>
      </c>
      <c r="B13" s="5" t="s">
        <v>162</v>
      </c>
      <c r="C13" s="23"/>
    </row>
    <row r="14" spans="1:3" x14ac:dyDescent="0.25">
      <c r="A14" s="5">
        <v>20224200</v>
      </c>
      <c r="B14" s="5" t="s">
        <v>261</v>
      </c>
      <c r="C14" s="5"/>
    </row>
    <row r="15" spans="1:3" x14ac:dyDescent="0.25">
      <c r="A15" s="5">
        <v>20234600</v>
      </c>
      <c r="B15" s="5" t="s">
        <v>200</v>
      </c>
      <c r="C15" s="23"/>
    </row>
    <row r="16" spans="1:3" x14ac:dyDescent="0.25">
      <c r="A16" s="5">
        <v>20245000</v>
      </c>
      <c r="B16" s="5" t="s">
        <v>262</v>
      </c>
      <c r="C16" s="23"/>
    </row>
    <row r="17" spans="1:3" ht="63" x14ac:dyDescent="0.25">
      <c r="A17" s="5">
        <v>20282200</v>
      </c>
      <c r="B17" s="5" t="s">
        <v>50</v>
      </c>
      <c r="C17" s="5" t="s">
        <v>560</v>
      </c>
    </row>
    <row r="18" spans="1:3" x14ac:dyDescent="0.25">
      <c r="A18" s="5">
        <v>20282300</v>
      </c>
      <c r="B18" s="5" t="s">
        <v>163</v>
      </c>
      <c r="C18" s="23"/>
    </row>
    <row r="19" spans="1:3" ht="31.5" x14ac:dyDescent="0.25">
      <c r="A19" s="5">
        <v>20286200</v>
      </c>
      <c r="B19" s="5" t="s">
        <v>164</v>
      </c>
      <c r="C19" s="23"/>
    </row>
    <row r="20" spans="1:3" ht="31.5" x14ac:dyDescent="0.25">
      <c r="A20" s="5">
        <v>20288100</v>
      </c>
      <c r="B20" s="5" t="s">
        <v>51</v>
      </c>
      <c r="C20" s="5"/>
    </row>
    <row r="21" spans="1:3" x14ac:dyDescent="0.25">
      <c r="A21" s="5">
        <v>20299400</v>
      </c>
      <c r="B21" s="5" t="s">
        <v>263</v>
      </c>
      <c r="C21" s="23"/>
    </row>
    <row r="22" spans="1:3" ht="110.25" x14ac:dyDescent="0.25">
      <c r="A22" s="5">
        <v>20304900</v>
      </c>
      <c r="B22" s="5" t="s">
        <v>202</v>
      </c>
      <c r="C22" s="23" t="s">
        <v>562</v>
      </c>
    </row>
    <row r="23" spans="1:3" ht="78.75" x14ac:dyDescent="0.25">
      <c r="A23" s="5">
        <v>20314900</v>
      </c>
      <c r="B23" s="5" t="s">
        <v>165</v>
      </c>
      <c r="C23" s="23" t="s">
        <v>561</v>
      </c>
    </row>
    <row r="24" spans="1:3" ht="31.5" x14ac:dyDescent="0.25">
      <c r="A24" s="5">
        <v>60008000</v>
      </c>
      <c r="B24" s="5" t="s">
        <v>204</v>
      </c>
      <c r="C24" s="5"/>
    </row>
    <row r="25" spans="1:3" ht="31.5" x14ac:dyDescent="0.25">
      <c r="A25" s="5">
        <v>60011700</v>
      </c>
      <c r="B25" s="5" t="s">
        <v>52</v>
      </c>
      <c r="C25" s="23"/>
    </row>
    <row r="26" spans="1:3" ht="31.5" x14ac:dyDescent="0.25">
      <c r="A26" s="5">
        <v>60021000</v>
      </c>
      <c r="B26" s="5" t="s">
        <v>206</v>
      </c>
      <c r="C26" s="23"/>
    </row>
    <row r="27" spans="1:3" ht="31.5" x14ac:dyDescent="0.25">
      <c r="A27" s="5">
        <v>60021900</v>
      </c>
      <c r="B27" s="5" t="s">
        <v>264</v>
      </c>
      <c r="C27" s="23"/>
    </row>
    <row r="28" spans="1:3" ht="47.25" x14ac:dyDescent="0.25">
      <c r="A28" s="5">
        <v>60067400</v>
      </c>
      <c r="B28" s="5" t="s">
        <v>55</v>
      </c>
      <c r="C28" s="5" t="s">
        <v>527</v>
      </c>
    </row>
    <row r="29" spans="1:3" ht="31.5" x14ac:dyDescent="0.25">
      <c r="A29" s="11">
        <v>60128300</v>
      </c>
      <c r="B29" s="11" t="s">
        <v>265</v>
      </c>
      <c r="C29" s="11"/>
    </row>
    <row r="30" spans="1:3" ht="31.5" x14ac:dyDescent="0.25">
      <c r="A30" s="5">
        <v>60167400</v>
      </c>
      <c r="B30" s="5" t="s">
        <v>266</v>
      </c>
      <c r="C30" s="23"/>
    </row>
    <row r="31" spans="1:3" ht="31.5" x14ac:dyDescent="0.25">
      <c r="A31" s="5">
        <v>60233900</v>
      </c>
      <c r="B31" s="5" t="s">
        <v>267</v>
      </c>
      <c r="C31" s="23"/>
    </row>
    <row r="32" spans="1:3" x14ac:dyDescent="0.25">
      <c r="A32" s="5">
        <v>60270200</v>
      </c>
      <c r="B32" s="5" t="s">
        <v>58</v>
      </c>
      <c r="C32" s="23"/>
    </row>
    <row r="33" spans="1:3" x14ac:dyDescent="0.25">
      <c r="A33" s="5">
        <v>60339300</v>
      </c>
      <c r="B33" s="5" t="s">
        <v>59</v>
      </c>
      <c r="C33" s="23"/>
    </row>
    <row r="34" spans="1:3" x14ac:dyDescent="0.25">
      <c r="A34" s="5">
        <v>60433000</v>
      </c>
      <c r="B34" s="5" t="s">
        <v>160</v>
      </c>
      <c r="C34" s="23"/>
    </row>
    <row r="35" spans="1:3" ht="31.5" x14ac:dyDescent="0.25">
      <c r="A35" s="5">
        <v>60442300</v>
      </c>
      <c r="B35" s="5" t="s">
        <v>268</v>
      </c>
      <c r="C35" s="23"/>
    </row>
    <row r="36" spans="1:3" ht="31.5" x14ac:dyDescent="0.25">
      <c r="A36" s="5">
        <v>60563100</v>
      </c>
      <c r="B36" s="5" t="s">
        <v>60</v>
      </c>
      <c r="C36" s="23"/>
    </row>
    <row r="37" spans="1:3" ht="31.5" x14ac:dyDescent="0.25">
      <c r="A37" s="5">
        <v>60574400</v>
      </c>
      <c r="B37" s="5" t="s">
        <v>61</v>
      </c>
      <c r="C37" s="23"/>
    </row>
    <row r="38" spans="1:3" ht="47.25" x14ac:dyDescent="0.25">
      <c r="A38" s="5">
        <v>60595200</v>
      </c>
      <c r="B38" s="5" t="s">
        <v>166</v>
      </c>
      <c r="C38" s="23" t="s">
        <v>452</v>
      </c>
    </row>
    <row r="39" spans="1:3" ht="63" x14ac:dyDescent="0.25">
      <c r="A39" s="5">
        <v>60595600</v>
      </c>
      <c r="B39" s="5" t="s">
        <v>167</v>
      </c>
      <c r="C39" s="23" t="s">
        <v>453</v>
      </c>
    </row>
    <row r="40" spans="1:3" ht="78.75" x14ac:dyDescent="0.25">
      <c r="A40" s="5">
        <v>60596500</v>
      </c>
      <c r="B40" s="5" t="s">
        <v>62</v>
      </c>
      <c r="C40" s="23" t="s">
        <v>454</v>
      </c>
    </row>
    <row r="41" spans="1:3" ht="78.75" x14ac:dyDescent="0.25">
      <c r="A41" s="5">
        <v>60596501</v>
      </c>
      <c r="B41" s="5" t="s">
        <v>534</v>
      </c>
      <c r="C41" s="23" t="s">
        <v>535</v>
      </c>
    </row>
    <row r="42" spans="1:3" x14ac:dyDescent="0.25">
      <c r="A42" s="5">
        <v>60610300</v>
      </c>
      <c r="B42" s="5" t="s">
        <v>63</v>
      </c>
      <c r="C42" s="23"/>
    </row>
    <row r="43" spans="1:3" ht="31.5" x14ac:dyDescent="0.25">
      <c r="A43" s="24">
        <v>60611700</v>
      </c>
      <c r="B43" s="25" t="s">
        <v>64</v>
      </c>
      <c r="C43" s="25"/>
    </row>
    <row r="44" spans="1:3" ht="47.25" x14ac:dyDescent="0.25">
      <c r="A44" s="5">
        <v>60643100</v>
      </c>
      <c r="B44" s="5" t="s">
        <v>269</v>
      </c>
      <c r="C44" s="23" t="s">
        <v>455</v>
      </c>
    </row>
    <row r="45" spans="1:3" ht="31.5" x14ac:dyDescent="0.25">
      <c r="A45" s="5">
        <v>60652600</v>
      </c>
      <c r="B45" s="5" t="s">
        <v>65</v>
      </c>
      <c r="C45" s="23"/>
    </row>
    <row r="46" spans="1:3" ht="31.5" x14ac:dyDescent="0.25">
      <c r="A46" s="5">
        <v>60661000</v>
      </c>
      <c r="B46" s="5" t="s">
        <v>66</v>
      </c>
      <c r="C46" s="23"/>
    </row>
    <row r="47" spans="1:3" x14ac:dyDescent="0.25">
      <c r="A47" s="5">
        <v>60670900</v>
      </c>
      <c r="B47" s="5" t="s">
        <v>67</v>
      </c>
      <c r="C47" s="23"/>
    </row>
    <row r="48" spans="1:3" ht="31.5" x14ac:dyDescent="0.25">
      <c r="A48" s="5">
        <v>60691500</v>
      </c>
      <c r="B48" s="5" t="s">
        <v>270</v>
      </c>
      <c r="C48" s="23"/>
    </row>
    <row r="49" spans="1:3" ht="31.5" x14ac:dyDescent="0.25">
      <c r="A49" s="5">
        <v>60702400</v>
      </c>
      <c r="B49" s="5" t="s">
        <v>271</v>
      </c>
      <c r="C49" s="23"/>
    </row>
    <row r="50" spans="1:3" x14ac:dyDescent="0.25">
      <c r="A50" s="5">
        <v>60738300</v>
      </c>
      <c r="B50" s="5" t="s">
        <v>68</v>
      </c>
      <c r="C50" s="23" t="s">
        <v>498</v>
      </c>
    </row>
    <row r="51" spans="1:3" ht="31.5" x14ac:dyDescent="0.25">
      <c r="A51" s="5">
        <v>60767300</v>
      </c>
      <c r="B51" s="5" t="s">
        <v>272</v>
      </c>
      <c r="C51" s="23"/>
    </row>
    <row r="52" spans="1:3" ht="31.5" x14ac:dyDescent="0.25">
      <c r="A52" s="5">
        <v>60770900</v>
      </c>
      <c r="B52" s="5" t="s">
        <v>273</v>
      </c>
      <c r="C52" s="5"/>
    </row>
    <row r="53" spans="1:3" x14ac:dyDescent="0.25">
      <c r="A53" s="5">
        <v>60778000</v>
      </c>
      <c r="B53" s="5" t="s">
        <v>69</v>
      </c>
      <c r="C53" s="23"/>
    </row>
    <row r="54" spans="1:3" x14ac:dyDescent="0.25">
      <c r="A54" s="5">
        <v>60786800</v>
      </c>
      <c r="B54" s="5" t="s">
        <v>70</v>
      </c>
      <c r="C54" s="23"/>
    </row>
    <row r="55" spans="1:3" ht="31.5" x14ac:dyDescent="0.25">
      <c r="A55" s="11">
        <v>60791000</v>
      </c>
      <c r="B55" s="11" t="s">
        <v>168</v>
      </c>
      <c r="C55" s="11"/>
    </row>
    <row r="56" spans="1:3" ht="31.5" x14ac:dyDescent="0.25">
      <c r="A56" s="5">
        <v>60797800</v>
      </c>
      <c r="B56" s="5" t="s">
        <v>71</v>
      </c>
      <c r="C56" s="5" t="s">
        <v>499</v>
      </c>
    </row>
    <row r="57" spans="1:3" ht="31.5" x14ac:dyDescent="0.25">
      <c r="A57" s="5">
        <v>60798600</v>
      </c>
      <c r="B57" s="5" t="s">
        <v>161</v>
      </c>
      <c r="C57" s="5"/>
    </row>
    <row r="58" spans="1:3" ht="63" x14ac:dyDescent="0.25">
      <c r="A58" s="5">
        <v>60799700</v>
      </c>
      <c r="B58" s="5" t="s">
        <v>274</v>
      </c>
      <c r="C58" s="23" t="s">
        <v>538</v>
      </c>
    </row>
    <row r="59" spans="1:3" ht="94.5" x14ac:dyDescent="0.25">
      <c r="A59" s="5">
        <v>60807100</v>
      </c>
      <c r="B59" s="5" t="s">
        <v>72</v>
      </c>
      <c r="C59" s="23" t="s">
        <v>457</v>
      </c>
    </row>
    <row r="60" spans="1:3" ht="47.25" x14ac:dyDescent="0.25">
      <c r="A60" s="5">
        <v>60831300</v>
      </c>
      <c r="B60" s="5" t="s">
        <v>275</v>
      </c>
      <c r="C60" s="23"/>
    </row>
    <row r="61" spans="1:3" ht="31.5" x14ac:dyDescent="0.25">
      <c r="A61" s="5">
        <v>60845900</v>
      </c>
      <c r="B61" s="5" t="s">
        <v>276</v>
      </c>
      <c r="C61" s="23" t="s">
        <v>456</v>
      </c>
    </row>
    <row r="62" spans="1:3" ht="31.5" x14ac:dyDescent="0.25">
      <c r="A62" s="5">
        <v>60863000</v>
      </c>
      <c r="B62" s="5" t="s">
        <v>73</v>
      </c>
      <c r="C62" s="23"/>
    </row>
    <row r="63" spans="1:3" ht="31.5" x14ac:dyDescent="0.25">
      <c r="A63" s="5">
        <v>60877900</v>
      </c>
      <c r="B63" s="5" t="s">
        <v>155</v>
      </c>
      <c r="C63" s="23"/>
    </row>
    <row r="64" spans="1:3" x14ac:dyDescent="0.25">
      <c r="A64" s="5">
        <v>60909700</v>
      </c>
      <c r="B64" s="5" t="s">
        <v>74</v>
      </c>
      <c r="C64" s="5"/>
    </row>
    <row r="65" spans="1:3" x14ac:dyDescent="0.25">
      <c r="A65" s="5">
        <v>60932500</v>
      </c>
      <c r="B65" s="5" t="s">
        <v>75</v>
      </c>
      <c r="C65" s="23"/>
    </row>
    <row r="66" spans="1:3" ht="31.5" x14ac:dyDescent="0.25">
      <c r="A66" s="5">
        <v>60950000</v>
      </c>
      <c r="B66" s="5" t="s">
        <v>277</v>
      </c>
      <c r="C66" s="23" t="s">
        <v>417</v>
      </c>
    </row>
    <row r="67" spans="1:3" ht="31.5" x14ac:dyDescent="0.25">
      <c r="A67" s="5">
        <v>60956100</v>
      </c>
      <c r="B67" s="5" t="s">
        <v>278</v>
      </c>
      <c r="C67" s="23"/>
    </row>
    <row r="68" spans="1:3" ht="31.5" x14ac:dyDescent="0.25">
      <c r="A68" s="5">
        <v>60982700</v>
      </c>
      <c r="B68" s="5" t="s">
        <v>76</v>
      </c>
      <c r="C68" s="23"/>
    </row>
    <row r="69" spans="1:3" x14ac:dyDescent="0.25">
      <c r="A69" s="5">
        <v>61045600</v>
      </c>
      <c r="B69" s="5" t="s">
        <v>77</v>
      </c>
      <c r="C69" s="23"/>
    </row>
    <row r="70" spans="1:3" ht="31.5" x14ac:dyDescent="0.25">
      <c r="A70" s="24">
        <v>61128600</v>
      </c>
      <c r="B70" s="25" t="s">
        <v>279</v>
      </c>
      <c r="C70" s="26"/>
    </row>
    <row r="71" spans="1:3" ht="31.5" x14ac:dyDescent="0.25">
      <c r="A71" s="5">
        <v>61172600</v>
      </c>
      <c r="B71" s="5" t="s">
        <v>280</v>
      </c>
      <c r="C71" s="23"/>
    </row>
    <row r="72" spans="1:3" ht="31.5" x14ac:dyDescent="0.25">
      <c r="A72" s="5">
        <v>61185300</v>
      </c>
      <c r="B72" s="5" t="s">
        <v>281</v>
      </c>
      <c r="C72" s="23"/>
    </row>
    <row r="73" spans="1:3" ht="47.25" x14ac:dyDescent="0.25">
      <c r="A73" s="5">
        <v>61190300</v>
      </c>
      <c r="B73" s="5" t="s">
        <v>78</v>
      </c>
      <c r="C73" s="23" t="s">
        <v>418</v>
      </c>
    </row>
    <row r="74" spans="1:3" ht="47.25" x14ac:dyDescent="0.25">
      <c r="A74" s="5">
        <v>61190700</v>
      </c>
      <c r="B74" s="5" t="s">
        <v>79</v>
      </c>
      <c r="C74" s="23" t="s">
        <v>536</v>
      </c>
    </row>
    <row r="75" spans="1:3" ht="31.5" x14ac:dyDescent="0.25">
      <c r="A75" s="5">
        <v>61233400</v>
      </c>
      <c r="B75" s="5" t="s">
        <v>80</v>
      </c>
      <c r="C75" s="23"/>
    </row>
    <row r="76" spans="1:3" ht="31.5" x14ac:dyDescent="0.25">
      <c r="A76" s="5">
        <v>61288800</v>
      </c>
      <c r="B76" s="5" t="s">
        <v>282</v>
      </c>
      <c r="C76" s="23"/>
    </row>
    <row r="77" spans="1:3" x14ac:dyDescent="0.25">
      <c r="A77" s="5">
        <v>61302600</v>
      </c>
      <c r="B77" s="5" t="s">
        <v>81</v>
      </c>
      <c r="C77" s="23"/>
    </row>
    <row r="78" spans="1:3" ht="31.5" x14ac:dyDescent="0.25">
      <c r="A78" s="5">
        <v>61337200</v>
      </c>
      <c r="B78" s="5" t="s">
        <v>283</v>
      </c>
      <c r="C78" s="23"/>
    </row>
    <row r="79" spans="1:3" ht="31.5" x14ac:dyDescent="0.25">
      <c r="A79" s="5">
        <v>61375800</v>
      </c>
      <c r="B79" s="5" t="s">
        <v>82</v>
      </c>
      <c r="C79" s="23" t="s">
        <v>419</v>
      </c>
    </row>
    <row r="80" spans="1:3" ht="78.75" x14ac:dyDescent="0.25">
      <c r="A80" s="5">
        <v>61377800</v>
      </c>
      <c r="B80" s="5" t="s">
        <v>83</v>
      </c>
      <c r="C80" s="23" t="s">
        <v>421</v>
      </c>
    </row>
    <row r="81" spans="1:3" ht="31.5" x14ac:dyDescent="0.25">
      <c r="A81" s="5">
        <v>61578100</v>
      </c>
      <c r="B81" s="5" t="s">
        <v>284</v>
      </c>
      <c r="C81" s="5"/>
    </row>
    <row r="82" spans="1:3" x14ac:dyDescent="0.25">
      <c r="A82" s="5">
        <v>61613900</v>
      </c>
      <c r="B82" s="5" t="s">
        <v>84</v>
      </c>
      <c r="C82" s="23"/>
    </row>
    <row r="83" spans="1:3" x14ac:dyDescent="0.25">
      <c r="A83" s="5">
        <v>62056100</v>
      </c>
      <c r="B83" s="5" t="s">
        <v>85</v>
      </c>
      <c r="C83" s="23"/>
    </row>
    <row r="84" spans="1:3" ht="31.5" x14ac:dyDescent="0.25">
      <c r="A84" s="5">
        <v>62111300</v>
      </c>
      <c r="B84" s="5" t="s">
        <v>86</v>
      </c>
      <c r="C84" s="23" t="s">
        <v>422</v>
      </c>
    </row>
    <row r="85" spans="1:3" ht="31.5" x14ac:dyDescent="0.25">
      <c r="A85" s="5">
        <v>62210300</v>
      </c>
      <c r="B85" s="5" t="s">
        <v>285</v>
      </c>
      <c r="C85" s="23" t="s">
        <v>500</v>
      </c>
    </row>
    <row r="86" spans="1:3" ht="47.25" x14ac:dyDescent="0.25">
      <c r="A86" s="5">
        <v>62210301</v>
      </c>
      <c r="B86" s="5" t="s">
        <v>286</v>
      </c>
      <c r="C86" s="23" t="s">
        <v>500</v>
      </c>
    </row>
    <row r="87" spans="1:3" ht="47.25" x14ac:dyDescent="0.25">
      <c r="A87" s="5">
        <v>62210302</v>
      </c>
      <c r="B87" s="5" t="s">
        <v>287</v>
      </c>
      <c r="C87" s="23" t="s">
        <v>500</v>
      </c>
    </row>
    <row r="88" spans="1:3" ht="47.25" x14ac:dyDescent="0.25">
      <c r="A88" s="5">
        <v>62210303</v>
      </c>
      <c r="B88" s="5" t="s">
        <v>288</v>
      </c>
      <c r="C88" s="23" t="s">
        <v>500</v>
      </c>
    </row>
    <row r="89" spans="1:3" ht="47.25" x14ac:dyDescent="0.25">
      <c r="A89" s="5">
        <v>62210304</v>
      </c>
      <c r="B89" s="5" t="s">
        <v>289</v>
      </c>
      <c r="C89" s="23" t="s">
        <v>500</v>
      </c>
    </row>
    <row r="90" spans="1:3" ht="47.25" x14ac:dyDescent="0.25">
      <c r="A90" s="5">
        <v>62210305</v>
      </c>
      <c r="B90" s="5" t="s">
        <v>290</v>
      </c>
      <c r="C90" s="23" t="s">
        <v>500</v>
      </c>
    </row>
    <row r="91" spans="1:3" ht="47.25" x14ac:dyDescent="0.25">
      <c r="A91" s="5">
        <v>62210306</v>
      </c>
      <c r="B91" s="5" t="s">
        <v>291</v>
      </c>
      <c r="C91" s="23" t="s">
        <v>500</v>
      </c>
    </row>
    <row r="92" spans="1:3" ht="47.25" x14ac:dyDescent="0.25">
      <c r="A92" s="5">
        <v>62210307</v>
      </c>
      <c r="B92" s="5" t="s">
        <v>292</v>
      </c>
      <c r="C92" s="23" t="s">
        <v>500</v>
      </c>
    </row>
    <row r="93" spans="1:3" ht="47.25" x14ac:dyDescent="0.25">
      <c r="A93" s="5">
        <v>62210308</v>
      </c>
      <c r="B93" s="5" t="s">
        <v>293</v>
      </c>
      <c r="C93" s="23" t="s">
        <v>500</v>
      </c>
    </row>
    <row r="94" spans="1:3" ht="47.25" x14ac:dyDescent="0.25">
      <c r="A94" s="5">
        <v>62210309</v>
      </c>
      <c r="B94" s="5" t="s">
        <v>294</v>
      </c>
      <c r="C94" s="23" t="s">
        <v>500</v>
      </c>
    </row>
    <row r="95" spans="1:3" ht="47.25" x14ac:dyDescent="0.25">
      <c r="A95" s="5">
        <v>62210310</v>
      </c>
      <c r="B95" s="5" t="s">
        <v>295</v>
      </c>
      <c r="C95" s="23" t="s">
        <v>500</v>
      </c>
    </row>
    <row r="96" spans="1:3" ht="47.25" x14ac:dyDescent="0.25">
      <c r="A96" s="5">
        <v>62210311</v>
      </c>
      <c r="B96" s="5" t="s">
        <v>296</v>
      </c>
      <c r="C96" s="23" t="s">
        <v>500</v>
      </c>
    </row>
    <row r="97" spans="1:3" ht="47.25" x14ac:dyDescent="0.25">
      <c r="A97" s="5">
        <v>62210312</v>
      </c>
      <c r="B97" s="5" t="s">
        <v>297</v>
      </c>
      <c r="C97" s="23" t="s">
        <v>500</v>
      </c>
    </row>
    <row r="98" spans="1:3" x14ac:dyDescent="0.25">
      <c r="A98" s="5">
        <v>62230000</v>
      </c>
      <c r="B98" s="5" t="s">
        <v>89</v>
      </c>
      <c r="C98" s="23" t="s">
        <v>537</v>
      </c>
    </row>
    <row r="99" spans="1:3" x14ac:dyDescent="0.25">
      <c r="A99" s="5">
        <v>62238400</v>
      </c>
      <c r="B99" s="5" t="s">
        <v>90</v>
      </c>
      <c r="C99" s="23"/>
    </row>
    <row r="100" spans="1:3" x14ac:dyDescent="0.25">
      <c r="A100" s="5">
        <v>62242300</v>
      </c>
      <c r="B100" s="5" t="s">
        <v>91</v>
      </c>
      <c r="C100" s="23"/>
    </row>
    <row r="101" spans="1:3" x14ac:dyDescent="0.25">
      <c r="A101" s="5">
        <v>62315000</v>
      </c>
      <c r="B101" s="5" t="s">
        <v>92</v>
      </c>
      <c r="C101" s="23"/>
    </row>
    <row r="102" spans="1:3" x14ac:dyDescent="0.25">
      <c r="A102" s="5">
        <v>62318700</v>
      </c>
      <c r="B102" s="5" t="s">
        <v>93</v>
      </c>
      <c r="C102" s="23"/>
    </row>
    <row r="103" spans="1:3" ht="31.5" x14ac:dyDescent="0.25">
      <c r="A103" s="27">
        <v>62319200</v>
      </c>
      <c r="B103" s="27" t="s">
        <v>648</v>
      </c>
      <c r="C103" s="28" t="s">
        <v>649</v>
      </c>
    </row>
    <row r="104" spans="1:3" ht="31.5" x14ac:dyDescent="0.25">
      <c r="A104" s="5">
        <v>62326400</v>
      </c>
      <c r="B104" s="5" t="s">
        <v>94</v>
      </c>
      <c r="C104" s="23" t="s">
        <v>423</v>
      </c>
    </row>
    <row r="105" spans="1:3" ht="31.5" x14ac:dyDescent="0.25">
      <c r="A105" s="5">
        <v>62327600</v>
      </c>
      <c r="B105" s="5" t="s">
        <v>169</v>
      </c>
      <c r="C105" s="23" t="s">
        <v>424</v>
      </c>
    </row>
    <row r="106" spans="1:3" x14ac:dyDescent="0.25">
      <c r="A106" s="5">
        <v>62341500</v>
      </c>
      <c r="B106" s="5" t="s">
        <v>95</v>
      </c>
      <c r="C106" s="23"/>
    </row>
    <row r="107" spans="1:3" ht="78.75" x14ac:dyDescent="0.25">
      <c r="A107" s="5">
        <v>62385500</v>
      </c>
      <c r="B107" s="5" t="s">
        <v>199</v>
      </c>
      <c r="C107" s="23" t="s">
        <v>526</v>
      </c>
    </row>
    <row r="108" spans="1:3" x14ac:dyDescent="0.25">
      <c r="A108" s="5">
        <v>62420800</v>
      </c>
      <c r="B108" s="5" t="s">
        <v>298</v>
      </c>
      <c r="C108" s="23"/>
    </row>
    <row r="109" spans="1:3" x14ac:dyDescent="0.25">
      <c r="A109" s="5">
        <v>62424000</v>
      </c>
      <c r="B109" s="5" t="s">
        <v>143</v>
      </c>
      <c r="C109" s="23"/>
    </row>
    <row r="110" spans="1:3" x14ac:dyDescent="0.25">
      <c r="A110" s="11">
        <v>100011800</v>
      </c>
      <c r="B110" s="11" t="s">
        <v>637</v>
      </c>
      <c r="C110" s="11"/>
    </row>
    <row r="111" spans="1:3" x14ac:dyDescent="0.25">
      <c r="A111" s="5">
        <v>100024500</v>
      </c>
      <c r="B111" s="5" t="s">
        <v>299</v>
      </c>
      <c r="C111" s="23"/>
    </row>
    <row r="112" spans="1:3" ht="63" x14ac:dyDescent="0.25">
      <c r="A112" s="5">
        <v>100033700</v>
      </c>
      <c r="B112" s="5" t="s">
        <v>634</v>
      </c>
      <c r="C112" s="23" t="s">
        <v>635</v>
      </c>
    </row>
    <row r="113" spans="1:3" ht="31.5" x14ac:dyDescent="0.25">
      <c r="A113" s="5">
        <v>100042200</v>
      </c>
      <c r="B113" s="5" t="s">
        <v>300</v>
      </c>
      <c r="C113" s="23"/>
    </row>
    <row r="114" spans="1:3" ht="31.5" x14ac:dyDescent="0.25">
      <c r="A114" s="5">
        <v>100042201</v>
      </c>
      <c r="B114" s="5" t="s">
        <v>301</v>
      </c>
      <c r="C114" s="23"/>
    </row>
    <row r="115" spans="1:3" ht="31.5" x14ac:dyDescent="0.25">
      <c r="A115" s="5">
        <v>100042202</v>
      </c>
      <c r="B115" s="5" t="s">
        <v>636</v>
      </c>
      <c r="C115" s="23"/>
    </row>
    <row r="116" spans="1:3" ht="31.5" x14ac:dyDescent="0.25">
      <c r="A116" s="5">
        <v>100062700</v>
      </c>
      <c r="B116" s="5" t="s">
        <v>96</v>
      </c>
      <c r="C116" s="23" t="s">
        <v>483</v>
      </c>
    </row>
    <row r="117" spans="1:3" x14ac:dyDescent="0.25">
      <c r="A117" s="5">
        <v>100073500</v>
      </c>
      <c r="B117" s="5" t="s">
        <v>97</v>
      </c>
      <c r="C117" s="23"/>
    </row>
    <row r="118" spans="1:3" x14ac:dyDescent="0.25">
      <c r="A118" s="5">
        <v>100089900</v>
      </c>
      <c r="B118" s="5" t="s">
        <v>302</v>
      </c>
      <c r="C118" s="23"/>
    </row>
    <row r="119" spans="1:3" x14ac:dyDescent="0.25">
      <c r="A119" s="5">
        <v>140068803</v>
      </c>
      <c r="B119" s="5" t="s">
        <v>31</v>
      </c>
      <c r="C119" s="23"/>
    </row>
    <row r="120" spans="1:3" x14ac:dyDescent="0.25">
      <c r="A120" s="5">
        <v>140068803</v>
      </c>
      <c r="B120" s="5" t="s">
        <v>31</v>
      </c>
      <c r="C120" s="23"/>
    </row>
    <row r="121" spans="1:3" x14ac:dyDescent="0.25">
      <c r="A121" s="5">
        <v>140233600</v>
      </c>
      <c r="B121" s="5" t="s">
        <v>98</v>
      </c>
      <c r="C121" s="23"/>
    </row>
    <row r="122" spans="1:3" x14ac:dyDescent="0.25">
      <c r="A122" s="5">
        <v>140240300</v>
      </c>
      <c r="B122" s="5" t="s">
        <v>170</v>
      </c>
      <c r="C122" s="23" t="s">
        <v>376</v>
      </c>
    </row>
    <row r="123" spans="1:3" x14ac:dyDescent="0.25">
      <c r="A123" s="5">
        <v>140253500</v>
      </c>
      <c r="B123" s="5" t="s">
        <v>303</v>
      </c>
      <c r="C123" s="23"/>
    </row>
    <row r="124" spans="1:3" x14ac:dyDescent="0.25">
      <c r="A124" s="5">
        <v>140253500</v>
      </c>
      <c r="B124" s="5" t="s">
        <v>303</v>
      </c>
      <c r="C124" s="23"/>
    </row>
    <row r="125" spans="1:3" x14ac:dyDescent="0.25">
      <c r="A125" s="5">
        <v>140253504</v>
      </c>
      <c r="B125" s="5" t="s">
        <v>304</v>
      </c>
      <c r="C125" s="23"/>
    </row>
    <row r="126" spans="1:3" x14ac:dyDescent="0.25">
      <c r="A126" s="5">
        <v>140253504</v>
      </c>
      <c r="B126" s="5" t="s">
        <v>304</v>
      </c>
      <c r="C126" s="23"/>
    </row>
    <row r="127" spans="1:3" ht="31.5" x14ac:dyDescent="0.25">
      <c r="A127" s="5">
        <v>140261700</v>
      </c>
      <c r="B127" s="5" t="s">
        <v>305</v>
      </c>
      <c r="C127" s="23" t="s">
        <v>387</v>
      </c>
    </row>
    <row r="128" spans="1:3" ht="31.5" x14ac:dyDescent="0.25">
      <c r="A128" s="5">
        <v>140278801</v>
      </c>
      <c r="B128" s="5" t="s">
        <v>306</v>
      </c>
      <c r="C128" s="23"/>
    </row>
    <row r="129" spans="1:3" x14ac:dyDescent="0.25">
      <c r="A129" s="5">
        <v>140312400</v>
      </c>
      <c r="B129" s="5" t="s">
        <v>171</v>
      </c>
      <c r="C129" s="23"/>
    </row>
    <row r="130" spans="1:3" x14ac:dyDescent="0.25">
      <c r="A130" s="5">
        <v>140319700</v>
      </c>
      <c r="B130" s="5" t="s">
        <v>172</v>
      </c>
      <c r="C130" s="23"/>
    </row>
    <row r="131" spans="1:3" x14ac:dyDescent="0.25">
      <c r="A131" s="5">
        <v>140319700</v>
      </c>
      <c r="B131" s="5" t="s">
        <v>172</v>
      </c>
      <c r="C131" s="23"/>
    </row>
    <row r="132" spans="1:3" ht="47.25" x14ac:dyDescent="0.25">
      <c r="A132" s="5">
        <v>140319900</v>
      </c>
      <c r="B132" s="5" t="s">
        <v>32</v>
      </c>
      <c r="C132" s="23" t="s">
        <v>405</v>
      </c>
    </row>
    <row r="133" spans="1:3" x14ac:dyDescent="0.25">
      <c r="A133" s="5">
        <v>140322200</v>
      </c>
      <c r="B133" s="5" t="s">
        <v>102</v>
      </c>
      <c r="C133" s="23"/>
    </row>
    <row r="134" spans="1:3" x14ac:dyDescent="0.25">
      <c r="A134" s="5">
        <v>140322200</v>
      </c>
      <c r="B134" s="5" t="s">
        <v>102</v>
      </c>
      <c r="C134" s="23"/>
    </row>
    <row r="135" spans="1:3" x14ac:dyDescent="0.25">
      <c r="A135" s="5">
        <v>140333900</v>
      </c>
      <c r="B135" s="5" t="s">
        <v>36</v>
      </c>
      <c r="C135" s="23"/>
    </row>
    <row r="136" spans="1:3" ht="31.5" x14ac:dyDescent="0.25">
      <c r="A136" s="5">
        <v>140337300</v>
      </c>
      <c r="B136" s="5" t="s">
        <v>34</v>
      </c>
      <c r="C136" s="23"/>
    </row>
    <row r="137" spans="1:3" ht="31.5" x14ac:dyDescent="0.25">
      <c r="A137" s="5">
        <v>140337300</v>
      </c>
      <c r="B137" s="5" t="s">
        <v>34</v>
      </c>
      <c r="C137" s="23"/>
    </row>
    <row r="138" spans="1:3" x14ac:dyDescent="0.25">
      <c r="A138" s="5">
        <v>140359300</v>
      </c>
      <c r="B138" s="5" t="s">
        <v>307</v>
      </c>
      <c r="C138" s="23"/>
    </row>
    <row r="139" spans="1:3" x14ac:dyDescent="0.25">
      <c r="A139" s="5">
        <v>140443800</v>
      </c>
      <c r="B139" s="5" t="s">
        <v>308</v>
      </c>
      <c r="C139" s="5"/>
    </row>
    <row r="140" spans="1:3" ht="31.5" x14ac:dyDescent="0.25">
      <c r="A140" s="5">
        <v>140463300</v>
      </c>
      <c r="B140" s="5" t="s">
        <v>227</v>
      </c>
      <c r="C140" s="23" t="s">
        <v>229</v>
      </c>
    </row>
    <row r="141" spans="1:3" x14ac:dyDescent="0.25">
      <c r="A141" s="5">
        <v>140488900</v>
      </c>
      <c r="B141" s="5" t="s">
        <v>309</v>
      </c>
      <c r="C141" s="23"/>
    </row>
    <row r="142" spans="1:3" x14ac:dyDescent="0.25">
      <c r="A142" s="5">
        <v>140510100</v>
      </c>
      <c r="B142" s="5" t="s">
        <v>310</v>
      </c>
      <c r="C142" s="23"/>
    </row>
    <row r="143" spans="1:3" ht="31.5" x14ac:dyDescent="0.25">
      <c r="A143" s="5">
        <v>140510101</v>
      </c>
      <c r="B143" s="5" t="s">
        <v>37</v>
      </c>
      <c r="C143" s="23"/>
    </row>
    <row r="144" spans="1:3" ht="31.5" x14ac:dyDescent="0.25">
      <c r="A144" s="5">
        <v>140510102</v>
      </c>
      <c r="B144" s="5" t="s">
        <v>46</v>
      </c>
      <c r="C144" s="23"/>
    </row>
    <row r="145" spans="1:3" ht="31.5" x14ac:dyDescent="0.25">
      <c r="A145" s="5">
        <v>140510103</v>
      </c>
      <c r="B145" s="5" t="s">
        <v>48</v>
      </c>
      <c r="C145" s="23"/>
    </row>
    <row r="146" spans="1:3" ht="31.5" x14ac:dyDescent="0.25">
      <c r="A146" s="29">
        <v>140510104</v>
      </c>
      <c r="B146" s="29" t="s">
        <v>44</v>
      </c>
      <c r="C146" s="30" t="s">
        <v>587</v>
      </c>
    </row>
    <row r="147" spans="1:3" ht="31.5" x14ac:dyDescent="0.25">
      <c r="A147" s="5">
        <v>140510104</v>
      </c>
      <c r="B147" s="5" t="s">
        <v>44</v>
      </c>
      <c r="C147" s="23"/>
    </row>
    <row r="148" spans="1:3" ht="31.5" x14ac:dyDescent="0.25">
      <c r="A148" s="5">
        <v>140510105</v>
      </c>
      <c r="B148" s="5" t="s">
        <v>47</v>
      </c>
      <c r="C148" s="23"/>
    </row>
    <row r="149" spans="1:3" ht="31.5" x14ac:dyDescent="0.25">
      <c r="A149" s="31">
        <v>140510106</v>
      </c>
      <c r="B149" s="31" t="s">
        <v>38</v>
      </c>
      <c r="C149" s="5"/>
    </row>
    <row r="150" spans="1:3" ht="31.5" x14ac:dyDescent="0.25">
      <c r="A150" s="5">
        <v>140510106</v>
      </c>
      <c r="B150" s="5" t="s">
        <v>38</v>
      </c>
      <c r="C150" s="23"/>
    </row>
    <row r="151" spans="1:3" ht="31.5" x14ac:dyDescent="0.25">
      <c r="A151" s="5">
        <v>140510107</v>
      </c>
      <c r="B151" s="5" t="s">
        <v>49</v>
      </c>
      <c r="C151" s="23"/>
    </row>
    <row r="152" spans="1:3" ht="31.5" x14ac:dyDescent="0.25">
      <c r="A152" s="27">
        <v>140510108</v>
      </c>
      <c r="B152" s="27" t="s">
        <v>203</v>
      </c>
      <c r="C152" s="28"/>
    </row>
    <row r="153" spans="1:3" x14ac:dyDescent="0.25">
      <c r="A153" s="5">
        <v>140510300</v>
      </c>
      <c r="B153" s="5" t="s">
        <v>311</v>
      </c>
      <c r="C153" s="23"/>
    </row>
    <row r="154" spans="1:3" x14ac:dyDescent="0.25">
      <c r="A154" s="5">
        <v>140532900</v>
      </c>
      <c r="B154" s="5" t="s">
        <v>173</v>
      </c>
      <c r="C154" s="23"/>
    </row>
    <row r="155" spans="1:3" x14ac:dyDescent="0.25">
      <c r="A155" s="5">
        <v>140532900</v>
      </c>
      <c r="B155" s="5" t="s">
        <v>173</v>
      </c>
      <c r="C155" s="23"/>
    </row>
    <row r="156" spans="1:3" ht="31.5" x14ac:dyDescent="0.25">
      <c r="A156" s="5">
        <v>140535004</v>
      </c>
      <c r="B156" s="5" t="s">
        <v>312</v>
      </c>
      <c r="C156" s="23" t="s">
        <v>588</v>
      </c>
    </row>
    <row r="157" spans="1:3" ht="31.5" x14ac:dyDescent="0.25">
      <c r="A157" s="5">
        <v>140535004</v>
      </c>
      <c r="B157" s="5" t="s">
        <v>312</v>
      </c>
      <c r="C157" s="23"/>
    </row>
    <row r="158" spans="1:3" x14ac:dyDescent="0.25">
      <c r="A158" s="5">
        <v>140544100</v>
      </c>
      <c r="B158" s="5" t="s">
        <v>104</v>
      </c>
      <c r="C158" s="23"/>
    </row>
    <row r="159" spans="1:3" x14ac:dyDescent="0.25">
      <c r="A159" s="5">
        <v>140544100</v>
      </c>
      <c r="B159" s="5" t="s">
        <v>104</v>
      </c>
      <c r="C159" s="23"/>
    </row>
    <row r="160" spans="1:3" ht="31.5" x14ac:dyDescent="0.25">
      <c r="A160" s="5">
        <v>140544101</v>
      </c>
      <c r="B160" s="5" t="s">
        <v>105</v>
      </c>
      <c r="C160" s="23" t="s">
        <v>589</v>
      </c>
    </row>
    <row r="161" spans="1:3" x14ac:dyDescent="0.25">
      <c r="A161" s="5">
        <v>140544101</v>
      </c>
      <c r="B161" s="5" t="s">
        <v>105</v>
      </c>
      <c r="C161" s="23"/>
    </row>
    <row r="162" spans="1:3" ht="31.5" x14ac:dyDescent="0.25">
      <c r="A162" s="5">
        <v>140544105</v>
      </c>
      <c r="B162" s="5" t="s">
        <v>106</v>
      </c>
      <c r="C162" s="23" t="s">
        <v>590</v>
      </c>
    </row>
    <row r="163" spans="1:3" x14ac:dyDescent="0.25">
      <c r="A163" s="5">
        <v>140544105</v>
      </c>
      <c r="B163" s="5" t="s">
        <v>106</v>
      </c>
      <c r="C163" s="23"/>
    </row>
    <row r="164" spans="1:3" ht="31.5" x14ac:dyDescent="0.25">
      <c r="A164" s="5">
        <v>140544107</v>
      </c>
      <c r="B164" s="5" t="s">
        <v>107</v>
      </c>
      <c r="C164" s="23" t="s">
        <v>591</v>
      </c>
    </row>
    <row r="165" spans="1:3" x14ac:dyDescent="0.25">
      <c r="A165" s="5">
        <v>140544107</v>
      </c>
      <c r="B165" s="5" t="s">
        <v>107</v>
      </c>
      <c r="C165" s="23"/>
    </row>
    <row r="166" spans="1:3" ht="31.5" x14ac:dyDescent="0.25">
      <c r="A166" s="5">
        <v>180041100</v>
      </c>
      <c r="B166" s="5" t="s">
        <v>313</v>
      </c>
      <c r="C166" s="23"/>
    </row>
    <row r="167" spans="1:3" ht="78.75" x14ac:dyDescent="0.25">
      <c r="A167" s="5">
        <v>180121600</v>
      </c>
      <c r="B167" s="5" t="s">
        <v>314</v>
      </c>
      <c r="C167" s="23" t="s">
        <v>612</v>
      </c>
    </row>
    <row r="168" spans="1:3" ht="31.5" x14ac:dyDescent="0.25">
      <c r="A168" s="5">
        <v>180141300</v>
      </c>
      <c r="B168" s="5" t="s">
        <v>315</v>
      </c>
      <c r="C168" s="23"/>
    </row>
    <row r="169" spans="1:3" ht="31.5" x14ac:dyDescent="0.25">
      <c r="A169" s="5">
        <v>180141400</v>
      </c>
      <c r="B169" s="5" t="s">
        <v>316</v>
      </c>
      <c r="C169" s="23"/>
    </row>
    <row r="170" spans="1:3" ht="31.5" x14ac:dyDescent="0.25">
      <c r="A170" s="5">
        <v>180141500</v>
      </c>
      <c r="B170" s="5" t="s">
        <v>317</v>
      </c>
      <c r="C170" s="23"/>
    </row>
    <row r="171" spans="1:3" ht="31.5" x14ac:dyDescent="0.25">
      <c r="A171" s="5">
        <v>180141501</v>
      </c>
      <c r="B171" s="5" t="s">
        <v>109</v>
      </c>
      <c r="C171" s="23"/>
    </row>
    <row r="172" spans="1:3" ht="31.5" x14ac:dyDescent="0.25">
      <c r="A172" s="5">
        <v>180143000</v>
      </c>
      <c r="B172" s="5" t="s">
        <v>318</v>
      </c>
      <c r="C172" s="23"/>
    </row>
    <row r="173" spans="1:3" ht="31.5" x14ac:dyDescent="0.25">
      <c r="A173" s="5">
        <v>180145100</v>
      </c>
      <c r="B173" s="5" t="s">
        <v>110</v>
      </c>
      <c r="C173" s="23"/>
    </row>
    <row r="174" spans="1:3" ht="31.5" x14ac:dyDescent="0.25">
      <c r="A174" s="5">
        <v>180146600</v>
      </c>
      <c r="B174" s="5" t="s">
        <v>319</v>
      </c>
      <c r="C174" s="23"/>
    </row>
    <row r="175" spans="1:3" ht="31.5" x14ac:dyDescent="0.25">
      <c r="A175" s="5">
        <v>180146700</v>
      </c>
      <c r="B175" s="5" t="s">
        <v>320</v>
      </c>
      <c r="C175" s="23"/>
    </row>
    <row r="176" spans="1:3" x14ac:dyDescent="0.25">
      <c r="A176" s="5">
        <v>180176500</v>
      </c>
      <c r="B176" s="5" t="s">
        <v>111</v>
      </c>
      <c r="C176" s="23" t="s">
        <v>623</v>
      </c>
    </row>
    <row r="177" spans="1:3" ht="31.5" x14ac:dyDescent="0.25">
      <c r="A177" s="5">
        <v>180176600</v>
      </c>
      <c r="B177" s="5" t="s">
        <v>321</v>
      </c>
      <c r="C177" s="5"/>
    </row>
    <row r="178" spans="1:3" ht="141.75" x14ac:dyDescent="0.25">
      <c r="A178" s="11">
        <v>180182900</v>
      </c>
      <c r="B178" s="11" t="s">
        <v>112</v>
      </c>
      <c r="C178" s="11" t="s">
        <v>602</v>
      </c>
    </row>
    <row r="179" spans="1:3" ht="31.5" x14ac:dyDescent="0.25">
      <c r="A179" s="5">
        <v>220089900</v>
      </c>
      <c r="B179" s="5" t="s">
        <v>39</v>
      </c>
      <c r="C179" s="5" t="s">
        <v>408</v>
      </c>
    </row>
    <row r="180" spans="1:3" ht="31.5" x14ac:dyDescent="0.25">
      <c r="A180" s="5">
        <v>220089901</v>
      </c>
      <c r="B180" s="5" t="s">
        <v>322</v>
      </c>
      <c r="C180" s="5" t="s">
        <v>408</v>
      </c>
    </row>
    <row r="181" spans="1:3" ht="31.5" x14ac:dyDescent="0.25">
      <c r="A181" s="5">
        <v>220089902</v>
      </c>
      <c r="B181" s="5" t="s">
        <v>40</v>
      </c>
      <c r="C181" s="5" t="s">
        <v>409</v>
      </c>
    </row>
    <row r="182" spans="1:3" ht="31.5" x14ac:dyDescent="0.25">
      <c r="A182" s="5">
        <v>220089903</v>
      </c>
      <c r="B182" s="5" t="s">
        <v>41</v>
      </c>
      <c r="C182" s="32" t="s">
        <v>409</v>
      </c>
    </row>
    <row r="183" spans="1:3" ht="31.5" x14ac:dyDescent="0.25">
      <c r="A183" s="5">
        <v>220089904</v>
      </c>
      <c r="B183" s="5" t="s">
        <v>42</v>
      </c>
      <c r="C183" s="32" t="s">
        <v>409</v>
      </c>
    </row>
    <row r="184" spans="1:3" ht="31.5" x14ac:dyDescent="0.25">
      <c r="A184" s="5">
        <v>220089905</v>
      </c>
      <c r="B184" s="5" t="s">
        <v>43</v>
      </c>
      <c r="C184" s="5" t="s">
        <v>409</v>
      </c>
    </row>
    <row r="185" spans="1:3" ht="31.5" x14ac:dyDescent="0.25">
      <c r="A185" s="5">
        <v>220089907</v>
      </c>
      <c r="B185" s="5" t="s">
        <v>323</v>
      </c>
      <c r="C185" s="5" t="s">
        <v>409</v>
      </c>
    </row>
    <row r="186" spans="1:3" ht="31.5" x14ac:dyDescent="0.25">
      <c r="A186" s="5">
        <v>220089908</v>
      </c>
      <c r="B186" s="5" t="s">
        <v>324</v>
      </c>
      <c r="C186" s="5" t="s">
        <v>409</v>
      </c>
    </row>
    <row r="187" spans="1:3" ht="31.5" x14ac:dyDescent="0.25">
      <c r="A187" s="5">
        <v>220089909</v>
      </c>
      <c r="B187" s="5" t="s">
        <v>325</v>
      </c>
      <c r="C187" s="5" t="s">
        <v>409</v>
      </c>
    </row>
    <row r="188" spans="1:3" ht="31.5" x14ac:dyDescent="0.25">
      <c r="A188" s="5">
        <v>220089910</v>
      </c>
      <c r="B188" s="5" t="s">
        <v>410</v>
      </c>
      <c r="C188" s="5"/>
    </row>
    <row r="189" spans="1:3" ht="31.5" x14ac:dyDescent="0.25">
      <c r="A189" s="5">
        <v>220089911</v>
      </c>
      <c r="B189" s="5" t="s">
        <v>411</v>
      </c>
      <c r="C189" s="5" t="s">
        <v>409</v>
      </c>
    </row>
    <row r="190" spans="1:3" ht="31.5" x14ac:dyDescent="0.25">
      <c r="A190" s="5">
        <v>260061100</v>
      </c>
      <c r="B190" s="5" t="s">
        <v>174</v>
      </c>
      <c r="C190" s="23"/>
    </row>
    <row r="191" spans="1:3" ht="31.5" x14ac:dyDescent="0.25">
      <c r="A191" s="5">
        <v>260061101</v>
      </c>
      <c r="B191" s="5" t="s">
        <v>174</v>
      </c>
      <c r="C191" s="5"/>
    </row>
    <row r="192" spans="1:3" ht="31.5" x14ac:dyDescent="0.25">
      <c r="A192" s="5">
        <v>300029300</v>
      </c>
      <c r="B192" s="5" t="s">
        <v>230</v>
      </c>
      <c r="C192" s="23"/>
    </row>
    <row r="193" spans="1:3" ht="31.5" x14ac:dyDescent="0.25">
      <c r="A193" s="5">
        <v>300029300</v>
      </c>
      <c r="B193" s="5" t="s">
        <v>230</v>
      </c>
      <c r="C193" s="23"/>
    </row>
    <row r="194" spans="1:3" ht="31.5" x14ac:dyDescent="0.25">
      <c r="A194" s="5">
        <v>300029300</v>
      </c>
      <c r="B194" s="5" t="s">
        <v>230</v>
      </c>
      <c r="C194" s="23"/>
    </row>
    <row r="195" spans="1:3" x14ac:dyDescent="0.25">
      <c r="A195" s="5">
        <v>300078400</v>
      </c>
      <c r="B195" s="5" t="s">
        <v>326</v>
      </c>
      <c r="C195" s="23"/>
    </row>
    <row r="196" spans="1:3" ht="31.5" x14ac:dyDescent="0.25">
      <c r="A196" s="5">
        <v>300122100</v>
      </c>
      <c r="B196" s="5" t="s">
        <v>327</v>
      </c>
      <c r="C196" s="23"/>
    </row>
    <row r="197" spans="1:3" ht="63" x14ac:dyDescent="0.25">
      <c r="A197" s="5">
        <v>300129700</v>
      </c>
      <c r="B197" s="5" t="s">
        <v>159</v>
      </c>
      <c r="C197" s="5" t="s">
        <v>518</v>
      </c>
    </row>
    <row r="198" spans="1:3" x14ac:dyDescent="0.25">
      <c r="A198" s="5">
        <v>300148300</v>
      </c>
      <c r="B198" s="5" t="s">
        <v>328</v>
      </c>
      <c r="C198" s="23"/>
    </row>
    <row r="199" spans="1:3" ht="31.5" x14ac:dyDescent="0.25">
      <c r="A199" s="5">
        <v>300152300</v>
      </c>
      <c r="B199" s="5" t="s">
        <v>329</v>
      </c>
      <c r="C199" s="23"/>
    </row>
    <row r="200" spans="1:3" x14ac:dyDescent="0.25">
      <c r="A200" s="5">
        <v>300155100</v>
      </c>
      <c r="B200" s="5" t="s">
        <v>330</v>
      </c>
      <c r="C200" s="5"/>
    </row>
    <row r="201" spans="1:3" ht="47.25" x14ac:dyDescent="0.25">
      <c r="A201" s="5">
        <v>300164300</v>
      </c>
      <c r="B201" s="5" t="s">
        <v>157</v>
      </c>
      <c r="C201" s="23" t="s">
        <v>519</v>
      </c>
    </row>
    <row r="202" spans="1:3" ht="31.5" x14ac:dyDescent="0.25">
      <c r="A202" s="5">
        <v>300173900</v>
      </c>
      <c r="B202" s="5" t="s">
        <v>331</v>
      </c>
      <c r="C202" s="23"/>
    </row>
    <row r="203" spans="1:3" x14ac:dyDescent="0.25">
      <c r="A203" s="5">
        <v>300178300</v>
      </c>
      <c r="B203" s="5" t="s">
        <v>114</v>
      </c>
      <c r="C203" s="23" t="s">
        <v>244</v>
      </c>
    </row>
    <row r="204" spans="1:3" ht="78.75" x14ac:dyDescent="0.25">
      <c r="A204" s="5">
        <v>300185800</v>
      </c>
      <c r="B204" s="5" t="s">
        <v>332</v>
      </c>
      <c r="C204" s="23" t="s">
        <v>485</v>
      </c>
    </row>
    <row r="205" spans="1:3" ht="31.5" x14ac:dyDescent="0.25">
      <c r="A205" s="5">
        <v>300201100</v>
      </c>
      <c r="B205" s="5" t="s">
        <v>333</v>
      </c>
      <c r="C205" s="23" t="s">
        <v>570</v>
      </c>
    </row>
    <row r="206" spans="1:3" x14ac:dyDescent="0.25">
      <c r="A206" s="5">
        <v>300251300</v>
      </c>
      <c r="B206" s="5" t="s">
        <v>334</v>
      </c>
      <c r="C206" s="23"/>
    </row>
    <row r="207" spans="1:3" x14ac:dyDescent="0.25">
      <c r="A207" s="5">
        <v>300306900</v>
      </c>
      <c r="B207" s="5" t="s">
        <v>115</v>
      </c>
      <c r="C207" s="23"/>
    </row>
    <row r="208" spans="1:3" x14ac:dyDescent="0.25">
      <c r="A208" s="5">
        <v>380058200</v>
      </c>
      <c r="B208" s="5" t="s">
        <v>600</v>
      </c>
      <c r="C208" s="23"/>
    </row>
    <row r="209" spans="1:3" ht="31.5" x14ac:dyDescent="0.25">
      <c r="A209" s="5">
        <v>380081400</v>
      </c>
      <c r="B209" s="5" t="s">
        <v>175</v>
      </c>
      <c r="C209" s="23"/>
    </row>
    <row r="210" spans="1:3" ht="31.5" x14ac:dyDescent="0.25">
      <c r="A210" s="5">
        <v>380081401</v>
      </c>
      <c r="B210" s="5" t="s">
        <v>176</v>
      </c>
      <c r="C210" s="23"/>
    </row>
    <row r="211" spans="1:3" ht="31.5" x14ac:dyDescent="0.25">
      <c r="A211" s="5">
        <v>380081402</v>
      </c>
      <c r="B211" s="5" t="s">
        <v>177</v>
      </c>
      <c r="C211" s="23"/>
    </row>
    <row r="212" spans="1:3" x14ac:dyDescent="0.25">
      <c r="A212" s="5">
        <v>380092800</v>
      </c>
      <c r="B212" s="5" t="s">
        <v>335</v>
      </c>
      <c r="C212" s="23"/>
    </row>
    <row r="213" spans="1:3" x14ac:dyDescent="0.25">
      <c r="A213" s="5">
        <v>380094900</v>
      </c>
      <c r="B213" s="5" t="s">
        <v>336</v>
      </c>
      <c r="C213" s="23"/>
    </row>
    <row r="214" spans="1:3" ht="63" x14ac:dyDescent="0.25">
      <c r="A214" s="5">
        <v>380097800</v>
      </c>
      <c r="B214" s="5" t="s">
        <v>480</v>
      </c>
      <c r="C214" s="5" t="s">
        <v>481</v>
      </c>
    </row>
    <row r="215" spans="1:3" x14ac:dyDescent="0.25">
      <c r="A215" s="5">
        <v>500124000</v>
      </c>
      <c r="B215" s="5" t="s">
        <v>337</v>
      </c>
      <c r="C215" s="7" t="s">
        <v>486</v>
      </c>
    </row>
    <row r="216" spans="1:3" ht="31.5" x14ac:dyDescent="0.25">
      <c r="A216" s="5">
        <v>500124001</v>
      </c>
      <c r="B216" s="5" t="s">
        <v>338</v>
      </c>
      <c r="C216" s="7" t="s">
        <v>487</v>
      </c>
    </row>
    <row r="217" spans="1:3" ht="31.5" x14ac:dyDescent="0.25">
      <c r="A217" s="5">
        <v>500124002</v>
      </c>
      <c r="B217" s="5" t="s">
        <v>339</v>
      </c>
      <c r="C217" s="7" t="s">
        <v>488</v>
      </c>
    </row>
    <row r="218" spans="1:3" ht="31.5" x14ac:dyDescent="0.25">
      <c r="A218" s="5">
        <v>500124003</v>
      </c>
      <c r="B218" s="5" t="s">
        <v>489</v>
      </c>
      <c r="C218" s="7" t="s">
        <v>487</v>
      </c>
    </row>
    <row r="219" spans="1:3" ht="31.5" x14ac:dyDescent="0.25">
      <c r="A219" s="5">
        <v>500124004</v>
      </c>
      <c r="B219" s="5" t="s">
        <v>340</v>
      </c>
    </row>
    <row r="220" spans="1:3" ht="31.5" x14ac:dyDescent="0.25">
      <c r="A220" s="5">
        <v>500124005</v>
      </c>
      <c r="B220" s="5" t="s">
        <v>341</v>
      </c>
      <c r="C220" s="7" t="s">
        <v>490</v>
      </c>
    </row>
    <row r="221" spans="1:3" ht="31.5" x14ac:dyDescent="0.25">
      <c r="A221" s="5">
        <v>500124006</v>
      </c>
      <c r="B221" s="5" t="s">
        <v>342</v>
      </c>
      <c r="C221" s="7" t="s">
        <v>491</v>
      </c>
    </row>
    <row r="222" spans="1:3" ht="31.5" x14ac:dyDescent="0.25">
      <c r="A222" s="5">
        <v>500124007</v>
      </c>
      <c r="B222" s="5" t="s">
        <v>343</v>
      </c>
      <c r="C222" s="5"/>
    </row>
    <row r="223" spans="1:3" ht="31.5" x14ac:dyDescent="0.25">
      <c r="A223" s="5">
        <v>500124009</v>
      </c>
      <c r="B223" s="5" t="s">
        <v>344</v>
      </c>
      <c r="C223" s="5"/>
    </row>
    <row r="224" spans="1:3" ht="47.25" x14ac:dyDescent="0.25">
      <c r="A224" s="5">
        <v>500132400</v>
      </c>
      <c r="B224" s="5" t="s">
        <v>345</v>
      </c>
      <c r="C224" s="23" t="s">
        <v>520</v>
      </c>
    </row>
    <row r="225" spans="1:3" ht="31.5" x14ac:dyDescent="0.25">
      <c r="A225" s="5">
        <v>500134800</v>
      </c>
      <c r="B225" s="5" t="s">
        <v>346</v>
      </c>
      <c r="C225" s="23"/>
    </row>
    <row r="226" spans="1:3" ht="31.5" x14ac:dyDescent="0.25">
      <c r="A226" s="5">
        <v>500180400</v>
      </c>
      <c r="B226" s="5" t="s">
        <v>144</v>
      </c>
      <c r="C226" s="23"/>
    </row>
    <row r="227" spans="1:3" ht="31.5" x14ac:dyDescent="0.25">
      <c r="A227" s="5">
        <v>500180401</v>
      </c>
      <c r="B227" s="5" t="s">
        <v>347</v>
      </c>
      <c r="C227" s="23"/>
    </row>
    <row r="228" spans="1:3" ht="31.5" x14ac:dyDescent="0.25">
      <c r="A228" s="5">
        <v>500180402</v>
      </c>
      <c r="B228" s="5" t="s">
        <v>348</v>
      </c>
      <c r="C228" s="23"/>
    </row>
    <row r="229" spans="1:3" ht="31.5" x14ac:dyDescent="0.25">
      <c r="A229" s="5">
        <v>500180404</v>
      </c>
      <c r="B229" s="5" t="s">
        <v>349</v>
      </c>
      <c r="C229" s="23"/>
    </row>
    <row r="230" spans="1:3" ht="31.5" x14ac:dyDescent="0.25">
      <c r="A230" s="5">
        <v>500180406</v>
      </c>
      <c r="B230" s="5" t="s">
        <v>350</v>
      </c>
      <c r="C230" s="23"/>
    </row>
    <row r="231" spans="1:3" ht="31.5" x14ac:dyDescent="0.25">
      <c r="A231" s="5">
        <v>500180407</v>
      </c>
      <c r="B231" s="5" t="s">
        <v>351</v>
      </c>
      <c r="C231" s="23" t="s">
        <v>471</v>
      </c>
    </row>
    <row r="232" spans="1:3" x14ac:dyDescent="0.25">
      <c r="A232" s="5">
        <v>500221200</v>
      </c>
      <c r="B232" s="5" t="s">
        <v>117</v>
      </c>
      <c r="C232" s="5"/>
    </row>
    <row r="233" spans="1:3" ht="31.5" x14ac:dyDescent="0.25">
      <c r="A233" s="5">
        <v>500224900</v>
      </c>
      <c r="B233" s="5" t="s">
        <v>352</v>
      </c>
      <c r="C233" s="23"/>
    </row>
    <row r="234" spans="1:3" ht="94.5" x14ac:dyDescent="0.25">
      <c r="A234" s="5">
        <v>540027900</v>
      </c>
      <c r="B234" s="5" t="s">
        <v>15</v>
      </c>
      <c r="C234" s="23" t="s">
        <v>412</v>
      </c>
    </row>
    <row r="235" spans="1:3" ht="78.75" x14ac:dyDescent="0.25">
      <c r="A235" s="5">
        <v>540153300</v>
      </c>
      <c r="B235" s="5" t="s">
        <v>413</v>
      </c>
      <c r="C235" s="5" t="s">
        <v>414</v>
      </c>
    </row>
    <row r="236" spans="1:3" ht="47.25" x14ac:dyDescent="0.25">
      <c r="A236" s="5">
        <v>540186600</v>
      </c>
      <c r="B236" s="5" t="s">
        <v>11</v>
      </c>
      <c r="C236" s="23" t="s">
        <v>415</v>
      </c>
    </row>
    <row r="237" spans="1:3" ht="31.5" x14ac:dyDescent="0.25">
      <c r="A237" s="5">
        <v>540207800</v>
      </c>
      <c r="B237" s="5" t="s">
        <v>353</v>
      </c>
      <c r="C237" s="23" t="s">
        <v>416</v>
      </c>
    </row>
    <row r="238" spans="1:3" ht="31.5" x14ac:dyDescent="0.25">
      <c r="A238" s="5">
        <v>580075500</v>
      </c>
      <c r="B238" s="5" t="s">
        <v>354</v>
      </c>
      <c r="C238" s="23"/>
    </row>
    <row r="239" spans="1:3" ht="78.75" x14ac:dyDescent="0.25">
      <c r="A239" s="5">
        <v>580108100</v>
      </c>
      <c r="B239" s="5" t="s">
        <v>245</v>
      </c>
      <c r="C239" s="23" t="s">
        <v>246</v>
      </c>
    </row>
    <row r="240" spans="1:3" ht="31.5" x14ac:dyDescent="0.25">
      <c r="A240" s="5">
        <v>620100300</v>
      </c>
      <c r="B240" s="5" t="s">
        <v>145</v>
      </c>
      <c r="C240" s="23" t="s">
        <v>521</v>
      </c>
    </row>
    <row r="241" spans="1:3" x14ac:dyDescent="0.25">
      <c r="A241" s="5">
        <v>620100301</v>
      </c>
      <c r="B241" s="5" t="s">
        <v>178</v>
      </c>
      <c r="C241" s="23"/>
    </row>
    <row r="242" spans="1:3" ht="31.5" x14ac:dyDescent="0.25">
      <c r="A242" s="5">
        <v>620100302</v>
      </c>
      <c r="B242" s="5" t="s">
        <v>179</v>
      </c>
      <c r="C242" s="23" t="s">
        <v>522</v>
      </c>
    </row>
    <row r="243" spans="1:3" x14ac:dyDescent="0.25">
      <c r="A243" s="5">
        <v>620100305</v>
      </c>
      <c r="B243" s="5" t="s">
        <v>180</v>
      </c>
      <c r="C243" s="23" t="s">
        <v>523</v>
      </c>
    </row>
    <row r="244" spans="1:3" ht="31.5" x14ac:dyDescent="0.25">
      <c r="A244" s="5">
        <v>620100306</v>
      </c>
      <c r="B244" s="5" t="s">
        <v>181</v>
      </c>
      <c r="C244" s="23"/>
    </row>
    <row r="245" spans="1:3" ht="31.5" x14ac:dyDescent="0.25">
      <c r="A245" s="5">
        <v>620100307</v>
      </c>
      <c r="B245" s="5" t="s">
        <v>182</v>
      </c>
      <c r="C245" s="23" t="s">
        <v>524</v>
      </c>
    </row>
    <row r="246" spans="1:3" x14ac:dyDescent="0.25">
      <c r="A246" s="5">
        <v>660057600</v>
      </c>
      <c r="B246" s="5" t="s">
        <v>183</v>
      </c>
      <c r="C246" s="23"/>
    </row>
    <row r="247" spans="1:3" ht="31.5" x14ac:dyDescent="0.25">
      <c r="A247" s="5">
        <v>660063300</v>
      </c>
      <c r="B247" s="5" t="s">
        <v>355</v>
      </c>
      <c r="C247" s="23" t="s">
        <v>468</v>
      </c>
    </row>
    <row r="248" spans="1:3" x14ac:dyDescent="0.25">
      <c r="A248" s="5">
        <v>660117400</v>
      </c>
      <c r="B248" s="5" t="s">
        <v>184</v>
      </c>
      <c r="C248" s="5"/>
    </row>
    <row r="249" spans="1:3" ht="31.5" x14ac:dyDescent="0.25">
      <c r="A249" s="5">
        <v>660117401</v>
      </c>
      <c r="B249" s="5" t="s">
        <v>185</v>
      </c>
      <c r="C249" s="5"/>
    </row>
    <row r="250" spans="1:3" ht="63" x14ac:dyDescent="0.25">
      <c r="A250" s="5">
        <v>660117402</v>
      </c>
      <c r="B250" s="5" t="s">
        <v>186</v>
      </c>
      <c r="C250" s="5" t="s">
        <v>469</v>
      </c>
    </row>
    <row r="251" spans="1:3" ht="31.5" x14ac:dyDescent="0.25">
      <c r="A251" s="5">
        <v>660117403</v>
      </c>
      <c r="B251" s="5" t="s">
        <v>187</v>
      </c>
      <c r="C251" s="23"/>
    </row>
    <row r="252" spans="1:3" ht="31.5" x14ac:dyDescent="0.25">
      <c r="A252" s="5">
        <v>660117404</v>
      </c>
      <c r="B252" s="5" t="s">
        <v>188</v>
      </c>
      <c r="C252" s="23"/>
    </row>
    <row r="253" spans="1:3" ht="31.5" x14ac:dyDescent="0.25">
      <c r="A253" s="5">
        <v>660117405</v>
      </c>
      <c r="B253" s="5" t="s">
        <v>189</v>
      </c>
      <c r="C253" s="5"/>
    </row>
    <row r="254" spans="1:3" ht="31.5" x14ac:dyDescent="0.25">
      <c r="A254" s="5">
        <v>660117408</v>
      </c>
      <c r="B254" s="5" t="s">
        <v>190</v>
      </c>
      <c r="C254" s="23"/>
    </row>
    <row r="255" spans="1:3" ht="31.5" x14ac:dyDescent="0.25">
      <c r="A255" s="5">
        <v>660117410</v>
      </c>
      <c r="B255" s="5" t="s">
        <v>191</v>
      </c>
      <c r="C255" s="23"/>
    </row>
    <row r="256" spans="1:3" ht="157.5" x14ac:dyDescent="0.25">
      <c r="A256" s="5">
        <v>660150700</v>
      </c>
      <c r="B256" s="5" t="s">
        <v>158</v>
      </c>
      <c r="C256" s="23" t="s">
        <v>470</v>
      </c>
    </row>
    <row r="257" spans="1:3" ht="31.5" x14ac:dyDescent="0.25">
      <c r="A257" s="10">
        <v>820017501</v>
      </c>
      <c r="B257" s="5" t="s">
        <v>662</v>
      </c>
      <c r="C257" s="23" t="s">
        <v>663</v>
      </c>
    </row>
    <row r="258" spans="1:3" ht="31.5" x14ac:dyDescent="0.25">
      <c r="A258" s="5">
        <v>820033500</v>
      </c>
      <c r="B258" s="5" t="s">
        <v>192</v>
      </c>
      <c r="C258" s="23" t="s">
        <v>482</v>
      </c>
    </row>
    <row r="259" spans="1:3" x14ac:dyDescent="0.25">
      <c r="A259" s="11">
        <v>820061900</v>
      </c>
      <c r="B259" s="11" t="s">
        <v>193</v>
      </c>
      <c r="C259" s="11"/>
    </row>
    <row r="260" spans="1:3" x14ac:dyDescent="0.25">
      <c r="A260" s="11">
        <v>820061901</v>
      </c>
      <c r="B260" s="11" t="s">
        <v>194</v>
      </c>
      <c r="C260" s="11"/>
    </row>
    <row r="261" spans="1:3" ht="31.5" x14ac:dyDescent="0.25">
      <c r="A261" s="5">
        <v>820104900</v>
      </c>
      <c r="B261" s="5" t="s">
        <v>119</v>
      </c>
      <c r="C261" s="23" t="s">
        <v>248</v>
      </c>
    </row>
    <row r="262" spans="1:3" ht="63" x14ac:dyDescent="0.25">
      <c r="A262" s="5">
        <v>820188400</v>
      </c>
      <c r="B262" s="5" t="s">
        <v>356</v>
      </c>
      <c r="C262" s="23" t="s">
        <v>478</v>
      </c>
    </row>
    <row r="263" spans="1:3" ht="31.5" x14ac:dyDescent="0.25">
      <c r="A263" s="5">
        <v>820188401</v>
      </c>
      <c r="B263" s="5" t="s">
        <v>357</v>
      </c>
      <c r="C263" s="23"/>
    </row>
    <row r="264" spans="1:3" ht="31.5" x14ac:dyDescent="0.25">
      <c r="A264" s="5">
        <v>820188402</v>
      </c>
      <c r="B264" s="5" t="s">
        <v>249</v>
      </c>
      <c r="C264" s="23"/>
    </row>
    <row r="265" spans="1:3" ht="31.5" x14ac:dyDescent="0.25">
      <c r="A265" s="5">
        <v>820188402</v>
      </c>
      <c r="B265" s="5" t="s">
        <v>249</v>
      </c>
      <c r="C265" s="23"/>
    </row>
    <row r="266" spans="1:3" ht="31.5" x14ac:dyDescent="0.25">
      <c r="A266" s="5">
        <v>820208400</v>
      </c>
      <c r="B266" s="5" t="s">
        <v>195</v>
      </c>
      <c r="C266" s="23" t="s">
        <v>479</v>
      </c>
    </row>
    <row r="267" spans="1:3" x14ac:dyDescent="0.25">
      <c r="A267" s="5">
        <v>820240200</v>
      </c>
      <c r="B267" s="5" t="s">
        <v>358</v>
      </c>
      <c r="C267" s="23"/>
    </row>
    <row r="268" spans="1:3" ht="31.5" x14ac:dyDescent="0.25">
      <c r="A268" s="5">
        <v>820250700</v>
      </c>
      <c r="B268" s="5" t="s">
        <v>359</v>
      </c>
      <c r="C268" s="23"/>
    </row>
    <row r="269" spans="1:3" x14ac:dyDescent="0.25">
      <c r="A269" s="5">
        <v>820252400</v>
      </c>
      <c r="B269" s="5" t="s">
        <v>120</v>
      </c>
      <c r="C269" s="5"/>
    </row>
    <row r="270" spans="1:3" x14ac:dyDescent="0.25">
      <c r="A270" s="5">
        <v>820375600</v>
      </c>
      <c r="B270" s="5" t="s">
        <v>197</v>
      </c>
      <c r="C270" s="23"/>
    </row>
    <row r="271" spans="1:3" ht="31.5" x14ac:dyDescent="0.25">
      <c r="A271" s="11">
        <v>820381400</v>
      </c>
      <c r="B271" s="11" t="s">
        <v>250</v>
      </c>
      <c r="C271" s="11"/>
    </row>
    <row r="272" spans="1:3" ht="31.5" x14ac:dyDescent="0.25">
      <c r="A272" s="5">
        <v>820382000</v>
      </c>
      <c r="B272" s="5" t="s">
        <v>121</v>
      </c>
      <c r="C272" s="23"/>
    </row>
    <row r="273" spans="1:3" ht="31.5" x14ac:dyDescent="0.25">
      <c r="A273" s="5">
        <v>820412100</v>
      </c>
      <c r="B273" s="5" t="s">
        <v>122</v>
      </c>
      <c r="C273" s="23"/>
    </row>
    <row r="274" spans="1:3" ht="31.5" x14ac:dyDescent="0.25">
      <c r="A274" s="5">
        <v>820413900</v>
      </c>
      <c r="B274" s="5" t="s">
        <v>360</v>
      </c>
      <c r="C274" s="23"/>
    </row>
    <row r="275" spans="1:3" ht="220.5" x14ac:dyDescent="0.25">
      <c r="A275" s="5">
        <v>820442800</v>
      </c>
      <c r="B275" s="5" t="s">
        <v>361</v>
      </c>
      <c r="C275" s="23" t="s">
        <v>474</v>
      </c>
    </row>
    <row r="276" spans="1:3" ht="31.5" x14ac:dyDescent="0.25">
      <c r="A276" s="5">
        <v>820443000</v>
      </c>
      <c r="B276" s="5" t="s">
        <v>252</v>
      </c>
      <c r="C276" s="23" t="s">
        <v>253</v>
      </c>
    </row>
    <row r="277" spans="1:3" x14ac:dyDescent="0.25">
      <c r="A277" s="5">
        <v>820443100</v>
      </c>
      <c r="B277" s="5" t="s">
        <v>362</v>
      </c>
      <c r="C277" s="23"/>
    </row>
    <row r="278" spans="1:3" ht="47.25" x14ac:dyDescent="0.25">
      <c r="A278" s="5">
        <v>820443200</v>
      </c>
      <c r="B278" s="5" t="s">
        <v>363</v>
      </c>
      <c r="C278" s="23" t="s">
        <v>475</v>
      </c>
    </row>
    <row r="279" spans="1:3" x14ac:dyDescent="0.25">
      <c r="A279" s="5">
        <v>820455600</v>
      </c>
      <c r="B279" s="5" t="s">
        <v>123</v>
      </c>
      <c r="C279" s="23"/>
    </row>
    <row r="280" spans="1:3" x14ac:dyDescent="0.25">
      <c r="A280" s="5">
        <v>820460400</v>
      </c>
      <c r="B280" s="5" t="s">
        <v>364</v>
      </c>
      <c r="C280" s="23"/>
    </row>
    <row r="281" spans="1:3" ht="63" x14ac:dyDescent="0.25">
      <c r="A281" s="5">
        <v>820462100</v>
      </c>
      <c r="B281" s="5" t="s">
        <v>365</v>
      </c>
      <c r="C281" s="23" t="s">
        <v>476</v>
      </c>
    </row>
    <row r="282" spans="1:3" ht="63" x14ac:dyDescent="0.25">
      <c r="A282" s="5">
        <v>820468100</v>
      </c>
      <c r="B282" s="5" t="s">
        <v>196</v>
      </c>
      <c r="C282" s="23" t="s">
        <v>477</v>
      </c>
    </row>
    <row r="283" spans="1:3" x14ac:dyDescent="0.25">
      <c r="A283" s="11">
        <v>820468200</v>
      </c>
      <c r="B283" s="11" t="s">
        <v>124</v>
      </c>
      <c r="C283" s="11"/>
    </row>
    <row r="284" spans="1:3" x14ac:dyDescent="0.25">
      <c r="A284" s="5">
        <v>820471100</v>
      </c>
      <c r="B284" s="5" t="s">
        <v>366</v>
      </c>
      <c r="C284" s="23"/>
    </row>
    <row r="285" spans="1:3" ht="31.5" x14ac:dyDescent="0.25">
      <c r="A285" s="5">
        <v>860020601</v>
      </c>
      <c r="B285" s="5" t="s">
        <v>367</v>
      </c>
      <c r="C285" s="23"/>
    </row>
    <row r="286" spans="1:3" x14ac:dyDescent="0.25">
      <c r="A286" s="29">
        <v>860108800</v>
      </c>
      <c r="B286" s="29" t="s">
        <v>368</v>
      </c>
      <c r="C286" s="30"/>
    </row>
    <row r="287" spans="1:3" x14ac:dyDescent="0.25">
      <c r="A287" s="5">
        <v>860110700</v>
      </c>
      <c r="B287" s="5" t="s">
        <v>125</v>
      </c>
      <c r="C287" s="23"/>
    </row>
    <row r="288" spans="1:3" x14ac:dyDescent="0.25">
      <c r="A288" s="5">
        <v>860111800</v>
      </c>
      <c r="B288" s="5" t="s">
        <v>369</v>
      </c>
      <c r="C288" s="23"/>
    </row>
    <row r="289" spans="1:3" x14ac:dyDescent="0.25">
      <c r="A289" s="5">
        <v>860119000</v>
      </c>
      <c r="B289" s="5" t="s">
        <v>126</v>
      </c>
      <c r="C289" s="23"/>
    </row>
    <row r="290" spans="1:3" x14ac:dyDescent="0.25">
      <c r="A290" s="5">
        <v>860159700</v>
      </c>
      <c r="B290" s="5" t="s">
        <v>127</v>
      </c>
      <c r="C290" s="23"/>
    </row>
    <row r="291" spans="1:3" ht="31.5" x14ac:dyDescent="0.25">
      <c r="A291" s="5">
        <v>860184700</v>
      </c>
      <c r="B291" s="5" t="s">
        <v>370</v>
      </c>
      <c r="C291" s="5"/>
    </row>
    <row r="292" spans="1:3" ht="31.5" x14ac:dyDescent="0.25">
      <c r="A292" s="5">
        <v>860185300</v>
      </c>
      <c r="B292" s="5" t="s">
        <v>371</v>
      </c>
      <c r="C292" s="23" t="s">
        <v>473</v>
      </c>
    </row>
    <row r="293" spans="1:3" ht="31.5" x14ac:dyDescent="0.25">
      <c r="A293" s="5">
        <v>860187600</v>
      </c>
      <c r="B293" s="5" t="s">
        <v>372</v>
      </c>
      <c r="C293" s="23"/>
    </row>
    <row r="294" spans="1:3" x14ac:dyDescent="0.25">
      <c r="A294" s="5">
        <v>860220000</v>
      </c>
      <c r="B294" s="5" t="s">
        <v>373</v>
      </c>
      <c r="C294" s="5"/>
    </row>
    <row r="295" spans="1:3" x14ac:dyDescent="0.25">
      <c r="A295" s="5">
        <v>900104000</v>
      </c>
      <c r="B295" s="5" t="s">
        <v>128</v>
      </c>
      <c r="C295" s="23"/>
    </row>
    <row r="296" spans="1:3" x14ac:dyDescent="0.25">
      <c r="A296" s="5">
        <v>900104001</v>
      </c>
      <c r="B296" s="5" t="s">
        <v>129</v>
      </c>
      <c r="C296" s="23"/>
    </row>
    <row r="297" spans="1:3" x14ac:dyDescent="0.25">
      <c r="A297" s="5">
        <v>900104001</v>
      </c>
      <c r="B297" s="5" t="s">
        <v>129</v>
      </c>
      <c r="C297" s="23"/>
    </row>
    <row r="298" spans="1:3" x14ac:dyDescent="0.25">
      <c r="A298" s="5">
        <v>900104002</v>
      </c>
      <c r="B298" s="5" t="s">
        <v>130</v>
      </c>
      <c r="C298" s="23"/>
    </row>
    <row r="299" spans="1:3" x14ac:dyDescent="0.25">
      <c r="A299" s="5">
        <v>900104003</v>
      </c>
      <c r="B299" s="5" t="s">
        <v>131</v>
      </c>
      <c r="C299" s="23"/>
    </row>
    <row r="300" spans="1:3" x14ac:dyDescent="0.25">
      <c r="A300" s="5">
        <v>900104004</v>
      </c>
      <c r="B300" s="5" t="s">
        <v>132</v>
      </c>
      <c r="C300" s="23"/>
    </row>
    <row r="301" spans="1:3" x14ac:dyDescent="0.25">
      <c r="A301" s="5">
        <v>900104005</v>
      </c>
      <c r="B301" s="5" t="s">
        <v>133</v>
      </c>
      <c r="C301" s="23"/>
    </row>
    <row r="302" spans="1:3" x14ac:dyDescent="0.25">
      <c r="A302" s="5">
        <v>900104006</v>
      </c>
      <c r="B302" s="5" t="s">
        <v>134</v>
      </c>
      <c r="C302" s="23"/>
    </row>
    <row r="303" spans="1:3" x14ac:dyDescent="0.25">
      <c r="A303" s="5">
        <v>900104007</v>
      </c>
      <c r="B303" s="5" t="s">
        <v>135</v>
      </c>
      <c r="C303" s="23"/>
    </row>
    <row r="304" spans="1:3" x14ac:dyDescent="0.25">
      <c r="A304" s="5">
        <v>900104008</v>
      </c>
      <c r="B304" s="5" t="s">
        <v>136</v>
      </c>
      <c r="C304" s="23"/>
    </row>
    <row r="305" spans="1:3" ht="31.5" x14ac:dyDescent="0.25">
      <c r="A305" s="5">
        <v>900104009</v>
      </c>
      <c r="B305" s="5" t="s">
        <v>374</v>
      </c>
      <c r="C305" s="23"/>
    </row>
    <row r="306" spans="1:3" ht="31.5" x14ac:dyDescent="0.25">
      <c r="A306" s="5">
        <v>900104010</v>
      </c>
      <c r="B306" s="5" t="s">
        <v>137</v>
      </c>
      <c r="C306" s="23"/>
    </row>
    <row r="307" spans="1:3" ht="31.5" x14ac:dyDescent="0.25">
      <c r="A307" s="5">
        <v>900104011</v>
      </c>
      <c r="B307" s="5" t="s">
        <v>138</v>
      </c>
      <c r="C307" s="23"/>
    </row>
    <row r="308" spans="1:3" x14ac:dyDescent="0.25">
      <c r="A308" s="11">
        <v>900104013</v>
      </c>
      <c r="B308" s="11" t="s">
        <v>646</v>
      </c>
      <c r="C308" s="11"/>
    </row>
    <row r="309" spans="1:3" ht="31.5" x14ac:dyDescent="0.25">
      <c r="A309" s="5">
        <v>900104013</v>
      </c>
      <c r="B309" s="5" t="s">
        <v>139</v>
      </c>
      <c r="C309" s="23"/>
    </row>
    <row r="310" spans="1:3" ht="31.5" x14ac:dyDescent="0.25">
      <c r="A310" s="5">
        <v>900104014</v>
      </c>
      <c r="B310" s="5" t="s">
        <v>647</v>
      </c>
      <c r="C310" s="23" t="s">
        <v>28</v>
      </c>
    </row>
    <row r="311" spans="1:3" ht="31.5" x14ac:dyDescent="0.25">
      <c r="A311" s="5">
        <v>940003200</v>
      </c>
      <c r="B311" s="5" t="s">
        <v>375</v>
      </c>
      <c r="C311" s="5"/>
    </row>
    <row r="312" spans="1:3" ht="31.5" x14ac:dyDescent="0.25">
      <c r="A312" s="5">
        <v>940006500</v>
      </c>
      <c r="B312" s="5" t="s">
        <v>569</v>
      </c>
      <c r="C312" s="5"/>
    </row>
    <row r="313" spans="1:3" x14ac:dyDescent="0.25">
      <c r="A313" s="5"/>
      <c r="B313" s="5"/>
      <c r="C313" s="23"/>
    </row>
    <row r="314" spans="1:3" x14ac:dyDescent="0.25">
      <c r="A314" s="5"/>
      <c r="B314" s="5"/>
      <c r="C314" s="23"/>
    </row>
    <row r="315" spans="1:3" x14ac:dyDescent="0.25">
      <c r="A315" s="5"/>
      <c r="B315" s="5"/>
      <c r="C315" s="23"/>
    </row>
    <row r="316" spans="1:3" x14ac:dyDescent="0.25">
      <c r="A316" s="5"/>
      <c r="B316" s="5"/>
      <c r="C316" s="23"/>
    </row>
    <row r="317" spans="1:3" x14ac:dyDescent="0.25">
      <c r="A317" s="5"/>
      <c r="B317" s="5"/>
      <c r="C317" s="23"/>
    </row>
    <row r="318" spans="1:3" x14ac:dyDescent="0.25">
      <c r="A318" s="5"/>
      <c r="B318" s="5"/>
      <c r="C318" s="23"/>
    </row>
    <row r="319" spans="1:3" x14ac:dyDescent="0.25">
      <c r="A319" s="5"/>
      <c r="B319" s="5"/>
      <c r="C319" s="23"/>
    </row>
    <row r="320" spans="1:3" x14ac:dyDescent="0.25">
      <c r="A320" s="5"/>
      <c r="B320" s="5"/>
      <c r="C320" s="23"/>
    </row>
    <row r="321" spans="1:3" x14ac:dyDescent="0.25">
      <c r="A321" s="5"/>
      <c r="B321" s="5"/>
      <c r="C321" s="23"/>
    </row>
    <row r="322" spans="1:3" x14ac:dyDescent="0.25">
      <c r="A322" s="5"/>
      <c r="B322" s="5"/>
      <c r="C322" s="23"/>
    </row>
    <row r="323" spans="1:3" x14ac:dyDescent="0.25">
      <c r="A323" s="5"/>
      <c r="B323" s="5"/>
      <c r="C323" s="5"/>
    </row>
    <row r="324" spans="1:3" x14ac:dyDescent="0.25">
      <c r="A324" s="5"/>
      <c r="B324" s="5"/>
      <c r="C324" s="5"/>
    </row>
    <row r="325" spans="1:3" x14ac:dyDescent="0.25">
      <c r="A325" s="5"/>
      <c r="B325" s="5"/>
      <c r="C325" s="23"/>
    </row>
    <row r="326" spans="1:3" x14ac:dyDescent="0.25">
      <c r="A326" s="5"/>
      <c r="B326" s="5"/>
      <c r="C326" s="23"/>
    </row>
    <row r="327" spans="1:3" x14ac:dyDescent="0.25">
      <c r="A327" s="5"/>
      <c r="B327" s="5"/>
      <c r="C327" s="5"/>
    </row>
    <row r="328" spans="1:3" x14ac:dyDescent="0.25">
      <c r="A328" s="5"/>
      <c r="B328" s="5"/>
      <c r="C328" s="23"/>
    </row>
    <row r="329" spans="1:3" x14ac:dyDescent="0.25">
      <c r="A329" s="5"/>
      <c r="B329" s="5"/>
      <c r="C329" s="23"/>
    </row>
    <row r="330" spans="1:3" x14ac:dyDescent="0.25">
      <c r="A330" s="5"/>
      <c r="B330" s="5"/>
      <c r="C330" s="23"/>
    </row>
    <row r="331" spans="1:3" x14ac:dyDescent="0.25">
      <c r="A331" s="5"/>
      <c r="B331" s="5"/>
      <c r="C331" s="23"/>
    </row>
    <row r="332" spans="1:3" x14ac:dyDescent="0.25">
      <c r="A332" s="5"/>
      <c r="B332" s="5"/>
      <c r="C332" s="23"/>
    </row>
    <row r="333" spans="1:3" x14ac:dyDescent="0.25">
      <c r="A333" s="5"/>
      <c r="B333" s="5"/>
      <c r="C333" s="23"/>
    </row>
    <row r="334" spans="1:3" x14ac:dyDescent="0.25">
      <c r="A334" s="5"/>
      <c r="B334" s="5"/>
      <c r="C334" s="23"/>
    </row>
    <row r="335" spans="1:3" x14ac:dyDescent="0.25">
      <c r="A335" s="5"/>
      <c r="B335" s="5"/>
      <c r="C335" s="23"/>
    </row>
    <row r="336" spans="1:3" x14ac:dyDescent="0.25">
      <c r="A336" s="5"/>
      <c r="B336" s="5"/>
      <c r="C336" s="23"/>
    </row>
    <row r="337" spans="1:3" x14ac:dyDescent="0.25">
      <c r="A337" s="5"/>
      <c r="B337" s="5"/>
      <c r="C337" s="23"/>
    </row>
    <row r="338" spans="1:3" x14ac:dyDescent="0.25">
      <c r="A338" s="5"/>
      <c r="B338" s="5"/>
      <c r="C338" s="23"/>
    </row>
    <row r="339" spans="1:3" x14ac:dyDescent="0.25">
      <c r="A339" s="5"/>
      <c r="B339" s="5"/>
      <c r="C339" s="11"/>
    </row>
    <row r="340" spans="1:3" x14ac:dyDescent="0.25">
      <c r="A340" s="5"/>
      <c r="B340" s="5"/>
      <c r="C340" s="5"/>
    </row>
    <row r="341" spans="1:3" x14ac:dyDescent="0.25">
      <c r="A341" s="5"/>
      <c r="B341" s="5"/>
      <c r="C341" s="23"/>
    </row>
    <row r="342" spans="1:3" x14ac:dyDescent="0.25">
      <c r="A342" s="5"/>
      <c r="B342" s="5"/>
      <c r="C342" s="23"/>
    </row>
    <row r="343" spans="1:3" x14ac:dyDescent="0.25">
      <c r="A343" s="5"/>
      <c r="B343" s="5"/>
      <c r="C343" s="23"/>
    </row>
    <row r="344" spans="1:3" x14ac:dyDescent="0.25">
      <c r="A344" s="5"/>
      <c r="B344" s="5"/>
      <c r="C344" s="23"/>
    </row>
    <row r="345" spans="1:3" x14ac:dyDescent="0.25">
      <c r="A345" s="5"/>
      <c r="B345" s="5"/>
      <c r="C345" s="23"/>
    </row>
    <row r="346" spans="1:3" x14ac:dyDescent="0.25">
      <c r="A346" s="5"/>
      <c r="B346" s="5"/>
      <c r="C346" s="23"/>
    </row>
    <row r="347" spans="1:3" x14ac:dyDescent="0.25">
      <c r="A347" s="5"/>
      <c r="B347" s="5"/>
      <c r="C347" s="5"/>
    </row>
    <row r="348" spans="1:3" x14ac:dyDescent="0.25">
      <c r="A348" s="5"/>
      <c r="B348" s="5"/>
      <c r="C348" s="23"/>
    </row>
    <row r="349" spans="1:3" x14ac:dyDescent="0.25">
      <c r="A349" s="5"/>
      <c r="B349" s="5"/>
      <c r="C349" s="23"/>
    </row>
    <row r="350" spans="1:3" x14ac:dyDescent="0.25">
      <c r="A350" s="5"/>
      <c r="B350" s="5"/>
      <c r="C350" s="23"/>
    </row>
    <row r="351" spans="1:3" x14ac:dyDescent="0.25">
      <c r="A351" s="5"/>
      <c r="B351" s="5"/>
      <c r="C351" s="23"/>
    </row>
    <row r="352" spans="1:3" x14ac:dyDescent="0.25">
      <c r="A352" s="5"/>
      <c r="B352" s="5"/>
      <c r="C352" s="23"/>
    </row>
    <row r="353" spans="1:3" x14ac:dyDescent="0.25">
      <c r="A353" s="5"/>
      <c r="B353" s="5"/>
      <c r="C353" s="5"/>
    </row>
    <row r="354" spans="1:3" x14ac:dyDescent="0.25">
      <c r="A354" s="5"/>
      <c r="B354" s="5"/>
      <c r="C354" s="23"/>
    </row>
    <row r="355" spans="1:3" x14ac:dyDescent="0.25">
      <c r="A355" s="5"/>
      <c r="B355" s="5"/>
      <c r="C355" s="23"/>
    </row>
    <row r="356" spans="1:3" x14ac:dyDescent="0.25">
      <c r="A356" s="5"/>
      <c r="B356" s="5"/>
      <c r="C356" s="23"/>
    </row>
    <row r="357" spans="1:3" x14ac:dyDescent="0.25">
      <c r="A357" s="5"/>
      <c r="B357" s="5"/>
      <c r="C357" s="23"/>
    </row>
    <row r="358" spans="1:3" x14ac:dyDescent="0.25">
      <c r="A358" s="5"/>
      <c r="B358" s="5"/>
      <c r="C358" s="23"/>
    </row>
    <row r="359" spans="1:3" x14ac:dyDescent="0.25">
      <c r="A359" s="29"/>
      <c r="B359" s="29"/>
      <c r="C359" s="30"/>
    </row>
    <row r="360" spans="1:3" x14ac:dyDescent="0.25">
      <c r="A360" s="5"/>
      <c r="B360" s="5"/>
      <c r="C360" s="23"/>
    </row>
    <row r="361" spans="1:3" x14ac:dyDescent="0.25">
      <c r="A361" s="5"/>
      <c r="B361" s="5"/>
      <c r="C361" s="23"/>
    </row>
    <row r="362" spans="1:3" x14ac:dyDescent="0.25">
      <c r="A362" s="5"/>
      <c r="B362" s="5"/>
      <c r="C362" s="23"/>
    </row>
    <row r="363" spans="1:3" x14ac:dyDescent="0.25">
      <c r="A363" s="5"/>
      <c r="B363" s="5"/>
      <c r="C363" s="23"/>
    </row>
    <row r="364" spans="1:3" x14ac:dyDescent="0.25">
      <c r="A364" s="5"/>
      <c r="B364" s="5"/>
      <c r="C364" s="23"/>
    </row>
    <row r="365" spans="1:3" x14ac:dyDescent="0.25">
      <c r="A365" s="5"/>
      <c r="B365" s="5"/>
      <c r="C365" s="23"/>
    </row>
    <row r="366" spans="1:3" x14ac:dyDescent="0.25">
      <c r="A366" s="5"/>
      <c r="B366" s="5"/>
      <c r="C366" s="23"/>
    </row>
    <row r="367" spans="1:3" x14ac:dyDescent="0.25">
      <c r="A367" s="5"/>
      <c r="B367" s="5"/>
      <c r="C367" s="5"/>
    </row>
    <row r="368" spans="1:3" x14ac:dyDescent="0.25">
      <c r="A368" s="5"/>
      <c r="B368" s="5"/>
      <c r="C368" s="23"/>
    </row>
    <row r="369" spans="1:3" x14ac:dyDescent="0.25">
      <c r="A369" s="5"/>
      <c r="B369" s="5"/>
      <c r="C369" s="23"/>
    </row>
    <row r="370" spans="1:3" x14ac:dyDescent="0.25">
      <c r="A370" s="5"/>
      <c r="B370" s="5"/>
      <c r="C370" s="5"/>
    </row>
    <row r="371" spans="1:3" x14ac:dyDescent="0.25">
      <c r="A371" s="5"/>
      <c r="B371" s="5"/>
      <c r="C371" s="23"/>
    </row>
    <row r="372" spans="1:3" x14ac:dyDescent="0.25">
      <c r="A372" s="5"/>
      <c r="B372" s="5"/>
      <c r="C372" s="23"/>
    </row>
    <row r="373" spans="1:3" x14ac:dyDescent="0.25">
      <c r="A373" s="5"/>
      <c r="B373" s="5"/>
      <c r="C373" s="23"/>
    </row>
    <row r="374" spans="1:3" x14ac:dyDescent="0.25">
      <c r="A374" s="5"/>
      <c r="B374" s="5"/>
      <c r="C374" s="23"/>
    </row>
    <row r="375" spans="1:3" x14ac:dyDescent="0.25">
      <c r="A375" s="5"/>
      <c r="B375" s="5"/>
      <c r="C375" s="23"/>
    </row>
    <row r="376" spans="1:3" x14ac:dyDescent="0.25">
      <c r="A376" s="5"/>
      <c r="B376" s="5"/>
      <c r="C376" s="23"/>
    </row>
    <row r="377" spans="1:3" x14ac:dyDescent="0.25">
      <c r="A377" s="5"/>
      <c r="B377" s="5"/>
      <c r="C377" s="23"/>
    </row>
    <row r="378" spans="1:3" x14ac:dyDescent="0.25">
      <c r="A378" s="5"/>
      <c r="B378" s="5"/>
      <c r="C378" s="23"/>
    </row>
    <row r="379" spans="1:3" x14ac:dyDescent="0.25">
      <c r="A379" s="5"/>
      <c r="B379" s="5"/>
      <c r="C379" s="23"/>
    </row>
    <row r="380" spans="1:3" x14ac:dyDescent="0.25">
      <c r="A380" s="5"/>
      <c r="B380" s="5"/>
      <c r="C380" s="23"/>
    </row>
    <row r="381" spans="1:3" x14ac:dyDescent="0.25">
      <c r="A381" s="5"/>
      <c r="B381" s="5"/>
      <c r="C381" s="23"/>
    </row>
    <row r="382" spans="1:3" x14ac:dyDescent="0.25">
      <c r="A382" s="5"/>
      <c r="B382" s="5"/>
      <c r="C382" s="23"/>
    </row>
    <row r="383" spans="1:3" x14ac:dyDescent="0.25">
      <c r="A383" s="5"/>
      <c r="B383" s="5"/>
      <c r="C383" s="23"/>
    </row>
    <row r="384" spans="1:3" x14ac:dyDescent="0.25">
      <c r="A384" s="5"/>
      <c r="B384" s="5"/>
      <c r="C384" s="23"/>
    </row>
    <row r="385" spans="1:3" x14ac:dyDescent="0.25">
      <c r="A385" s="5"/>
      <c r="B385" s="5"/>
      <c r="C385" s="23"/>
    </row>
    <row r="386" spans="1:3" x14ac:dyDescent="0.25">
      <c r="A386" s="5"/>
      <c r="B386" s="5"/>
      <c r="C386" s="23"/>
    </row>
    <row r="387" spans="1:3" x14ac:dyDescent="0.25">
      <c r="A387" s="5"/>
      <c r="B387" s="5"/>
      <c r="C387" s="23"/>
    </row>
    <row r="388" spans="1:3" x14ac:dyDescent="0.25">
      <c r="A388" s="5"/>
      <c r="B388" s="5"/>
      <c r="C388" s="23"/>
    </row>
    <row r="389" spans="1:3" x14ac:dyDescent="0.25">
      <c r="A389" s="5"/>
      <c r="B389" s="5"/>
      <c r="C389" s="23"/>
    </row>
    <row r="390" spans="1:3" x14ac:dyDescent="0.25">
      <c r="A390" s="5"/>
      <c r="B390" s="5"/>
      <c r="C390" s="23"/>
    </row>
    <row r="391" spans="1:3" x14ac:dyDescent="0.25">
      <c r="A391" s="5"/>
      <c r="B391" s="5"/>
      <c r="C391" s="23"/>
    </row>
    <row r="392" spans="1:3" x14ac:dyDescent="0.25">
      <c r="A392" s="5"/>
      <c r="B392" s="5"/>
      <c r="C392" s="23"/>
    </row>
    <row r="393" spans="1:3" x14ac:dyDescent="0.25">
      <c r="A393" s="5"/>
      <c r="B393" s="5"/>
      <c r="C393" s="23"/>
    </row>
    <row r="394" spans="1:3" x14ac:dyDescent="0.25">
      <c r="A394" s="5"/>
      <c r="B394" s="5"/>
      <c r="C394" s="23"/>
    </row>
    <row r="395" spans="1:3" x14ac:dyDescent="0.25">
      <c r="A395" s="5"/>
      <c r="B395" s="5"/>
      <c r="C395" s="23"/>
    </row>
    <row r="396" spans="1:3" x14ac:dyDescent="0.25">
      <c r="A396" s="5"/>
      <c r="B396" s="5"/>
      <c r="C396" s="23"/>
    </row>
    <row r="397" spans="1:3" x14ac:dyDescent="0.25">
      <c r="A397" s="5"/>
      <c r="B397" s="5"/>
      <c r="C397" s="23"/>
    </row>
    <row r="398" spans="1:3" x14ac:dyDescent="0.25">
      <c r="A398" s="5"/>
      <c r="B398" s="5"/>
      <c r="C398" s="23"/>
    </row>
    <row r="399" spans="1:3" x14ac:dyDescent="0.25">
      <c r="A399" s="5"/>
      <c r="B399" s="5"/>
      <c r="C399" s="5"/>
    </row>
    <row r="400" spans="1:3" x14ac:dyDescent="0.25">
      <c r="A400" s="5"/>
      <c r="B400" s="5"/>
      <c r="C400" s="5"/>
    </row>
    <row r="401" spans="1:3" x14ac:dyDescent="0.25">
      <c r="A401" s="5"/>
      <c r="B401" s="5"/>
      <c r="C401" s="5"/>
    </row>
    <row r="402" spans="1:3" x14ac:dyDescent="0.25">
      <c r="A402" s="5"/>
      <c r="B402" s="5"/>
      <c r="C402" s="5"/>
    </row>
    <row r="403" spans="1:3" x14ac:dyDescent="0.25">
      <c r="A403" s="5"/>
      <c r="B403" s="5"/>
      <c r="C403" s="23"/>
    </row>
    <row r="404" spans="1:3" x14ac:dyDescent="0.25">
      <c r="A404" s="29"/>
      <c r="B404" s="29"/>
      <c r="C404" s="29"/>
    </row>
    <row r="405" spans="1:3" x14ac:dyDescent="0.25">
      <c r="A405" s="5"/>
      <c r="B405" s="5"/>
      <c r="C405" s="23"/>
    </row>
    <row r="406" spans="1:3" x14ac:dyDescent="0.25">
      <c r="A406" s="5"/>
      <c r="B406" s="5"/>
      <c r="C406" s="23"/>
    </row>
    <row r="407" spans="1:3" x14ac:dyDescent="0.25">
      <c r="A407" s="5"/>
      <c r="B407" s="5"/>
      <c r="C407" s="23"/>
    </row>
    <row r="408" spans="1:3" x14ac:dyDescent="0.25">
      <c r="A408" s="5"/>
      <c r="B408" s="5"/>
      <c r="C408" s="23"/>
    </row>
    <row r="409" spans="1:3" x14ac:dyDescent="0.25">
      <c r="A409" s="5"/>
      <c r="B409" s="5"/>
      <c r="C409" s="23"/>
    </row>
    <row r="410" spans="1:3" x14ac:dyDescent="0.25">
      <c r="A410" s="5"/>
      <c r="B410" s="5"/>
      <c r="C410" s="23"/>
    </row>
    <row r="411" spans="1:3" x14ac:dyDescent="0.25">
      <c r="A411" s="5"/>
      <c r="B411" s="5"/>
      <c r="C411" s="23"/>
    </row>
    <row r="412" spans="1:3" x14ac:dyDescent="0.25">
      <c r="A412" s="5"/>
      <c r="B412" s="5"/>
      <c r="C412" s="23"/>
    </row>
    <row r="413" spans="1:3" x14ac:dyDescent="0.25">
      <c r="A413" s="5"/>
      <c r="B413" s="5"/>
      <c r="C413" s="23"/>
    </row>
    <row r="414" spans="1:3" x14ac:dyDescent="0.25">
      <c r="A414" s="5"/>
      <c r="B414" s="5"/>
      <c r="C414" s="23"/>
    </row>
    <row r="415" spans="1:3" x14ac:dyDescent="0.25">
      <c r="A415" s="5"/>
      <c r="B415" s="5"/>
      <c r="C415" s="23"/>
    </row>
    <row r="416" spans="1:3" x14ac:dyDescent="0.25">
      <c r="A416" s="5"/>
      <c r="B416" s="5"/>
      <c r="C416" s="5"/>
    </row>
    <row r="417" spans="1:3" x14ac:dyDescent="0.25">
      <c r="A417" s="5"/>
      <c r="B417" s="5"/>
      <c r="C417" s="5"/>
    </row>
    <row r="418" spans="1:3" x14ac:dyDescent="0.25">
      <c r="A418" s="5"/>
      <c r="B418" s="5"/>
      <c r="C418" s="5"/>
    </row>
    <row r="419" spans="1:3" x14ac:dyDescent="0.25">
      <c r="A419" s="5"/>
      <c r="B419" s="5"/>
      <c r="C419" s="5"/>
    </row>
    <row r="420" spans="1:3" x14ac:dyDescent="0.25">
      <c r="A420" s="5"/>
      <c r="B420" s="5"/>
      <c r="C420" s="5"/>
    </row>
    <row r="421" spans="1:3" x14ac:dyDescent="0.25">
      <c r="A421" s="5"/>
      <c r="B421" s="5"/>
      <c r="C421" s="5"/>
    </row>
    <row r="422" spans="1:3" x14ac:dyDescent="0.25">
      <c r="A422" s="29"/>
      <c r="B422" s="29"/>
      <c r="C422" s="29"/>
    </row>
    <row r="423" spans="1:3" x14ac:dyDescent="0.25">
      <c r="A423" s="5"/>
      <c r="B423" s="5"/>
      <c r="C423" s="23"/>
    </row>
    <row r="424" spans="1:3" x14ac:dyDescent="0.25">
      <c r="A424" s="5"/>
      <c r="B424" s="5"/>
      <c r="C424" s="5"/>
    </row>
    <row r="425" spans="1:3" x14ac:dyDescent="0.25">
      <c r="A425" s="5"/>
      <c r="B425" s="5"/>
      <c r="C425" s="23"/>
    </row>
    <row r="426" spans="1:3" x14ac:dyDescent="0.25">
      <c r="A426" s="5"/>
      <c r="B426" s="5"/>
      <c r="C426" s="23"/>
    </row>
    <row r="427" spans="1:3" x14ac:dyDescent="0.25">
      <c r="A427" s="5"/>
      <c r="B427" s="5"/>
      <c r="C427" s="23"/>
    </row>
    <row r="428" spans="1:3" x14ac:dyDescent="0.25">
      <c r="A428" s="5"/>
      <c r="B428" s="5"/>
      <c r="C428" s="23"/>
    </row>
    <row r="429" spans="1:3" x14ac:dyDescent="0.25">
      <c r="A429" s="5"/>
      <c r="B429" s="5"/>
      <c r="C429" s="23"/>
    </row>
    <row r="430" spans="1:3" x14ac:dyDescent="0.25">
      <c r="A430" s="5"/>
      <c r="B430" s="5"/>
      <c r="C430" s="23"/>
    </row>
    <row r="431" spans="1:3" x14ac:dyDescent="0.25">
      <c r="A431" s="5"/>
      <c r="B431" s="5"/>
      <c r="C431" s="23"/>
    </row>
    <row r="432" spans="1:3" x14ac:dyDescent="0.25">
      <c r="A432" s="5"/>
      <c r="B432" s="5"/>
      <c r="C432" s="23"/>
    </row>
    <row r="433" spans="1:3" x14ac:dyDescent="0.25">
      <c r="A433" s="5"/>
      <c r="B433" s="5"/>
      <c r="C433" s="23"/>
    </row>
    <row r="434" spans="1:3" x14ac:dyDescent="0.25">
      <c r="A434" s="5"/>
      <c r="B434" s="5"/>
      <c r="C434" s="23"/>
    </row>
    <row r="435" spans="1:3" x14ac:dyDescent="0.25">
      <c r="A435" s="5"/>
      <c r="B435" s="5"/>
      <c r="C435" s="23"/>
    </row>
    <row r="436" spans="1:3" x14ac:dyDescent="0.25">
      <c r="A436" s="5"/>
      <c r="B436" s="5"/>
      <c r="C436" s="23"/>
    </row>
    <row r="437" spans="1:3" x14ac:dyDescent="0.25">
      <c r="A437" s="5"/>
      <c r="B437" s="5"/>
      <c r="C437" s="23"/>
    </row>
    <row r="438" spans="1:3" x14ac:dyDescent="0.25">
      <c r="A438" s="5"/>
      <c r="B438" s="5"/>
      <c r="C438" s="23"/>
    </row>
    <row r="439" spans="1:3" x14ac:dyDescent="0.25">
      <c r="A439" s="5"/>
      <c r="B439" s="5"/>
      <c r="C439" s="23"/>
    </row>
    <row r="440" spans="1:3" x14ac:dyDescent="0.25">
      <c r="A440" s="5"/>
      <c r="B440" s="5"/>
      <c r="C440" s="23"/>
    </row>
    <row r="441" spans="1:3" x14ac:dyDescent="0.25">
      <c r="A441" s="5"/>
      <c r="B441" s="5"/>
      <c r="C441" s="23"/>
    </row>
    <row r="442" spans="1:3" x14ac:dyDescent="0.25">
      <c r="A442" s="5"/>
      <c r="B442" s="5"/>
      <c r="C442" s="23"/>
    </row>
    <row r="443" spans="1:3" x14ac:dyDescent="0.25">
      <c r="A443" s="5"/>
      <c r="B443" s="5"/>
      <c r="C443" s="23"/>
    </row>
    <row r="444" spans="1:3" x14ac:dyDescent="0.25">
      <c r="A444" s="5"/>
      <c r="B444" s="5"/>
      <c r="C444" s="23"/>
    </row>
    <row r="445" spans="1:3" x14ac:dyDescent="0.25">
      <c r="A445" s="5"/>
      <c r="B445" s="5"/>
      <c r="C445" s="23"/>
    </row>
    <row r="446" spans="1:3" x14ac:dyDescent="0.25">
      <c r="A446" s="5"/>
      <c r="B446" s="5"/>
      <c r="C446" s="23"/>
    </row>
    <row r="447" spans="1:3" x14ac:dyDescent="0.25">
      <c r="A447" s="5"/>
      <c r="B447" s="5"/>
      <c r="C447" s="23"/>
    </row>
    <row r="448" spans="1:3" x14ac:dyDescent="0.25">
      <c r="A448" s="5"/>
      <c r="B448" s="5"/>
      <c r="C448" s="23"/>
    </row>
    <row r="449" spans="1:3" x14ac:dyDescent="0.25">
      <c r="A449" s="5"/>
      <c r="B449" s="5"/>
      <c r="C449" s="23"/>
    </row>
    <row r="450" spans="1:3" x14ac:dyDescent="0.25">
      <c r="A450" s="5"/>
      <c r="B450" s="5"/>
      <c r="C450" s="23"/>
    </row>
    <row r="451" spans="1:3" x14ac:dyDescent="0.25">
      <c r="A451" s="5"/>
      <c r="B451" s="5"/>
      <c r="C451" s="23"/>
    </row>
    <row r="452" spans="1:3" x14ac:dyDescent="0.25">
      <c r="A452" s="5"/>
      <c r="B452" s="5"/>
      <c r="C452" s="23"/>
    </row>
    <row r="453" spans="1:3" x14ac:dyDescent="0.25">
      <c r="A453" s="5"/>
      <c r="B453" s="5"/>
      <c r="C453" s="23"/>
    </row>
    <row r="454" spans="1:3" x14ac:dyDescent="0.25">
      <c r="A454" s="29"/>
      <c r="B454" s="29"/>
      <c r="C454" s="30"/>
    </row>
    <row r="455" spans="1:3" x14ac:dyDescent="0.25">
      <c r="A455" s="29"/>
      <c r="B455" s="29"/>
      <c r="C455" s="30"/>
    </row>
    <row r="456" spans="1:3" x14ac:dyDescent="0.25">
      <c r="A456" s="29"/>
      <c r="B456" s="29"/>
      <c r="C456" s="30"/>
    </row>
    <row r="457" spans="1:3" x14ac:dyDescent="0.25">
      <c r="A457" s="5"/>
      <c r="B457" s="5"/>
      <c r="C457" s="23"/>
    </row>
    <row r="458" spans="1:3" x14ac:dyDescent="0.25">
      <c r="A458" s="5"/>
      <c r="B458" s="5"/>
      <c r="C458" s="23"/>
    </row>
    <row r="459" spans="1:3" x14ac:dyDescent="0.25">
      <c r="A459" s="5"/>
      <c r="B459" s="5"/>
      <c r="C459" s="23"/>
    </row>
    <row r="460" spans="1:3" x14ac:dyDescent="0.25">
      <c r="A460" s="5"/>
      <c r="B460" s="5"/>
      <c r="C460" s="23"/>
    </row>
    <row r="461" spans="1:3" x14ac:dyDescent="0.25">
      <c r="A461" s="5"/>
      <c r="B461" s="5"/>
      <c r="C461" s="5"/>
    </row>
    <row r="462" spans="1:3" x14ac:dyDescent="0.25">
      <c r="A462" s="5"/>
      <c r="B462" s="5"/>
      <c r="C462" s="5"/>
    </row>
    <row r="463" spans="1:3" x14ac:dyDescent="0.25">
      <c r="A463" s="5"/>
      <c r="B463" s="5"/>
      <c r="C463" s="5"/>
    </row>
    <row r="464" spans="1:3" x14ac:dyDescent="0.25">
      <c r="A464" s="5"/>
      <c r="B464" s="5"/>
      <c r="C464" s="5"/>
    </row>
    <row r="465" spans="1:11" x14ac:dyDescent="0.25">
      <c r="A465" s="5"/>
      <c r="B465" s="5"/>
      <c r="C465" s="5"/>
    </row>
    <row r="466" spans="1:11" x14ac:dyDescent="0.25">
      <c r="A466" s="5"/>
      <c r="B466" s="5"/>
      <c r="C466" s="23"/>
    </row>
    <row r="467" spans="1:11" x14ac:dyDescent="0.25">
      <c r="A467" s="5"/>
      <c r="B467" s="5"/>
      <c r="C467" s="23"/>
      <c r="D467" s="2"/>
      <c r="E467" s="2"/>
      <c r="F467" s="2"/>
      <c r="G467" s="2"/>
      <c r="H467" s="2"/>
      <c r="I467" s="2"/>
      <c r="J467" s="2"/>
      <c r="K467" s="2"/>
    </row>
    <row r="468" spans="1:11" ht="15" customHeight="1" x14ac:dyDescent="0.25">
      <c r="C468" s="23"/>
      <c r="D468" s="2"/>
      <c r="E468" s="2"/>
      <c r="F468" s="2"/>
      <c r="G468" s="2"/>
      <c r="H468" s="2"/>
      <c r="I468" s="2"/>
      <c r="J468" s="2"/>
      <c r="K468" s="2"/>
    </row>
    <row r="469" spans="1:11" ht="15" customHeight="1" x14ac:dyDescent="0.25">
      <c r="C469" s="23"/>
      <c r="D469" s="2"/>
      <c r="E469" s="2"/>
      <c r="F469" s="2"/>
      <c r="G469" s="2"/>
      <c r="H469" s="2"/>
      <c r="I469" s="2"/>
      <c r="J469" s="2"/>
      <c r="K469" s="2"/>
    </row>
    <row r="470" spans="1:11" ht="15" customHeight="1" x14ac:dyDescent="0.25">
      <c r="C470" s="23"/>
      <c r="D470" s="2"/>
      <c r="E470" s="2"/>
      <c r="F470" s="2"/>
      <c r="G470" s="2"/>
      <c r="H470" s="2"/>
      <c r="I470" s="2"/>
      <c r="J470" s="2"/>
      <c r="K470" s="2"/>
    </row>
    <row r="471" spans="1:11" ht="15" customHeight="1" x14ac:dyDescent="0.25">
      <c r="C471" s="23"/>
      <c r="D471" s="2"/>
      <c r="E471" s="2"/>
      <c r="F471" s="2"/>
      <c r="G471" s="2"/>
      <c r="H471" s="2"/>
      <c r="I471" s="2"/>
      <c r="J471" s="2"/>
      <c r="K471" s="2"/>
    </row>
    <row r="472" spans="1:11" ht="15" customHeight="1" x14ac:dyDescent="0.25"/>
    <row r="473" spans="1:11" ht="15" customHeight="1" x14ac:dyDescent="0.25"/>
    <row r="474" spans="1:11" ht="15" customHeight="1" x14ac:dyDescent="0.25"/>
    <row r="475" spans="1:11" ht="15" customHeight="1" x14ac:dyDescent="0.25"/>
  </sheetData>
  <autoFilter ref="A1:C1" xr:uid="{00000000-0001-0000-0200-000000000000}"/>
  <sortState xmlns:xlrd2="http://schemas.microsoft.com/office/spreadsheetml/2017/richdata2" ref="A3:C312">
    <sortCondition ref="A2:A312"/>
  </sortState>
  <dataValidations count="5">
    <dataValidation allowBlank="1" showInputMessage="1" showErrorMessage="1" sqref="A467:B467 C467:K471 A461:C461 C121:C130 A2:C120 C138:C348 A121:B311 A313:B348" xr:uid="{00000000-0002-0000-0200-000000000000}"/>
    <dataValidation allowBlank="1" showErrorMessage="1" sqref="B462:B466 B455:B460 B447:B453 B444:B445 B424:B442 B408:B419 B395:B406 B383:B393 B378:B381 B375 B373 B367 B360 B355 B350:B353" xr:uid="{00000000-0002-0000-0200-000001000000}"/>
    <dataValidation allowBlank="1" showErrorMessage="1" error="Valor incorrecto._x000a_Por favor, ingrese solo números sin guiones ni barras." sqref="A462:A466 A455:A460 A447:A453 A444:A445 A424:A442 A408:A419 A395:A406 A378:A381 A375 A373 A367 A360 A355 A350:A353 A383:A384 A386:A393 A312" xr:uid="{00000000-0002-0000-0200-000002000000}"/>
    <dataValidation allowBlank="1" showErrorMessage="1" sqref="B394 B382 B349" xr:uid="{00000000-0002-0000-0200-000003000000}">
      <formula1>0</formula1>
      <formula2>0</formula2>
    </dataValidation>
    <dataValidation allowBlank="1" showErrorMessage="1" error="Valor incorrecto._x000a_Por favor, ingrese solo números sin guiones ni barras." sqref="A394 A382 A349" xr:uid="{00000000-0002-0000-0200-000004000000}">
      <formula1>0</formula1>
      <formula2>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Institucionales</vt:lpstr>
      <vt:lpstr>AlumnosYDocentes</vt:lpstr>
      <vt:lpstr>Comentarios</vt:lpstr>
    </vt:vector>
  </TitlesOfParts>
  <Company>Ministerio de Educación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INET</dc:creator>
  <cp:lastModifiedBy>Tomas Tutor Onetto</cp:lastModifiedBy>
  <cp:lastPrinted>2021-10-12T17:36:39Z</cp:lastPrinted>
  <dcterms:created xsi:type="dcterms:W3CDTF">2021-05-18T13:55:33Z</dcterms:created>
  <dcterms:modified xsi:type="dcterms:W3CDTF">2025-09-13T02:33:14Z</dcterms:modified>
</cp:coreProperties>
</file>